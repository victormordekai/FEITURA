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68a5e3c46c91b0bc/VMORDEKAI Produção de Mochilas ^0 Bolsas/RELOAD/Depart. Administrativo VMORDEKAI/Planejamento da Capacidade VMORDEKAI/VMORDEKAI 7.0/Tecnologias da Confecção VMORDEKAI/"/>
    </mc:Choice>
  </mc:AlternateContent>
  <xr:revisionPtr revIDLastSave="86" documentId="8_{CAAD8F4E-0BDD-4189-AB2F-1BA83A937C80}" xr6:coauthVersionLast="47" xr6:coauthVersionMax="47" xr10:uidLastSave="{955193EF-85EE-42F7-9130-8F9F067419F8}"/>
  <bookViews>
    <workbookView xWindow="-120" yWindow="-120" windowWidth="20730" windowHeight="11160" tabRatio="733" firstSheet="3" activeTab="6" xr2:uid="{61BF8DA2-09B0-4F9C-BC1F-CCD184E39964}"/>
  </bookViews>
  <sheets>
    <sheet name="Programação Individual" sheetId="3" r:id="rId1"/>
    <sheet name="NOME + Nº" sheetId="1" r:id="rId2"/>
    <sheet name="CÓPIA (exportar imagem)" sheetId="6" r:id="rId3"/>
    <sheet name="MODELAGEM" sheetId="4" r:id="rId4"/>
    <sheet name="ENFESTO" sheetId="10" r:id="rId5"/>
    <sheet name="ETIQUETA" sheetId="12" r:id="rId6"/>
    <sheet name="AVIAMENTOS" sheetId="5" r:id="rId7"/>
    <sheet name="Arranjo PROCESSOS" sheetId="7" r:id="rId8"/>
    <sheet name="Arranjo CELULAR" sheetId="9" r:id="rId9"/>
    <sheet name="ESBOÇO" sheetId="11" r:id="rId10"/>
  </sheets>
  <definedNames>
    <definedName name="_xlnm._FilterDatabase" localSheetId="1" hidden="1">'NOME + Nº'!#REF!</definedName>
    <definedName name="RealceValor">IFERROR(IF('NOME + Nº'!#REF!="Sim", TRUE, FALSE),FALSE)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5" l="1"/>
  <c r="C21" i="5"/>
  <c r="C231" i="5"/>
  <c r="C232" i="5"/>
  <c r="C55" i="5"/>
  <c r="C56" i="5"/>
  <c r="C75" i="5"/>
  <c r="C76" i="5"/>
  <c r="C77" i="5"/>
  <c r="C78" i="5"/>
  <c r="C79" i="5"/>
  <c r="C80" i="5"/>
  <c r="C81" i="5"/>
  <c r="C82" i="5"/>
  <c r="C12" i="5"/>
  <c r="C83" i="5"/>
  <c r="C84" i="5"/>
  <c r="C85" i="5"/>
  <c r="C86" i="5"/>
  <c r="C87" i="5"/>
  <c r="C88" i="5"/>
  <c r="C89" i="5"/>
  <c r="C90" i="5"/>
  <c r="C91" i="5"/>
  <c r="C92" i="5"/>
  <c r="C93" i="5"/>
  <c r="C94" i="5"/>
  <c r="C95" i="5"/>
  <c r="C22" i="5"/>
  <c r="C23" i="5"/>
  <c r="C24" i="5"/>
  <c r="C25" i="5"/>
  <c r="C26" i="5"/>
  <c r="C27" i="5"/>
  <c r="C28" i="5"/>
  <c r="C29" i="5"/>
  <c r="C30" i="5"/>
  <c r="C57" i="5"/>
  <c r="C31" i="5"/>
  <c r="C32" i="5"/>
  <c r="C33" i="5"/>
  <c r="C34" i="5"/>
  <c r="C35" i="5"/>
  <c r="C36" i="5"/>
  <c r="C37" i="5"/>
  <c r="C38" i="5"/>
  <c r="C39" i="5"/>
  <c r="C40" i="5"/>
  <c r="C41" i="5"/>
  <c r="C96" i="5"/>
  <c r="C97" i="5"/>
  <c r="C98" i="5"/>
  <c r="C10" i="5"/>
  <c r="C58" i="5"/>
  <c r="C59" i="5"/>
  <c r="C42" i="5"/>
  <c r="C43" i="5"/>
  <c r="C44" i="5"/>
  <c r="C45" i="5"/>
  <c r="C46" i="5"/>
  <c r="C287" i="5"/>
  <c r="C288" i="5"/>
  <c r="C99" i="5"/>
  <c r="C100" i="5"/>
  <c r="C326" i="5"/>
  <c r="C327" i="5"/>
  <c r="C328" i="5"/>
  <c r="C101" i="5"/>
  <c r="C102" i="5"/>
  <c r="C103" i="5"/>
  <c r="C104" i="5"/>
  <c r="C105" i="5"/>
  <c r="C106" i="5"/>
  <c r="C47" i="5"/>
  <c r="C48" i="5"/>
  <c r="C49" i="5"/>
  <c r="C50" i="5"/>
  <c r="C51" i="5"/>
  <c r="C52" i="5"/>
  <c r="C53" i="5"/>
  <c r="C229" i="5"/>
  <c r="C107" i="5"/>
  <c r="C272" i="5"/>
  <c r="C273" i="5"/>
  <c r="C274" i="5"/>
  <c r="C233" i="5"/>
  <c r="C70" i="5"/>
  <c r="C71" i="5"/>
  <c r="C72" i="5"/>
  <c r="C13" i="5"/>
  <c r="C14" i="5"/>
  <c r="C234" i="5"/>
  <c r="C108" i="5"/>
  <c r="C235" i="5"/>
  <c r="C207" i="5"/>
  <c r="C208" i="5"/>
  <c r="C209" i="5"/>
  <c r="C236" i="5"/>
  <c r="C210" i="5"/>
  <c r="C109" i="5"/>
  <c r="C110" i="5"/>
  <c r="C111" i="5"/>
  <c r="C211" i="5"/>
  <c r="C212" i="5"/>
  <c r="C213" i="5"/>
  <c r="C214" i="5"/>
  <c r="C215" i="5"/>
  <c r="C216" i="5"/>
  <c r="C237" i="5"/>
  <c r="C238" i="5"/>
  <c r="C239" i="5"/>
  <c r="C240" i="5"/>
  <c r="C241" i="5"/>
  <c r="C242" i="5"/>
  <c r="C243" i="5"/>
  <c r="C244" i="5"/>
  <c r="C245" i="5"/>
  <c r="C74" i="5"/>
  <c r="C230" i="5"/>
  <c r="C112" i="5"/>
  <c r="C113" i="5"/>
  <c r="C114" i="5"/>
  <c r="C115" i="5"/>
  <c r="C116" i="5"/>
  <c r="C117" i="5"/>
  <c r="C118" i="5"/>
  <c r="C119" i="5"/>
  <c r="C120" i="5"/>
  <c r="C121" i="5"/>
  <c r="C122" i="5"/>
  <c r="C123" i="5"/>
  <c r="C124" i="5"/>
  <c r="C125" i="5"/>
  <c r="C54" i="5"/>
  <c r="C305" i="5"/>
  <c r="C246" i="5"/>
  <c r="C60" i="5"/>
  <c r="C4" i="5"/>
  <c r="C5" i="5"/>
  <c r="C15" i="5"/>
  <c r="C126" i="5"/>
  <c r="C127" i="5"/>
  <c r="C128" i="5"/>
  <c r="C129" i="5"/>
  <c r="C130" i="5"/>
  <c r="C131" i="5"/>
  <c r="C132" i="5"/>
  <c r="C133" i="5"/>
  <c r="C247" i="5"/>
  <c r="C134" i="5"/>
  <c r="C135" i="5"/>
  <c r="C136" i="5"/>
  <c r="C137" i="5"/>
  <c r="C61" i="5"/>
  <c r="C286" i="5"/>
  <c r="C62" i="5"/>
  <c r="C63" i="5"/>
  <c r="C64" i="5"/>
  <c r="C65" i="5"/>
  <c r="C66" i="5"/>
  <c r="C67" i="5"/>
  <c r="C68" i="5"/>
  <c r="C69" i="5"/>
  <c r="C138" i="5"/>
  <c r="C139" i="5"/>
  <c r="C140" i="5"/>
  <c r="C141" i="5"/>
  <c r="C142" i="5"/>
  <c r="C143" i="5"/>
  <c r="C144" i="5"/>
  <c r="C145" i="5"/>
  <c r="C146" i="5"/>
  <c r="C147" i="5"/>
  <c r="C148" i="5"/>
  <c r="C149" i="5"/>
  <c r="C150" i="5"/>
  <c r="C151" i="5"/>
  <c r="C152" i="5"/>
  <c r="C248" i="5"/>
  <c r="C153" i="5"/>
  <c r="C154" i="5"/>
  <c r="C155" i="5"/>
  <c r="C156" i="5"/>
  <c r="C157" i="5"/>
  <c r="C158" i="5"/>
  <c r="C159" i="5"/>
  <c r="C160" i="5"/>
  <c r="C161" i="5"/>
  <c r="C162" i="5"/>
  <c r="C163" i="5"/>
  <c r="C164" i="5"/>
  <c r="C165" i="5"/>
  <c r="C166" i="5"/>
  <c r="C167" i="5"/>
  <c r="C168" i="5"/>
  <c r="C170" i="5"/>
  <c r="C169" i="5"/>
  <c r="C249" i="5"/>
  <c r="C217" i="5"/>
  <c r="C171" i="5"/>
  <c r="C172" i="5"/>
  <c r="C173" i="5"/>
  <c r="C174" i="5"/>
  <c r="C175" i="5"/>
  <c r="C176" i="5"/>
  <c r="C177" i="5"/>
  <c r="C178" i="5"/>
  <c r="C250" i="5"/>
  <c r="C218" i="5"/>
  <c r="C219" i="5"/>
  <c r="C251" i="5"/>
  <c r="C252" i="5"/>
  <c r="C179" i="5"/>
  <c r="C253" i="5"/>
  <c r="C73" i="5"/>
  <c r="C316" i="5"/>
  <c r="C289" i="5"/>
  <c r="C290" i="5"/>
  <c r="C291" i="5"/>
  <c r="C292" i="5"/>
  <c r="C293" i="5"/>
  <c r="C294" i="5"/>
  <c r="C295" i="5"/>
  <c r="C296" i="5"/>
  <c r="C297" i="5"/>
  <c r="C298" i="5"/>
  <c r="C299" i="5"/>
  <c r="C300" i="5"/>
  <c r="C301" i="5"/>
  <c r="C302" i="5"/>
  <c r="C303" i="5"/>
  <c r="C304" i="5"/>
  <c r="C11" i="5"/>
  <c r="C306" i="5"/>
  <c r="C180" i="5"/>
  <c r="C181" i="5"/>
  <c r="C182" i="5"/>
  <c r="C183" i="5"/>
  <c r="C184" i="5"/>
  <c r="C185" i="5"/>
  <c r="C186" i="5"/>
  <c r="C187" i="5"/>
  <c r="C220" i="5"/>
  <c r="C188" i="5"/>
  <c r="C189" i="5"/>
  <c r="C221" i="5"/>
  <c r="C222" i="5"/>
  <c r="C223" i="5"/>
  <c r="C224" i="5"/>
  <c r="C225" i="5"/>
  <c r="C226" i="5"/>
  <c r="C227" i="5"/>
  <c r="C254" i="5"/>
  <c r="C255" i="5"/>
  <c r="C256" i="5"/>
  <c r="C257" i="5"/>
  <c r="C258" i="5"/>
  <c r="C259" i="5"/>
  <c r="C260" i="5"/>
  <c r="C261" i="5"/>
  <c r="C262" i="5"/>
  <c r="C190" i="5"/>
  <c r="C191" i="5"/>
  <c r="C263" i="5"/>
  <c r="C264" i="5"/>
  <c r="C265" i="5"/>
  <c r="C266" i="5"/>
  <c r="C267" i="5"/>
  <c r="C315" i="5"/>
  <c r="C317" i="5"/>
  <c r="C318" i="5"/>
  <c r="C319" i="5"/>
  <c r="C320" i="5"/>
  <c r="C321" i="5"/>
  <c r="C307" i="5"/>
  <c r="C308" i="5"/>
  <c r="C309" i="5"/>
  <c r="C310" i="5"/>
  <c r="C311" i="5"/>
  <c r="C312" i="5"/>
  <c r="C313" i="5"/>
  <c r="C314" i="5"/>
  <c r="C228" i="5"/>
  <c r="C268" i="5"/>
  <c r="C347" i="5"/>
  <c r="C348" i="5"/>
  <c r="C192" i="5"/>
  <c r="C193" i="5"/>
  <c r="C194" i="5"/>
  <c r="C195" i="5"/>
  <c r="C196" i="5"/>
  <c r="C197" i="5"/>
  <c r="C198" i="5"/>
  <c r="C199" i="5"/>
  <c r="C200" i="5"/>
  <c r="C201" i="5"/>
  <c r="C202" i="5"/>
  <c r="C203" i="5"/>
  <c r="C16" i="5"/>
  <c r="C322" i="5"/>
  <c r="C323" i="5"/>
  <c r="C204" i="5"/>
  <c r="C205" i="5"/>
  <c r="C206" i="5"/>
  <c r="C269" i="5"/>
  <c r="C17" i="5"/>
  <c r="C18" i="5"/>
  <c r="C279" i="5"/>
  <c r="C280" i="5"/>
  <c r="C281" i="5"/>
  <c r="C282" i="5"/>
  <c r="C283" i="5"/>
  <c r="C275" i="5"/>
  <c r="C276" i="5"/>
  <c r="C277" i="5"/>
  <c r="C324" i="5"/>
  <c r="C325" i="5"/>
  <c r="C19" i="5"/>
  <c r="C278" i="5"/>
  <c r="C270" i="5"/>
  <c r="C271" i="5"/>
  <c r="C284" i="5"/>
  <c r="C285" i="5"/>
  <c r="C349" i="5"/>
  <c r="C350" i="5"/>
  <c r="C6" i="5"/>
  <c r="C7" i="5"/>
  <c r="C8" i="5"/>
  <c r="C9" i="5"/>
  <c r="C329" i="5"/>
  <c r="C330" i="5"/>
  <c r="C331" i="5"/>
  <c r="C332" i="5"/>
  <c r="C333" i="5"/>
  <c r="C334" i="5"/>
  <c r="C335" i="5"/>
  <c r="C336" i="5"/>
  <c r="C337" i="5"/>
  <c r="C338" i="5"/>
  <c r="C339" i="5"/>
  <c r="C340" i="5"/>
  <c r="C341" i="5"/>
  <c r="C342" i="5"/>
  <c r="C343" i="5"/>
  <c r="C344" i="5"/>
  <c r="C345" i="5"/>
  <c r="C346" i="5"/>
  <c r="C497" i="5"/>
  <c r="C498" i="5"/>
  <c r="C499" i="5"/>
  <c r="C500" i="5"/>
  <c r="C501" i="5"/>
  <c r="C502" i="5"/>
  <c r="C503"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X14" i="4"/>
  <c r="X15" i="4"/>
  <c r="X16" i="4"/>
  <c r="X17" i="4"/>
  <c r="X18" i="4"/>
  <c r="X19" i="4"/>
  <c r="X20" i="4"/>
  <c r="EF20" i="4"/>
  <c r="AA20" i="4"/>
  <c r="J39" i="1"/>
  <c r="AM24" i="10" s="1"/>
  <c r="I39" i="1"/>
  <c r="H39" i="1"/>
  <c r="F39" i="1"/>
  <c r="D39" i="1"/>
  <c r="P38" i="4"/>
  <c r="I30" i="6"/>
  <c r="K8" i="6"/>
  <c r="J49" i="6"/>
  <c r="C8" i="1"/>
  <c r="AK20" i="10"/>
  <c r="AK21" i="10"/>
  <c r="AK22" i="10"/>
  <c r="AK23" i="10"/>
  <c r="AK25" i="10"/>
  <c r="AK26" i="10"/>
  <c r="AK24" i="10"/>
  <c r="B41" i="1"/>
  <c r="Q284" i="4"/>
  <c r="Q283" i="4"/>
  <c r="Q282" i="4"/>
  <c r="Q281" i="4"/>
  <c r="T282" i="4" s="1"/>
  <c r="Q277" i="4"/>
  <c r="Q276" i="4"/>
  <c r="Q275" i="4"/>
  <c r="Q274" i="4"/>
  <c r="Q270" i="4"/>
  <c r="Q269" i="4"/>
  <c r="Q268" i="4"/>
  <c r="Q267" i="4"/>
  <c r="Q261" i="4"/>
  <c r="Q262" i="4"/>
  <c r="Q263" i="4"/>
  <c r="Q260" i="4"/>
  <c r="V276" i="4"/>
  <c r="V275" i="4"/>
  <c r="AQ280" i="10"/>
  <c r="AR280" i="10"/>
  <c r="AS280" i="10"/>
  <c r="AT280" i="10"/>
  <c r="AL26" i="10"/>
  <c r="AM26" i="10"/>
  <c r="Y20" i="4"/>
  <c r="Z20" i="4"/>
  <c r="AJ26" i="10"/>
  <c r="E28" i="1"/>
  <c r="E27" i="1"/>
  <c r="F50" i="1"/>
  <c r="L59" i="1"/>
  <c r="I59" i="1"/>
  <c r="H59" i="1"/>
  <c r="G155" i="1"/>
  <c r="I154" i="6" s="1"/>
  <c r="G156" i="1"/>
  <c r="I155" i="6" s="1"/>
  <c r="G157" i="1"/>
  <c r="I156" i="6" s="1"/>
  <c r="G158" i="1"/>
  <c r="I157" i="6" s="1"/>
  <c r="G159" i="1"/>
  <c r="I158" i="6" s="1"/>
  <c r="G160" i="1"/>
  <c r="I159" i="6" s="1"/>
  <c r="G154" i="1"/>
  <c r="I153" i="6" s="1"/>
  <c r="G153" i="1"/>
  <c r="I152" i="6" s="1"/>
  <c r="G152" i="1"/>
  <c r="I151" i="6" s="1"/>
  <c r="G151" i="1"/>
  <c r="I150" i="6" s="1"/>
  <c r="G116" i="1"/>
  <c r="I135" i="6" s="1"/>
  <c r="G117" i="1"/>
  <c r="I136" i="6" s="1"/>
  <c r="G118" i="1"/>
  <c r="I137" i="6" s="1"/>
  <c r="G119" i="1"/>
  <c r="I138" i="6" s="1"/>
  <c r="G115" i="1"/>
  <c r="I134" i="6" s="1"/>
  <c r="G114" i="1"/>
  <c r="I133" i="6" s="1"/>
  <c r="G113" i="1"/>
  <c r="I132" i="6" s="1"/>
  <c r="G112" i="1"/>
  <c r="I131" i="6" s="1"/>
  <c r="H58" i="1"/>
  <c r="G66" i="1"/>
  <c r="I85" i="6"/>
  <c r="G71" i="1"/>
  <c r="I90" i="6"/>
  <c r="G70" i="1"/>
  <c r="I89" i="6"/>
  <c r="G68" i="1"/>
  <c r="I87" i="6"/>
  <c r="G69" i="1"/>
  <c r="G67" i="1"/>
  <c r="I86" i="6" s="1"/>
  <c r="G79" i="1"/>
  <c r="I98" i="6" s="1"/>
  <c r="G80" i="1"/>
  <c r="I99" i="6" s="1"/>
  <c r="G81" i="1"/>
  <c r="I100" i="6"/>
  <c r="G82" i="1"/>
  <c r="I101" i="6"/>
  <c r="G83" i="1"/>
  <c r="I102" i="6"/>
  <c r="G84" i="1"/>
  <c r="I103" i="6"/>
  <c r="G85" i="1"/>
  <c r="G86" i="1"/>
  <c r="I105" i="6" s="1"/>
  <c r="G87" i="1"/>
  <c r="I106" i="6" s="1"/>
  <c r="G88" i="1"/>
  <c r="I107" i="6" s="1"/>
  <c r="G89" i="1"/>
  <c r="G90" i="1"/>
  <c r="I109" i="6"/>
  <c r="G91" i="1"/>
  <c r="I110" i="6"/>
  <c r="G92" i="1"/>
  <c r="I111" i="6"/>
  <c r="G93" i="1"/>
  <c r="I112" i="6"/>
  <c r="G94" i="1"/>
  <c r="I113" i="6"/>
  <c r="G95" i="1"/>
  <c r="I114" i="6"/>
  <c r="G96" i="1"/>
  <c r="I115" i="6"/>
  <c r="G97" i="1"/>
  <c r="I116" i="6"/>
  <c r="G98" i="1"/>
  <c r="I117" i="6"/>
  <c r="G99" i="1"/>
  <c r="I118" i="6"/>
  <c r="G100" i="1"/>
  <c r="I119" i="6"/>
  <c r="G101" i="1"/>
  <c r="I120" i="6"/>
  <c r="G102" i="1"/>
  <c r="I121" i="6"/>
  <c r="G103" i="1"/>
  <c r="I122" i="6"/>
  <c r="AM20" i="4"/>
  <c r="DO20" i="4"/>
  <c r="BA280" i="10"/>
  <c r="AX280" i="10"/>
  <c r="BB280" i="10"/>
  <c r="AY280" i="10"/>
  <c r="AZ280" i="10"/>
  <c r="BM20" i="4"/>
  <c r="CO20" i="4"/>
  <c r="AU20" i="4"/>
  <c r="BW20" i="4"/>
  <c r="CW20" i="4"/>
  <c r="DX20" i="4"/>
  <c r="BD20" i="4"/>
  <c r="CF20" i="4"/>
  <c r="DF20" i="4"/>
  <c r="AB20" i="4"/>
  <c r="AG20" i="4"/>
  <c r="AP20" i="4"/>
  <c r="AX20" i="4"/>
  <c r="BG20" i="4"/>
  <c r="BP20" i="4"/>
  <c r="BZ20" i="4"/>
  <c r="CI20" i="4"/>
  <c r="CR20" i="4"/>
  <c r="CZ20" i="4"/>
  <c r="DI20" i="4"/>
  <c r="DR20" i="4"/>
  <c r="EA20" i="4"/>
  <c r="AJ20" i="4"/>
  <c r="AR20" i="4"/>
  <c r="BA20" i="4"/>
  <c r="BJ20" i="4"/>
  <c r="BT20" i="4"/>
  <c r="CC20" i="4"/>
  <c r="CL20" i="4"/>
  <c r="CU20" i="4"/>
  <c r="DC20" i="4"/>
  <c r="DL20" i="4"/>
  <c r="DU20" i="4"/>
  <c r="ET26" i="10"/>
  <c r="AI20" i="4"/>
  <c r="AL20" i="4"/>
  <c r="AO20" i="4"/>
  <c r="AQ20" i="4"/>
  <c r="AT20" i="4"/>
  <c r="AW20" i="4"/>
  <c r="AY20" i="4"/>
  <c r="BB20" i="4"/>
  <c r="BE20" i="4"/>
  <c r="BH20" i="4"/>
  <c r="BK20" i="4"/>
  <c r="BN20" i="4"/>
  <c r="BQ20" i="4"/>
  <c r="BU20" i="4"/>
  <c r="BX20" i="4"/>
  <c r="CA20" i="4"/>
  <c r="CD20" i="4"/>
  <c r="CH20" i="4"/>
  <c r="CJ20" i="4"/>
  <c r="CM20" i="4"/>
  <c r="CP20" i="4"/>
  <c r="CS20" i="4"/>
  <c r="BS20" i="4"/>
  <c r="CX20" i="4"/>
  <c r="DA20" i="4"/>
  <c r="DD20" i="4"/>
  <c r="DG20" i="4"/>
  <c r="DJ20" i="4"/>
  <c r="DM20" i="4"/>
  <c r="DP20" i="4"/>
  <c r="DS20" i="4"/>
  <c r="DV20" i="4"/>
  <c r="DY20" i="4"/>
  <c r="AH20" i="4"/>
  <c r="AK20" i="4"/>
  <c r="AN20" i="4"/>
  <c r="AS20" i="4"/>
  <c r="AV20" i="4"/>
  <c r="AZ20" i="4"/>
  <c r="BC20" i="4"/>
  <c r="BF20" i="4"/>
  <c r="BI20" i="4"/>
  <c r="BL20" i="4"/>
  <c r="BO20" i="4"/>
  <c r="BR20" i="4"/>
  <c r="BV20" i="4"/>
  <c r="BY20" i="4"/>
  <c r="CB20" i="4"/>
  <c r="CE20" i="4"/>
  <c r="CG20" i="4"/>
  <c r="CK20" i="4"/>
  <c r="CN20" i="4"/>
  <c r="CQ20" i="4"/>
  <c r="CT20" i="4"/>
  <c r="CV20" i="4"/>
  <c r="CY20" i="4"/>
  <c r="DB20" i="4"/>
  <c r="DE20" i="4"/>
  <c r="DH20" i="4"/>
  <c r="DK20" i="4"/>
  <c r="DN20" i="4"/>
  <c r="DQ20" i="4"/>
  <c r="DT20" i="4"/>
  <c r="DW20" i="4"/>
  <c r="DZ20" i="4"/>
  <c r="AG25" i="5"/>
  <c r="AG24" i="5"/>
  <c r="AG23" i="5"/>
  <c r="AG22" i="5"/>
  <c r="AG21" i="5"/>
  <c r="AG20" i="5"/>
  <c r="AG19" i="5"/>
  <c r="AG18" i="5"/>
  <c r="AG17" i="5"/>
  <c r="AG16" i="5"/>
  <c r="AG15" i="5"/>
  <c r="AG14" i="5"/>
  <c r="AG13" i="5"/>
  <c r="AG12" i="5"/>
  <c r="AG11" i="5"/>
  <c r="AG10" i="5"/>
  <c r="AG9" i="5"/>
  <c r="AG8" i="5"/>
  <c r="AG7" i="5"/>
  <c r="AG6" i="5"/>
  <c r="AG5" i="5"/>
  <c r="S7" i="5"/>
  <c r="U7" i="5" s="1"/>
  <c r="S8" i="5"/>
  <c r="U8" i="5" s="1"/>
  <c r="S9" i="5"/>
  <c r="U9" i="5" s="1"/>
  <c r="S10" i="5"/>
  <c r="U10" i="5" s="1"/>
  <c r="S6" i="5"/>
  <c r="U6" i="5" s="1"/>
  <c r="G1" i="5"/>
  <c r="S158" i="12"/>
  <c r="M4" i="12"/>
  <c r="S4" i="12"/>
  <c r="M5" i="12"/>
  <c r="N5" i="12"/>
  <c r="O5" i="12"/>
  <c r="S5" i="12"/>
  <c r="T5" i="12"/>
  <c r="U5" i="12"/>
  <c r="M6" i="12"/>
  <c r="N6" i="12"/>
  <c r="O6" i="12"/>
  <c r="S6" i="12"/>
  <c r="T6" i="12"/>
  <c r="U6" i="12"/>
  <c r="M7" i="12"/>
  <c r="N7" i="12"/>
  <c r="O7" i="12"/>
  <c r="S7" i="12"/>
  <c r="T7" i="12"/>
  <c r="U7" i="12"/>
  <c r="M126" i="12"/>
  <c r="G126" i="12"/>
  <c r="S112" i="12"/>
  <c r="M112" i="12"/>
  <c r="G112" i="12"/>
  <c r="S98" i="12"/>
  <c r="M98" i="12"/>
  <c r="G98" i="12"/>
  <c r="S84" i="12"/>
  <c r="M84" i="12"/>
  <c r="G84" i="12"/>
  <c r="S70" i="12"/>
  <c r="M70" i="12"/>
  <c r="G70" i="12"/>
  <c r="N119" i="12"/>
  <c r="O120" i="12"/>
  <c r="O119" i="12"/>
  <c r="O118" i="12"/>
  <c r="O117" i="12"/>
  <c r="N120" i="12"/>
  <c r="N118" i="12"/>
  <c r="N117" i="12"/>
  <c r="M120" i="12"/>
  <c r="M119" i="12"/>
  <c r="M118" i="12"/>
  <c r="M117" i="12"/>
  <c r="G117" i="12"/>
  <c r="I120" i="12"/>
  <c r="I119" i="12"/>
  <c r="I118" i="12"/>
  <c r="I117" i="12"/>
  <c r="H120" i="12"/>
  <c r="H119" i="12"/>
  <c r="H118" i="12"/>
  <c r="H117" i="12"/>
  <c r="G120" i="12"/>
  <c r="G119" i="12"/>
  <c r="G118" i="12"/>
  <c r="U106" i="12"/>
  <c r="U105" i="12"/>
  <c r="U104" i="12"/>
  <c r="U103" i="12"/>
  <c r="T106" i="12"/>
  <c r="T105" i="12"/>
  <c r="T104" i="12"/>
  <c r="T103" i="12"/>
  <c r="S106" i="12"/>
  <c r="S105" i="12"/>
  <c r="S104" i="12"/>
  <c r="S103" i="12"/>
  <c r="O106" i="12"/>
  <c r="O105" i="12"/>
  <c r="O104" i="12"/>
  <c r="O103" i="12"/>
  <c r="N106" i="12"/>
  <c r="N105" i="12"/>
  <c r="N104" i="12"/>
  <c r="N103" i="12"/>
  <c r="M106" i="12"/>
  <c r="M105" i="12"/>
  <c r="M104" i="12"/>
  <c r="M103" i="12"/>
  <c r="I106" i="12"/>
  <c r="I105" i="12"/>
  <c r="I104" i="12"/>
  <c r="I103" i="12"/>
  <c r="H106" i="12"/>
  <c r="H105" i="12"/>
  <c r="H104" i="12"/>
  <c r="H103" i="12"/>
  <c r="G106" i="12"/>
  <c r="G105" i="12"/>
  <c r="G104" i="12"/>
  <c r="G103" i="12"/>
  <c r="S89" i="12"/>
  <c r="T89" i="12"/>
  <c r="U89" i="12"/>
  <c r="S90" i="12"/>
  <c r="T90" i="12"/>
  <c r="U90" i="12"/>
  <c r="S91" i="12"/>
  <c r="T91" i="12"/>
  <c r="U91" i="12"/>
  <c r="S92" i="12"/>
  <c r="T92" i="12"/>
  <c r="U92" i="12"/>
  <c r="O91" i="12"/>
  <c r="N92" i="12"/>
  <c r="O92" i="12"/>
  <c r="O90" i="12"/>
  <c r="O89" i="12"/>
  <c r="N91" i="12"/>
  <c r="N90" i="12"/>
  <c r="N89" i="12"/>
  <c r="M92" i="12"/>
  <c r="M91" i="12"/>
  <c r="M90" i="12"/>
  <c r="M89" i="12"/>
  <c r="I92" i="12"/>
  <c r="I91" i="12"/>
  <c r="I90" i="12"/>
  <c r="I89" i="12"/>
  <c r="H92" i="12"/>
  <c r="H91" i="12"/>
  <c r="H90" i="12"/>
  <c r="H89" i="12"/>
  <c r="G92" i="12"/>
  <c r="G91" i="12"/>
  <c r="G90" i="12"/>
  <c r="G89" i="12"/>
  <c r="S75" i="12"/>
  <c r="U76" i="12"/>
  <c r="U75" i="12"/>
  <c r="T78" i="12"/>
  <c r="U78" i="12"/>
  <c r="U77" i="12"/>
  <c r="T77" i="12"/>
  <c r="T76" i="12"/>
  <c r="T75" i="12"/>
  <c r="S78" i="12"/>
  <c r="S77" i="12"/>
  <c r="S76" i="12"/>
  <c r="N77" i="12"/>
  <c r="O78" i="12"/>
  <c r="O77" i="12"/>
  <c r="O76" i="12"/>
  <c r="O75" i="12"/>
  <c r="N78" i="12"/>
  <c r="N76" i="12"/>
  <c r="N75" i="12"/>
  <c r="M78" i="12"/>
  <c r="M77" i="12"/>
  <c r="M76" i="12"/>
  <c r="M75" i="12"/>
  <c r="I78" i="12"/>
  <c r="I77" i="12"/>
  <c r="I76" i="12"/>
  <c r="I75" i="12"/>
  <c r="H78" i="12"/>
  <c r="H77" i="12"/>
  <c r="H76" i="12"/>
  <c r="H75" i="12"/>
  <c r="G78" i="12"/>
  <c r="G77" i="12"/>
  <c r="G76" i="12"/>
  <c r="G75" i="12"/>
  <c r="U64" i="12"/>
  <c r="T64" i="12"/>
  <c r="S64" i="12"/>
  <c r="O64" i="12"/>
  <c r="N64" i="12"/>
  <c r="M64" i="12"/>
  <c r="I64" i="12"/>
  <c r="H64" i="12"/>
  <c r="G64" i="12"/>
  <c r="U50" i="12"/>
  <c r="U49" i="12"/>
  <c r="U48" i="12"/>
  <c r="T50" i="12"/>
  <c r="T49" i="12"/>
  <c r="T48" i="12"/>
  <c r="S50" i="12"/>
  <c r="O50" i="12"/>
  <c r="N50" i="12"/>
  <c r="M50" i="12"/>
  <c r="I50" i="12"/>
  <c r="H50" i="12"/>
  <c r="G50" i="12"/>
  <c r="U36" i="12"/>
  <c r="T36" i="12"/>
  <c r="S36" i="12"/>
  <c r="O36" i="12"/>
  <c r="N36" i="12"/>
  <c r="M36" i="12"/>
  <c r="I36" i="12"/>
  <c r="H36" i="12"/>
  <c r="G36" i="12"/>
  <c r="U22" i="12"/>
  <c r="T22" i="12"/>
  <c r="S22" i="12"/>
  <c r="O22" i="12"/>
  <c r="N22" i="12"/>
  <c r="M22" i="12"/>
  <c r="I22" i="12"/>
  <c r="H22" i="12"/>
  <c r="G22" i="12"/>
  <c r="U8" i="12"/>
  <c r="T8" i="12"/>
  <c r="S8" i="12"/>
  <c r="O8" i="12"/>
  <c r="N8" i="12"/>
  <c r="M8" i="12"/>
  <c r="I8" i="12"/>
  <c r="H8" i="12"/>
  <c r="G8" i="12"/>
  <c r="I7" i="12"/>
  <c r="H7" i="12"/>
  <c r="G7" i="12"/>
  <c r="U63" i="12"/>
  <c r="O63" i="12"/>
  <c r="U62" i="12"/>
  <c r="O62" i="12"/>
  <c r="U61" i="12"/>
  <c r="O61" i="12"/>
  <c r="T63" i="12"/>
  <c r="N63" i="12"/>
  <c r="T62" i="12"/>
  <c r="N62" i="12"/>
  <c r="T61" i="12"/>
  <c r="N61" i="12"/>
  <c r="S63" i="12"/>
  <c r="M63" i="12"/>
  <c r="S62" i="12"/>
  <c r="M62" i="12"/>
  <c r="S61" i="12"/>
  <c r="M61" i="12"/>
  <c r="I61" i="12"/>
  <c r="H61" i="12"/>
  <c r="G61" i="12"/>
  <c r="M116" i="12"/>
  <c r="G116" i="12"/>
  <c r="S102" i="12"/>
  <c r="M102" i="12"/>
  <c r="G102" i="12"/>
  <c r="S88" i="12"/>
  <c r="M88" i="12"/>
  <c r="G88" i="12"/>
  <c r="S74" i="12"/>
  <c r="M74" i="12"/>
  <c r="G74" i="12"/>
  <c r="S60" i="12"/>
  <c r="M60" i="12"/>
  <c r="G60" i="12"/>
  <c r="AC19" i="10"/>
  <c r="AC21" i="10"/>
  <c r="AC23" i="10" s="1"/>
  <c r="AC26" i="10"/>
  <c r="AC28" i="10" s="1"/>
  <c r="AC30" i="10" s="1"/>
  <c r="AC32" i="10" s="1"/>
  <c r="AC35" i="10" s="1"/>
  <c r="AC37" i="10" s="1"/>
  <c r="AC39" i="10" s="1"/>
  <c r="AC41" i="10" s="1"/>
  <c r="AC44" i="10"/>
  <c r="AC46" i="10" s="1"/>
  <c r="AC48" i="10" s="1"/>
  <c r="AC50" i="10" s="1"/>
  <c r="AC53" i="10" s="1"/>
  <c r="AC55" i="10" s="1"/>
  <c r="AC57" i="10" s="1"/>
  <c r="AC59" i="10" s="1"/>
  <c r="AC62" i="10" s="1"/>
  <c r="AC64" i="10" s="1"/>
  <c r="AC66" i="10" s="1"/>
  <c r="AC68" i="10" s="1"/>
  <c r="AC71" i="10" s="1"/>
  <c r="AC73" i="10" s="1"/>
  <c r="AC75" i="10" s="1"/>
  <c r="AC77" i="10" s="1"/>
  <c r="AC80" i="10" s="1"/>
  <c r="AC82" i="10" s="1"/>
  <c r="AC84" i="10" s="1"/>
  <c r="AC86" i="10" s="1"/>
  <c r="AC89" i="10" s="1"/>
  <c r="AC91" i="10" s="1"/>
  <c r="AC93" i="10" s="1"/>
  <c r="AC95" i="10" s="1"/>
  <c r="AC98" i="10" s="1"/>
  <c r="W242" i="10"/>
  <c r="W233" i="10"/>
  <c r="W224" i="10"/>
  <c r="W215" i="10"/>
  <c r="W206" i="10"/>
  <c r="W197" i="10"/>
  <c r="W188" i="10"/>
  <c r="W179" i="10"/>
  <c r="W170" i="10"/>
  <c r="W161" i="10"/>
  <c r="W152" i="10"/>
  <c r="W143" i="10"/>
  <c r="W134" i="10"/>
  <c r="W125" i="10"/>
  <c r="M183" i="12"/>
  <c r="H80" i="1"/>
  <c r="J99" i="6"/>
  <c r="J123" i="6" s="1"/>
  <c r="H79" i="1"/>
  <c r="J98" i="6"/>
  <c r="AB266" i="10"/>
  <c r="AL24" i="10"/>
  <c r="V17" i="10"/>
  <c r="U14" i="10"/>
  <c r="K18" i="10"/>
  <c r="F32" i="6" s="1"/>
  <c r="AA14" i="4"/>
  <c r="Z33" i="4"/>
  <c r="S260" i="4"/>
  <c r="J8" i="4"/>
  <c r="Z32" i="4"/>
  <c r="Z14" i="4"/>
  <c r="AL20" i="10"/>
  <c r="AL25" i="10"/>
  <c r="V248" i="10"/>
  <c r="AE248" i="10" s="1"/>
  <c r="I184" i="12"/>
  <c r="DX16" i="4"/>
  <c r="Z16" i="4"/>
  <c r="V246" i="10"/>
  <c r="W247" i="10"/>
  <c r="Z15" i="4"/>
  <c r="V244" i="10"/>
  <c r="V242" i="10"/>
  <c r="W243" i="10"/>
  <c r="V239" i="10"/>
  <c r="AA16" i="4"/>
  <c r="Q209" i="4"/>
  <c r="Q211" i="4"/>
  <c r="Q213" i="4" s="1"/>
  <c r="Q215" i="4" s="1"/>
  <c r="J13" i="4"/>
  <c r="J15" i="4"/>
  <c r="J17" i="4" s="1"/>
  <c r="J20" i="4" s="1"/>
  <c r="J22" i="4" s="1"/>
  <c r="J24" i="4" s="1"/>
  <c r="J26" i="4" s="1"/>
  <c r="J29" i="4" s="1"/>
  <c r="J31" i="4" s="1"/>
  <c r="J33" i="4"/>
  <c r="J35" i="4" s="1"/>
  <c r="J38" i="4" s="1"/>
  <c r="J40" i="4" s="1"/>
  <c r="J42" i="4" s="1"/>
  <c r="J44" i="4" s="1"/>
  <c r="J47" i="4" s="1"/>
  <c r="J49" i="4" s="1"/>
  <c r="J51" i="4" s="1"/>
  <c r="J53" i="4" s="1"/>
  <c r="J56" i="4" s="1"/>
  <c r="J58" i="4" s="1"/>
  <c r="J60" i="4" s="1"/>
  <c r="J62" i="4" s="1"/>
  <c r="J65" i="4" s="1"/>
  <c r="J67" i="4" s="1"/>
  <c r="J69" i="4" s="1"/>
  <c r="J71" i="4" s="1"/>
  <c r="J74" i="4" s="1"/>
  <c r="J76" i="4" s="1"/>
  <c r="J78" i="4" s="1"/>
  <c r="J80" i="4" s="1"/>
  <c r="J83" i="4" s="1"/>
  <c r="J85" i="4" s="1"/>
  <c r="J87" i="4" s="1"/>
  <c r="J89" i="4" s="1"/>
  <c r="J92" i="4" s="1"/>
  <c r="J94" i="4" s="1"/>
  <c r="J96" i="4" s="1"/>
  <c r="J98" i="4" s="1"/>
  <c r="J101" i="4" s="1"/>
  <c r="J103" i="4" s="1"/>
  <c r="J105" i="4" s="1"/>
  <c r="J107" i="4" s="1"/>
  <c r="J110" i="4" s="1"/>
  <c r="J112" i="4" s="1"/>
  <c r="J114" i="4" s="1"/>
  <c r="J116" i="4" s="1"/>
  <c r="J119" i="4" s="1"/>
  <c r="J121" i="4" s="1"/>
  <c r="J123" i="4"/>
  <c r="P200" i="4"/>
  <c r="P209" i="4"/>
  <c r="P211" i="4" s="1"/>
  <c r="P213" i="4" s="1"/>
  <c r="P215" i="4" s="1"/>
  <c r="V237" i="10"/>
  <c r="V235" i="10"/>
  <c r="W236" i="10"/>
  <c r="V233" i="10"/>
  <c r="L214" i="4"/>
  <c r="V230" i="10"/>
  <c r="V228" i="10"/>
  <c r="V226" i="10"/>
  <c r="V224" i="10"/>
  <c r="W225" i="10" s="1"/>
  <c r="V221" i="10"/>
  <c r="V219" i="10"/>
  <c r="V217" i="10"/>
  <c r="V215" i="10"/>
  <c r="V212" i="10"/>
  <c r="V210" i="10"/>
  <c r="V208" i="10"/>
  <c r="V206" i="10"/>
  <c r="V203" i="10"/>
  <c r="V201" i="10"/>
  <c r="V199" i="10"/>
  <c r="V197" i="10"/>
  <c r="V194" i="10"/>
  <c r="V192" i="10"/>
  <c r="V190" i="10"/>
  <c r="V188" i="10"/>
  <c r="V185" i="10"/>
  <c r="V183" i="10"/>
  <c r="V181" i="10"/>
  <c r="V179" i="10"/>
  <c r="V176" i="10"/>
  <c r="V174" i="10"/>
  <c r="V172" i="10"/>
  <c r="V170" i="10"/>
  <c r="V167" i="10"/>
  <c r="V165" i="10"/>
  <c r="V163" i="10"/>
  <c r="W164" i="10" s="1"/>
  <c r="V161" i="10"/>
  <c r="V158" i="10"/>
  <c r="V156" i="10"/>
  <c r="V154" i="10"/>
  <c r="V152" i="10"/>
  <c r="V149" i="10"/>
  <c r="V147" i="10"/>
  <c r="V145" i="10"/>
  <c r="V143" i="10"/>
  <c r="V140" i="10"/>
  <c r="V138" i="10"/>
  <c r="V136" i="10"/>
  <c r="V134" i="10"/>
  <c r="V131" i="10"/>
  <c r="V129" i="10"/>
  <c r="V127" i="10"/>
  <c r="W128" i="10"/>
  <c r="V125" i="10"/>
  <c r="V122" i="10"/>
  <c r="W123" i="10" s="1"/>
  <c r="BK18" i="4"/>
  <c r="DZ19" i="4"/>
  <c r="Z19" i="4"/>
  <c r="V120" i="10"/>
  <c r="V118" i="10"/>
  <c r="V116" i="10"/>
  <c r="V113" i="10"/>
  <c r="V111" i="10"/>
  <c r="V109" i="10"/>
  <c r="W110" i="10" s="1"/>
  <c r="V107" i="10"/>
  <c r="V104" i="10"/>
  <c r="V102" i="10"/>
  <c r="V100" i="10"/>
  <c r="V98" i="10"/>
  <c r="V95" i="10"/>
  <c r="V93" i="10"/>
  <c r="W94" i="10" s="1"/>
  <c r="V91" i="10"/>
  <c r="V89" i="10"/>
  <c r="W90" i="10"/>
  <c r="V86" i="10"/>
  <c r="V84" i="10"/>
  <c r="V82" i="10"/>
  <c r="W83" i="10"/>
  <c r="V80" i="10"/>
  <c r="W81" i="10"/>
  <c r="V77" i="10"/>
  <c r="V75" i="10"/>
  <c r="V73" i="10"/>
  <c r="V71" i="10"/>
  <c r="V68" i="10"/>
  <c r="V66" i="10"/>
  <c r="V64" i="10"/>
  <c r="V62" i="10"/>
  <c r="V59" i="10"/>
  <c r="V57" i="10"/>
  <c r="V55" i="10"/>
  <c r="V53" i="10"/>
  <c r="V50" i="10"/>
  <c r="W51" i="10"/>
  <c r="V48" i="10"/>
  <c r="V46" i="10"/>
  <c r="V44" i="10"/>
  <c r="V41" i="10"/>
  <c r="W42" i="10" s="1"/>
  <c r="V39" i="10"/>
  <c r="W40" i="10" s="1"/>
  <c r="V37" i="10"/>
  <c r="V35" i="10"/>
  <c r="V32" i="10"/>
  <c r="V30" i="10"/>
  <c r="V28" i="10"/>
  <c r="V26" i="10"/>
  <c r="AL23" i="10"/>
  <c r="AL22" i="10"/>
  <c r="AL21" i="10"/>
  <c r="I255" i="4"/>
  <c r="Y251" i="10"/>
  <c r="J259" i="4"/>
  <c r="Y17" i="10"/>
  <c r="AP26" i="10" s="1"/>
  <c r="Y19" i="10"/>
  <c r="Y21" i="10"/>
  <c r="Y23" i="10"/>
  <c r="Y26" i="10"/>
  <c r="Y28" i="10"/>
  <c r="AU26" i="10" s="1"/>
  <c r="Y30" i="10"/>
  <c r="AV26" i="10" s="1"/>
  <c r="Y32" i="10"/>
  <c r="AW26" i="10" s="1"/>
  <c r="Y35" i="10"/>
  <c r="AX26" i="10" s="1"/>
  <c r="Y37" i="10"/>
  <c r="AY26" i="10" s="1"/>
  <c r="Y39" i="10"/>
  <c r="AZ26" i="10" s="1"/>
  <c r="Y41" i="10"/>
  <c r="BA26" i="10" s="1"/>
  <c r="Y44" i="10"/>
  <c r="BB26" i="10" s="1"/>
  <c r="Y46" i="10"/>
  <c r="BC26" i="10" s="1"/>
  <c r="Y48" i="10"/>
  <c r="BD26" i="10" s="1"/>
  <c r="Y50" i="10"/>
  <c r="BE26" i="10" s="1"/>
  <c r="Y53" i="10"/>
  <c r="BF26" i="10" s="1"/>
  <c r="Y55" i="10"/>
  <c r="BG26" i="10" s="1"/>
  <c r="Y57" i="10"/>
  <c r="BH26" i="10" s="1"/>
  <c r="Y59" i="10"/>
  <c r="BI26" i="10" s="1"/>
  <c r="Y62" i="10"/>
  <c r="BJ26" i="10" s="1"/>
  <c r="Y64" i="10"/>
  <c r="BK26" i="10" s="1"/>
  <c r="Y66" i="10"/>
  <c r="BL26" i="10" s="1"/>
  <c r="Y68" i="10"/>
  <c r="BM26" i="10" s="1"/>
  <c r="Y71" i="10"/>
  <c r="BN26" i="10" s="1"/>
  <c r="Y73" i="10"/>
  <c r="BO26" i="10" s="1"/>
  <c r="Y75" i="10"/>
  <c r="BP26" i="10" s="1"/>
  <c r="Y77" i="10"/>
  <c r="BQ26" i="10" s="1"/>
  <c r="Y80" i="10"/>
  <c r="BR26" i="10" s="1"/>
  <c r="Y82" i="10"/>
  <c r="BS26" i="10" s="1"/>
  <c r="Y84" i="10"/>
  <c r="BT26" i="10" s="1"/>
  <c r="Y86" i="10"/>
  <c r="BU26" i="10" s="1"/>
  <c r="Y89" i="10"/>
  <c r="BV26" i="10" s="1"/>
  <c r="Y91" i="10"/>
  <c r="BW26" i="10" s="1"/>
  <c r="Y93" i="10"/>
  <c r="BX26" i="10" s="1"/>
  <c r="Y95" i="10"/>
  <c r="BY26" i="10" s="1"/>
  <c r="Y98" i="10"/>
  <c r="BZ26" i="10" s="1"/>
  <c r="Y100" i="10"/>
  <c r="CA26" i="10" s="1"/>
  <c r="Y102" i="10"/>
  <c r="CB26" i="10" s="1"/>
  <c r="Y104" i="10"/>
  <c r="CC26" i="10" s="1"/>
  <c r="AQ19" i="10"/>
  <c r="AR19" i="10" s="1"/>
  <c r="AS19" i="10" s="1"/>
  <c r="AT19" i="10" s="1"/>
  <c r="AU19" i="10" s="1"/>
  <c r="AV19" i="10" s="1"/>
  <c r="AW19" i="10" s="1"/>
  <c r="AX19" i="10" s="1"/>
  <c r="AY19" i="10"/>
  <c r="AZ19" i="10" s="1"/>
  <c r="BA19" i="10" s="1"/>
  <c r="BB19" i="10" s="1"/>
  <c r="BC19" i="10" s="1"/>
  <c r="BD19" i="10" s="1"/>
  <c r="BE19" i="10" s="1"/>
  <c r="BF19" i="10" s="1"/>
  <c r="BG19" i="10" s="1"/>
  <c r="BH19" i="10" s="1"/>
  <c r="BI19" i="10" s="1"/>
  <c r="BJ19" i="10" s="1"/>
  <c r="BK19" i="10" s="1"/>
  <c r="BL19" i="10" s="1"/>
  <c r="BM19" i="10" s="1"/>
  <c r="BN19" i="10" s="1"/>
  <c r="BO19" i="10" s="1"/>
  <c r="BP19" i="10" s="1"/>
  <c r="BQ19" i="10" s="1"/>
  <c r="BR19" i="10" s="1"/>
  <c r="BS19" i="10" s="1"/>
  <c r="BT19" i="10" s="1"/>
  <c r="BU19" i="10" s="1"/>
  <c r="BV19" i="10" s="1"/>
  <c r="BW19" i="10" s="1"/>
  <c r="BX19" i="10" s="1"/>
  <c r="BY19" i="10" s="1"/>
  <c r="BZ19" i="10" s="1"/>
  <c r="CA19" i="10" s="1"/>
  <c r="CB19" i="10" s="1"/>
  <c r="CC19" i="10" s="1"/>
  <c r="CD19" i="10" s="1"/>
  <c r="CE19" i="10" s="1"/>
  <c r="CF19" i="10" s="1"/>
  <c r="CG19" i="10" s="1"/>
  <c r="CH19" i="10" s="1"/>
  <c r="CI19" i="10" s="1"/>
  <c r="CJ19" i="10" s="1"/>
  <c r="CK19" i="10" s="1"/>
  <c r="CL19" i="10" s="1"/>
  <c r="CM19" i="10" s="1"/>
  <c r="CN19" i="10" s="1"/>
  <c r="CO19" i="10" s="1"/>
  <c r="CP19" i="10" s="1"/>
  <c r="CQ19" i="10" s="1"/>
  <c r="CR19" i="10" s="1"/>
  <c r="CS19" i="10" s="1"/>
  <c r="CT19" i="10" s="1"/>
  <c r="CU19" i="10" s="1"/>
  <c r="CV19" i="10" s="1"/>
  <c r="CW19" i="10" s="1"/>
  <c r="CX19" i="10" s="1"/>
  <c r="CY19" i="10" s="1"/>
  <c r="CZ19" i="10" s="1"/>
  <c r="DA19" i="10" s="1"/>
  <c r="DB19" i="10" s="1"/>
  <c r="DC19" i="10" s="1"/>
  <c r="DD19" i="10" s="1"/>
  <c r="DE19" i="10" s="1"/>
  <c r="DF19" i="10" s="1"/>
  <c r="DG19" i="10" s="1"/>
  <c r="DH19" i="10" s="1"/>
  <c r="DI19" i="10" s="1"/>
  <c r="DJ19" i="10" s="1"/>
  <c r="DK19" i="10" s="1"/>
  <c r="DL19" i="10" s="1"/>
  <c r="DM19" i="10" s="1"/>
  <c r="DN19" i="10" s="1"/>
  <c r="DO19" i="10" s="1"/>
  <c r="DP19" i="10" s="1"/>
  <c r="DQ19" i="10" s="1"/>
  <c r="DR19" i="10" s="1"/>
  <c r="DS19" i="10" s="1"/>
  <c r="DT19" i="10" s="1"/>
  <c r="DU19" i="10" s="1"/>
  <c r="DV19" i="10" s="1"/>
  <c r="DW19" i="10" s="1"/>
  <c r="DX19" i="10" s="1"/>
  <c r="DY19" i="10" s="1"/>
  <c r="DZ19" i="10" s="1"/>
  <c r="EA19" i="10" s="1"/>
  <c r="EB19" i="10" s="1"/>
  <c r="EC19" i="10" s="1"/>
  <c r="ED19" i="10" s="1"/>
  <c r="EE19" i="10" s="1"/>
  <c r="EF19" i="10" s="1"/>
  <c r="EG19" i="10" s="1"/>
  <c r="EH19" i="10" s="1"/>
  <c r="EI19" i="10" s="1"/>
  <c r="EJ19" i="10" s="1"/>
  <c r="EK19" i="10" s="1"/>
  <c r="EL19" i="10" s="1"/>
  <c r="EM19" i="10" s="1"/>
  <c r="EN19" i="10" s="1"/>
  <c r="EO19" i="10" s="1"/>
  <c r="EP19" i="10" s="1"/>
  <c r="EQ19" i="10" s="1"/>
  <c r="ER19" i="10" s="1"/>
  <c r="ES19" i="10" s="1"/>
  <c r="ET19" i="10" s="1"/>
  <c r="AM21" i="10"/>
  <c r="AM22" i="10"/>
  <c r="AM23" i="10"/>
  <c r="AM25" i="10"/>
  <c r="AM20" i="10"/>
  <c r="B36" i="1"/>
  <c r="AJ21" i="10" s="1"/>
  <c r="B37" i="1"/>
  <c r="AJ22" i="10" s="1"/>
  <c r="B38" i="1"/>
  <c r="AJ23" i="10" s="1"/>
  <c r="B39" i="1"/>
  <c r="AJ24" i="10" s="1"/>
  <c r="B40" i="1"/>
  <c r="AJ25" i="10" s="1"/>
  <c r="AJ20" i="10"/>
  <c r="Y248" i="10"/>
  <c r="EO26" i="10"/>
  <c r="Y246" i="10"/>
  <c r="EN26" i="10"/>
  <c r="Y244" i="10"/>
  <c r="EM26" i="10"/>
  <c r="Y242" i="10"/>
  <c r="EL26" i="10"/>
  <c r="Y239" i="10"/>
  <c r="EK26" i="10"/>
  <c r="Y237" i="10"/>
  <c r="EJ26" i="10"/>
  <c r="Y235" i="10"/>
  <c r="EI26" i="10"/>
  <c r="Y233" i="10"/>
  <c r="EH26" i="10"/>
  <c r="Y230" i="10"/>
  <c r="EG20" i="10"/>
  <c r="Y228" i="10"/>
  <c r="EF26" i="10"/>
  <c r="Y226" i="10"/>
  <c r="EE26" i="10"/>
  <c r="Y224" i="10"/>
  <c r="ED26" i="10"/>
  <c r="Y221" i="10"/>
  <c r="EC26" i="10"/>
  <c r="Y219" i="10"/>
  <c r="EB26" i="10"/>
  <c r="Y217" i="10"/>
  <c r="EA26" i="10"/>
  <c r="Y215" i="10"/>
  <c r="DZ26" i="10"/>
  <c r="Y212" i="10"/>
  <c r="DY26" i="10"/>
  <c r="Y210" i="10"/>
  <c r="DX26" i="10"/>
  <c r="Y208" i="10"/>
  <c r="DW26" i="10"/>
  <c r="Y206" i="10"/>
  <c r="DV26" i="10"/>
  <c r="Y203" i="10"/>
  <c r="DU26" i="10"/>
  <c r="Y201" i="10"/>
  <c r="DT26" i="10"/>
  <c r="Y199" i="10"/>
  <c r="DS26" i="10"/>
  <c r="Y197" i="10"/>
  <c r="DR26" i="10"/>
  <c r="Y194" i="10"/>
  <c r="DQ26" i="10"/>
  <c r="Y192" i="10"/>
  <c r="DP26" i="10"/>
  <c r="Y190" i="10"/>
  <c r="DO26" i="10"/>
  <c r="Y188" i="10"/>
  <c r="DN26" i="10"/>
  <c r="Y185" i="10"/>
  <c r="DM26" i="10"/>
  <c r="Y183" i="10"/>
  <c r="DL26" i="10"/>
  <c r="Y181" i="10"/>
  <c r="DK26" i="10"/>
  <c r="Y179" i="10"/>
  <c r="DJ26" i="10"/>
  <c r="Y176" i="10"/>
  <c r="DI26" i="10"/>
  <c r="Y174" i="10"/>
  <c r="DH26" i="10"/>
  <c r="Y172" i="10"/>
  <c r="DG26" i="10"/>
  <c r="Y170" i="10"/>
  <c r="DF26" i="10"/>
  <c r="Y167" i="10"/>
  <c r="DE26" i="10"/>
  <c r="Y165" i="10"/>
  <c r="DD26" i="10"/>
  <c r="Y163" i="10"/>
  <c r="DC26" i="10"/>
  <c r="Y161" i="10"/>
  <c r="DB26" i="10"/>
  <c r="Y158" i="10"/>
  <c r="DA26" i="10"/>
  <c r="Y156" i="10"/>
  <c r="CZ26" i="10"/>
  <c r="Y154" i="10"/>
  <c r="CY26" i="10"/>
  <c r="Y152" i="10"/>
  <c r="CX26" i="10"/>
  <c r="Y149" i="10"/>
  <c r="Y147" i="10"/>
  <c r="CV26" i="10" s="1"/>
  <c r="Y145" i="10"/>
  <c r="CU26" i="10" s="1"/>
  <c r="Y143" i="10"/>
  <c r="CT26" i="10" s="1"/>
  <c r="Y140" i="10"/>
  <c r="CS26" i="10" s="1"/>
  <c r="Y138" i="10"/>
  <c r="Y136" i="10"/>
  <c r="CQ26" i="10" s="1"/>
  <c r="Y134" i="10"/>
  <c r="CP26" i="10" s="1"/>
  <c r="Y131" i="10"/>
  <c r="CO26" i="10" s="1"/>
  <c r="Y129" i="10"/>
  <c r="CN26" i="10" s="1"/>
  <c r="Y127" i="10"/>
  <c r="CM26" i="10" s="1"/>
  <c r="Y125" i="10"/>
  <c r="CL26" i="10" s="1"/>
  <c r="Y122" i="10"/>
  <c r="CK26" i="10" s="1"/>
  <c r="Y113" i="10"/>
  <c r="V23" i="10"/>
  <c r="W24" i="10" s="1"/>
  <c r="U19" i="10"/>
  <c r="U21" i="10" s="1"/>
  <c r="U23" i="10" s="1"/>
  <c r="U26" i="10" s="1"/>
  <c r="U28" i="10"/>
  <c r="U30" i="10" s="1"/>
  <c r="U32" i="10" s="1"/>
  <c r="U35" i="10" s="1"/>
  <c r="U37" i="10" s="1"/>
  <c r="U39" i="10" s="1"/>
  <c r="U41" i="10" s="1"/>
  <c r="U44" i="10" s="1"/>
  <c r="U46" i="10" s="1"/>
  <c r="U48" i="10" s="1"/>
  <c r="U50" i="10" s="1"/>
  <c r="U53" i="10" s="1"/>
  <c r="U55" i="10" s="1"/>
  <c r="U57" i="10" s="1"/>
  <c r="U59" i="10" s="1"/>
  <c r="U62" i="10" s="1"/>
  <c r="U64" i="10" s="1"/>
  <c r="U66" i="10" s="1"/>
  <c r="U68" i="10" s="1"/>
  <c r="U71" i="10" s="1"/>
  <c r="U73" i="10" s="1"/>
  <c r="U75" i="10" s="1"/>
  <c r="U77" i="10" s="1"/>
  <c r="U80" i="10" s="1"/>
  <c r="U82" i="10" s="1"/>
  <c r="U84" i="10" s="1"/>
  <c r="U86" i="10" s="1"/>
  <c r="U89" i="10" s="1"/>
  <c r="U91" i="10" s="1"/>
  <c r="U93" i="10" s="1"/>
  <c r="U95" i="10" s="1"/>
  <c r="U98" i="10" s="1"/>
  <c r="U100" i="10" s="1"/>
  <c r="U102" i="10" s="1"/>
  <c r="U104" i="10" s="1"/>
  <c r="U107" i="10" s="1"/>
  <c r="U109" i="10" s="1"/>
  <c r="U111" i="10" s="1"/>
  <c r="U113" i="10" s="1"/>
  <c r="U116" i="10" s="1"/>
  <c r="U118" i="10" s="1"/>
  <c r="U120" i="10" s="1"/>
  <c r="U122" i="10" s="1"/>
  <c r="U125" i="10" s="1"/>
  <c r="U127" i="10" s="1"/>
  <c r="U129" i="10" s="1"/>
  <c r="U131" i="10" s="1"/>
  <c r="U134" i="10" s="1"/>
  <c r="U136" i="10" s="1"/>
  <c r="U138" i="10" s="1"/>
  <c r="U140" i="10" s="1"/>
  <c r="U143" i="10" s="1"/>
  <c r="U145" i="10" s="1"/>
  <c r="U147" i="10" s="1"/>
  <c r="U149" i="10" s="1"/>
  <c r="U152" i="10" s="1"/>
  <c r="U154" i="10" s="1"/>
  <c r="U156" i="10" s="1"/>
  <c r="U158" i="10" s="1"/>
  <c r="U161" i="10" s="1"/>
  <c r="U163" i="10" s="1"/>
  <c r="U165" i="10" s="1"/>
  <c r="U167" i="10" s="1"/>
  <c r="U170" i="10" s="1"/>
  <c r="U172" i="10" s="1"/>
  <c r="U174" i="10" s="1"/>
  <c r="U176" i="10" s="1"/>
  <c r="U179" i="10" s="1"/>
  <c r="U181" i="10" s="1"/>
  <c r="U183" i="10" s="1"/>
  <c r="U185" i="10" s="1"/>
  <c r="U188" i="10" s="1"/>
  <c r="U190" i="10" s="1"/>
  <c r="U192" i="10" s="1"/>
  <c r="U194" i="10" s="1"/>
  <c r="U197" i="10" s="1"/>
  <c r="U199" i="10" s="1"/>
  <c r="U201" i="10" s="1"/>
  <c r="U203" i="10" s="1"/>
  <c r="U206" i="10" s="1"/>
  <c r="U208" i="10" s="1"/>
  <c r="U210" i="10" s="1"/>
  <c r="U212" i="10" s="1"/>
  <c r="U215" i="10" s="1"/>
  <c r="U217" i="10" s="1"/>
  <c r="U219" i="10" s="1"/>
  <c r="U221" i="10" s="1"/>
  <c r="U224" i="10" s="1"/>
  <c r="U226" i="10" s="1"/>
  <c r="U228" i="10" s="1"/>
  <c r="U230" i="10" s="1"/>
  <c r="U233" i="10" s="1"/>
  <c r="U235" i="10" s="1"/>
  <c r="U237" i="10" s="1"/>
  <c r="U239" i="10" s="1"/>
  <c r="U242" i="10" s="1"/>
  <c r="U244" i="10" s="1"/>
  <c r="U246" i="10" s="1"/>
  <c r="U248" i="10" s="1"/>
  <c r="U251" i="10" s="1"/>
  <c r="U254" i="10" s="1"/>
  <c r="U257" i="10" s="1"/>
  <c r="U260" i="10" s="1"/>
  <c r="G20" i="4"/>
  <c r="G29" i="4"/>
  <c r="U11" i="4"/>
  <c r="Y21" i="4"/>
  <c r="K259" i="4" s="1"/>
  <c r="U133" i="12"/>
  <c r="U20" i="4"/>
  <c r="U29" i="4"/>
  <c r="Q3" i="12" s="1"/>
  <c r="U38" i="4"/>
  <c r="E17" i="12" s="1"/>
  <c r="U47" i="4"/>
  <c r="K17" i="12" s="1"/>
  <c r="U56" i="4"/>
  <c r="Q17" i="12" s="1"/>
  <c r="U65" i="4"/>
  <c r="E31" i="12" s="1"/>
  <c r="U74" i="4"/>
  <c r="K31" i="12" s="1"/>
  <c r="U83" i="4"/>
  <c r="U92" i="4"/>
  <c r="E45" i="12" s="1"/>
  <c r="U101" i="4"/>
  <c r="K45" i="12" s="1"/>
  <c r="U110" i="4"/>
  <c r="Q45" i="12" s="1"/>
  <c r="U119" i="4"/>
  <c r="U128" i="4"/>
  <c r="U137" i="4"/>
  <c r="U146" i="4"/>
  <c r="U155" i="4"/>
  <c r="U164" i="4"/>
  <c r="U173" i="4"/>
  <c r="U182" i="4"/>
  <c r="U191" i="4"/>
  <c r="U200" i="4"/>
  <c r="U209" i="4"/>
  <c r="U218" i="4"/>
  <c r="U227" i="4"/>
  <c r="U236" i="4"/>
  <c r="M123" i="12"/>
  <c r="Y22" i="4"/>
  <c r="Z22" i="4"/>
  <c r="Y23" i="4"/>
  <c r="K273" i="4"/>
  <c r="Y24" i="4"/>
  <c r="K280" i="4"/>
  <c r="I198" i="12"/>
  <c r="L12" i="4"/>
  <c r="L14" i="4"/>
  <c r="L16" i="4"/>
  <c r="L21" i="4"/>
  <c r="L23" i="4"/>
  <c r="L25" i="4"/>
  <c r="L30" i="4"/>
  <c r="L32" i="4"/>
  <c r="L34" i="4"/>
  <c r="L39" i="4"/>
  <c r="L41" i="4"/>
  <c r="L43" i="4"/>
  <c r="L48" i="4"/>
  <c r="L50" i="4"/>
  <c r="L52" i="4"/>
  <c r="L57" i="4"/>
  <c r="L59" i="4"/>
  <c r="L61" i="4"/>
  <c r="L66" i="4"/>
  <c r="L68" i="4"/>
  <c r="L70" i="4"/>
  <c r="L75" i="4"/>
  <c r="L77" i="4"/>
  <c r="L79" i="4"/>
  <c r="L84" i="4"/>
  <c r="L86" i="4"/>
  <c r="L88" i="4"/>
  <c r="L93" i="4"/>
  <c r="L95" i="4"/>
  <c r="L97" i="4"/>
  <c r="L102" i="4"/>
  <c r="L104" i="4"/>
  <c r="L106" i="4"/>
  <c r="L111" i="4"/>
  <c r="L113" i="4"/>
  <c r="L115" i="4"/>
  <c r="L120" i="4"/>
  <c r="L122" i="4"/>
  <c r="L124" i="4"/>
  <c r="L129" i="4"/>
  <c r="L131" i="4"/>
  <c r="L133" i="4"/>
  <c r="L138" i="4"/>
  <c r="L140" i="4"/>
  <c r="L142" i="4"/>
  <c r="L147" i="4"/>
  <c r="L149" i="4"/>
  <c r="L151" i="4"/>
  <c r="L156" i="4"/>
  <c r="L158" i="4"/>
  <c r="L160" i="4"/>
  <c r="L165" i="4"/>
  <c r="L167" i="4"/>
  <c r="L169" i="4"/>
  <c r="L174" i="4"/>
  <c r="L176" i="4"/>
  <c r="L178" i="4"/>
  <c r="L183" i="4"/>
  <c r="L185" i="4"/>
  <c r="L187" i="4"/>
  <c r="L192" i="4"/>
  <c r="L194" i="4"/>
  <c r="L196" i="4"/>
  <c r="L201" i="4"/>
  <c r="L203" i="4"/>
  <c r="L205" i="4"/>
  <c r="L210" i="4"/>
  <c r="L212" i="4"/>
  <c r="L219" i="4"/>
  <c r="L221" i="4"/>
  <c r="L223" i="4"/>
  <c r="L228" i="4"/>
  <c r="L230" i="4"/>
  <c r="L232" i="4"/>
  <c r="L237" i="4"/>
  <c r="L239" i="4"/>
  <c r="L241" i="4"/>
  <c r="AC13" i="4"/>
  <c r="AD13" i="4"/>
  <c r="AE13" i="4" s="1"/>
  <c r="AF13" i="4" s="1"/>
  <c r="AG13" i="4" s="1"/>
  <c r="AH13" i="4" s="1"/>
  <c r="AI13" i="4" s="1"/>
  <c r="AJ13" i="4" s="1"/>
  <c r="AK13" i="4" s="1"/>
  <c r="AL13" i="4" s="1"/>
  <c r="AM13" i="4" s="1"/>
  <c r="AN13" i="4" s="1"/>
  <c r="AO13" i="4" s="1"/>
  <c r="AP13" i="4" s="1"/>
  <c r="AQ13" i="4" s="1"/>
  <c r="AR13" i="4" s="1"/>
  <c r="AS13" i="4" s="1"/>
  <c r="AT13" i="4" s="1"/>
  <c r="AU13" i="4" s="1"/>
  <c r="AV13" i="4" s="1"/>
  <c r="AW13" i="4" s="1"/>
  <c r="AX13" i="4" s="1"/>
  <c r="AY13" i="4" s="1"/>
  <c r="AZ13" i="4" s="1"/>
  <c r="BA13" i="4" s="1"/>
  <c r="BB13" i="4" s="1"/>
  <c r="BC13" i="4" s="1"/>
  <c r="BD13" i="4"/>
  <c r="BE13" i="4" s="1"/>
  <c r="BF13" i="4" s="1"/>
  <c r="BG13" i="4" s="1"/>
  <c r="BH13" i="4" s="1"/>
  <c r="BI13" i="4" s="1"/>
  <c r="BJ13" i="4" s="1"/>
  <c r="BK13" i="4" s="1"/>
  <c r="BL13" i="4" s="1"/>
  <c r="BM13" i="4" s="1"/>
  <c r="BN13" i="4" s="1"/>
  <c r="BO13" i="4" s="1"/>
  <c r="BP13" i="4" s="1"/>
  <c r="BQ13" i="4" s="1"/>
  <c r="BR13" i="4" s="1"/>
  <c r="BS13" i="4" s="1"/>
  <c r="BT13" i="4" s="1"/>
  <c r="BU13" i="4" s="1"/>
  <c r="BV13" i="4" s="1"/>
  <c r="BW13" i="4" s="1"/>
  <c r="BX13" i="4" s="1"/>
  <c r="BY13" i="4" s="1"/>
  <c r="BZ13" i="4" s="1"/>
  <c r="CA13" i="4" s="1"/>
  <c r="CB13" i="4" s="1"/>
  <c r="CC13" i="4" s="1"/>
  <c r="CD13" i="4" s="1"/>
  <c r="CE13" i="4" s="1"/>
  <c r="CF13" i="4" s="1"/>
  <c r="CG13" i="4" s="1"/>
  <c r="CH13" i="4" s="1"/>
  <c r="CI13" i="4" s="1"/>
  <c r="CJ13" i="4" s="1"/>
  <c r="CK13" i="4" s="1"/>
  <c r="CL13" i="4" s="1"/>
  <c r="CM13" i="4" s="1"/>
  <c r="CN13" i="4" s="1"/>
  <c r="CO13" i="4" s="1"/>
  <c r="CP13" i="4" s="1"/>
  <c r="CQ13" i="4" s="1"/>
  <c r="CR13" i="4" s="1"/>
  <c r="CS13" i="4" s="1"/>
  <c r="CT13" i="4" s="1"/>
  <c r="CU13" i="4" s="1"/>
  <c r="CV13" i="4" s="1"/>
  <c r="CW13" i="4" s="1"/>
  <c r="CX13" i="4" s="1"/>
  <c r="CY13" i="4" s="1"/>
  <c r="CZ13" i="4" s="1"/>
  <c r="DA13" i="4" s="1"/>
  <c r="DB13" i="4" s="1"/>
  <c r="DC13" i="4" s="1"/>
  <c r="DD13" i="4" s="1"/>
  <c r="DE13" i="4" s="1"/>
  <c r="DF13" i="4" s="1"/>
  <c r="DG13" i="4" s="1"/>
  <c r="DH13" i="4" s="1"/>
  <c r="DI13" i="4" s="1"/>
  <c r="DJ13" i="4" s="1"/>
  <c r="DK13" i="4" s="1"/>
  <c r="DL13" i="4" s="1"/>
  <c r="DM13" i="4" s="1"/>
  <c r="DN13" i="4" s="1"/>
  <c r="DO13" i="4" s="1"/>
  <c r="DP13" i="4" s="1"/>
  <c r="DQ13" i="4" s="1"/>
  <c r="DR13" i="4" s="1"/>
  <c r="DS13" i="4" s="1"/>
  <c r="DT13" i="4" s="1"/>
  <c r="DU13" i="4" s="1"/>
  <c r="DV13" i="4" s="1"/>
  <c r="DW13" i="4" s="1"/>
  <c r="DX13" i="4" s="1"/>
  <c r="DY13" i="4" s="1"/>
  <c r="DZ13" i="4" s="1"/>
  <c r="EA13" i="4" s="1"/>
  <c r="EB13" i="4" s="1"/>
  <c r="EC13" i="4" s="1"/>
  <c r="ED13" i="4" s="1"/>
  <c r="EE13" i="4" s="1"/>
  <c r="EF13" i="4" s="1"/>
  <c r="CF26" i="4"/>
  <c r="CF27" i="4"/>
  <c r="DZ16" i="4"/>
  <c r="DY16" i="4"/>
  <c r="P229" i="4"/>
  <c r="P231" i="4"/>
  <c r="P233" i="4" s="1"/>
  <c r="Q229" i="4"/>
  <c r="Q231" i="4" s="1"/>
  <c r="Q233" i="4" s="1"/>
  <c r="L235" i="4"/>
  <c r="DV16" i="4"/>
  <c r="DU16" i="4"/>
  <c r="AA15" i="4"/>
  <c r="DR16" i="4"/>
  <c r="DN16" i="4"/>
  <c r="DM16" i="4"/>
  <c r="DI16" i="4"/>
  <c r="DF16" i="4"/>
  <c r="DD16" i="4"/>
  <c r="DA16" i="4"/>
  <c r="CX16" i="4"/>
  <c r="CW16" i="4"/>
  <c r="CS16" i="4"/>
  <c r="CR16" i="4"/>
  <c r="CJ16" i="4"/>
  <c r="CG29" i="4"/>
  <c r="CH29" i="4"/>
  <c r="CI29" i="4" s="1"/>
  <c r="P220" i="4"/>
  <c r="P222" i="4" s="1"/>
  <c r="P224" i="4"/>
  <c r="Q220" i="4"/>
  <c r="Q222" i="4"/>
  <c r="Q224" i="4" s="1"/>
  <c r="L226" i="4"/>
  <c r="L19" i="4"/>
  <c r="L244" i="4"/>
  <c r="L217" i="4"/>
  <c r="L208" i="4"/>
  <c r="L199" i="4"/>
  <c r="L190" i="4"/>
  <c r="L181" i="4"/>
  <c r="L172" i="4"/>
  <c r="L163" i="4"/>
  <c r="L154" i="4"/>
  <c r="L145" i="4"/>
  <c r="L136" i="4"/>
  <c r="L127" i="4"/>
  <c r="L118" i="4"/>
  <c r="L109" i="4"/>
  <c r="L100" i="4"/>
  <c r="L91" i="4"/>
  <c r="L82" i="4"/>
  <c r="L73" i="4"/>
  <c r="L64" i="4"/>
  <c r="L55" i="4"/>
  <c r="L46" i="4"/>
  <c r="L37" i="4"/>
  <c r="L28" i="4"/>
  <c r="H258" i="4"/>
  <c r="H11" i="4"/>
  <c r="T17" i="10" s="1"/>
  <c r="AP18" i="10"/>
  <c r="Q238" i="4"/>
  <c r="Q240" i="4"/>
  <c r="Q242" i="4" s="1"/>
  <c r="R244" i="4" s="1"/>
  <c r="T242" i="4" s="1"/>
  <c r="P184" i="4"/>
  <c r="P186" i="4" s="1"/>
  <c r="P188" i="4" s="1"/>
  <c r="P191" i="4"/>
  <c r="P193" i="4"/>
  <c r="P195" i="4" s="1"/>
  <c r="P197" i="4" s="1"/>
  <c r="Q182" i="4"/>
  <c r="Q191" i="4"/>
  <c r="Q193" i="4" s="1"/>
  <c r="Q195" i="4" s="1"/>
  <c r="Q197" i="4" s="1"/>
  <c r="P148" i="4"/>
  <c r="P150" i="4" s="1"/>
  <c r="P152" i="4"/>
  <c r="Q139" i="4"/>
  <c r="Q141" i="4"/>
  <c r="Q143" i="4" s="1"/>
  <c r="P173" i="4"/>
  <c r="P166" i="4"/>
  <c r="P168" i="4"/>
  <c r="P170" i="4" s="1"/>
  <c r="Q157" i="4"/>
  <c r="Q159" i="4" s="1"/>
  <c r="Q161" i="4" s="1"/>
  <c r="Q166" i="4"/>
  <c r="Q168" i="4"/>
  <c r="Q170" i="4" s="1"/>
  <c r="P238" i="4"/>
  <c r="P240" i="4" s="1"/>
  <c r="P242" i="4" s="1"/>
  <c r="P130" i="4"/>
  <c r="P132" i="4"/>
  <c r="P134" i="4" s="1"/>
  <c r="Q130" i="4"/>
  <c r="Q132" i="4" s="1"/>
  <c r="Q134" i="4" s="1"/>
  <c r="P139" i="4"/>
  <c r="P141" i="4" s="1"/>
  <c r="P143" i="4" s="1"/>
  <c r="Q148" i="4"/>
  <c r="Q150" i="4" s="1"/>
  <c r="Q152" i="4" s="1"/>
  <c r="Q173" i="4"/>
  <c r="Q175" i="4"/>
  <c r="Q177" i="4"/>
  <c r="Q179" i="4"/>
  <c r="R12" i="6"/>
  <c r="T12" i="6"/>
  <c r="R13" i="6"/>
  <c r="T13" i="6"/>
  <c r="R14" i="6"/>
  <c r="T14" i="6"/>
  <c r="R15" i="6"/>
  <c r="T15" i="6"/>
  <c r="R11" i="6"/>
  <c r="T11" i="6"/>
  <c r="G59" i="1"/>
  <c r="G58" i="1"/>
  <c r="I58" i="1"/>
  <c r="K77" i="6"/>
  <c r="J58" i="1"/>
  <c r="I77" i="6" s="1"/>
  <c r="P157" i="4"/>
  <c r="P159" i="4"/>
  <c r="P161" i="4" s="1"/>
  <c r="T31" i="11"/>
  <c r="T26" i="11"/>
  <c r="T44" i="11"/>
  <c r="T39" i="11"/>
  <c r="T35" i="11"/>
  <c r="Z45" i="11"/>
  <c r="F9" i="11"/>
  <c r="G69" i="6"/>
  <c r="O98" i="6"/>
  <c r="O99" i="6" s="1"/>
  <c r="D72" i="6"/>
  <c r="D125" i="6"/>
  <c r="G74" i="6"/>
  <c r="G77" i="6"/>
  <c r="H77" i="6"/>
  <c r="J77" i="6"/>
  <c r="M77" i="6"/>
  <c r="M79" i="6" s="1"/>
  <c r="J78" i="6"/>
  <c r="G81" i="6"/>
  <c r="E85" i="6"/>
  <c r="H85" i="6"/>
  <c r="E86" i="6"/>
  <c r="H86" i="6"/>
  <c r="E87" i="6"/>
  <c r="H87" i="6"/>
  <c r="E88" i="6"/>
  <c r="H88" i="6"/>
  <c r="E89" i="6"/>
  <c r="H89" i="6"/>
  <c r="K89" i="6"/>
  <c r="E90" i="6"/>
  <c r="H90" i="6"/>
  <c r="K90" i="6"/>
  <c r="E98" i="6"/>
  <c r="H98" i="6"/>
  <c r="E99" i="6"/>
  <c r="H99" i="6"/>
  <c r="E100" i="6"/>
  <c r="H100" i="6"/>
  <c r="E101" i="6"/>
  <c r="H101" i="6"/>
  <c r="E102" i="6"/>
  <c r="H102" i="6"/>
  <c r="E103" i="6"/>
  <c r="H103" i="6"/>
  <c r="E104" i="6"/>
  <c r="H104" i="6"/>
  <c r="E105" i="6"/>
  <c r="H105" i="6"/>
  <c r="E106" i="6"/>
  <c r="H106" i="6"/>
  <c r="E107" i="6"/>
  <c r="H107" i="6"/>
  <c r="E108" i="6"/>
  <c r="H108" i="6"/>
  <c r="E109" i="6"/>
  <c r="H109" i="6"/>
  <c r="E110" i="6"/>
  <c r="H110" i="6"/>
  <c r="E111" i="6"/>
  <c r="H111" i="6"/>
  <c r="E112" i="6"/>
  <c r="H112" i="6"/>
  <c r="E113" i="6"/>
  <c r="H113" i="6"/>
  <c r="E114" i="6"/>
  <c r="H114" i="6"/>
  <c r="E115" i="6"/>
  <c r="H115" i="6"/>
  <c r="E116" i="6"/>
  <c r="H116" i="6"/>
  <c r="E117" i="6"/>
  <c r="H117" i="6"/>
  <c r="E118" i="6"/>
  <c r="H118" i="6"/>
  <c r="E119" i="6"/>
  <c r="H119" i="6"/>
  <c r="E120" i="6"/>
  <c r="H120" i="6"/>
  <c r="E121" i="6"/>
  <c r="H121" i="6"/>
  <c r="E122" i="6"/>
  <c r="H122" i="6"/>
  <c r="E131" i="6"/>
  <c r="H131" i="6"/>
  <c r="E132" i="6"/>
  <c r="H132" i="6"/>
  <c r="E133" i="6"/>
  <c r="H133" i="6"/>
  <c r="E134" i="6"/>
  <c r="H134" i="6"/>
  <c r="E135" i="6"/>
  <c r="H135" i="6"/>
  <c r="E136" i="6"/>
  <c r="H136" i="6"/>
  <c r="E137" i="6"/>
  <c r="H137" i="6"/>
  <c r="E138" i="6"/>
  <c r="H138" i="6"/>
  <c r="D144" i="6"/>
  <c r="E150" i="6"/>
  <c r="H150" i="6"/>
  <c r="E151" i="6"/>
  <c r="H151" i="6"/>
  <c r="E152" i="6"/>
  <c r="H152" i="6"/>
  <c r="E153" i="6"/>
  <c r="H153" i="6"/>
  <c r="E154" i="6"/>
  <c r="H154" i="6"/>
  <c r="E155" i="6"/>
  <c r="H155" i="6"/>
  <c r="E156" i="6"/>
  <c r="H156" i="6"/>
  <c r="E157" i="6"/>
  <c r="H157" i="6"/>
  <c r="E158" i="6"/>
  <c r="H158" i="6"/>
  <c r="E159" i="6"/>
  <c r="H159" i="6"/>
  <c r="E165" i="6"/>
  <c r="G165" i="6"/>
  <c r="I165" i="6"/>
  <c r="J165" i="6"/>
  <c r="K165" i="6"/>
  <c r="L165" i="6"/>
  <c r="E166" i="6"/>
  <c r="G166" i="6"/>
  <c r="I166" i="6"/>
  <c r="J166" i="6"/>
  <c r="K166" i="6"/>
  <c r="L166" i="6"/>
  <c r="E167" i="6"/>
  <c r="G167" i="6"/>
  <c r="I167" i="6"/>
  <c r="J167" i="6"/>
  <c r="K167" i="6"/>
  <c r="L167" i="6"/>
  <c r="E168" i="6"/>
  <c r="G168" i="6"/>
  <c r="I168" i="6"/>
  <c r="J168" i="6"/>
  <c r="K168" i="6"/>
  <c r="L168" i="6"/>
  <c r="E169" i="6"/>
  <c r="G169" i="6"/>
  <c r="I169" i="6"/>
  <c r="J169" i="6"/>
  <c r="K169" i="6"/>
  <c r="L169" i="6"/>
  <c r="E170" i="6"/>
  <c r="G170" i="6"/>
  <c r="I170" i="6"/>
  <c r="J170" i="6"/>
  <c r="K170" i="6"/>
  <c r="L170" i="6"/>
  <c r="E171" i="6"/>
  <c r="G171" i="6"/>
  <c r="I171" i="6"/>
  <c r="J171" i="6"/>
  <c r="K171" i="6"/>
  <c r="L171" i="6"/>
  <c r="E172" i="6"/>
  <c r="G172" i="6"/>
  <c r="I172" i="6"/>
  <c r="J172" i="6"/>
  <c r="K172" i="6"/>
  <c r="L172" i="6"/>
  <c r="E173" i="6"/>
  <c r="G173" i="6"/>
  <c r="I173" i="6"/>
  <c r="J173" i="6"/>
  <c r="K173" i="6"/>
  <c r="L173" i="6"/>
  <c r="E174" i="6"/>
  <c r="G174" i="6"/>
  <c r="I174" i="6"/>
  <c r="J174" i="6"/>
  <c r="K174" i="6"/>
  <c r="L174" i="6"/>
  <c r="M78" i="6"/>
  <c r="J23" i="6"/>
  <c r="F23" i="6"/>
  <c r="E23" i="6"/>
  <c r="J22" i="6"/>
  <c r="F22" i="6"/>
  <c r="E22" i="6"/>
  <c r="J21" i="6"/>
  <c r="F21" i="6"/>
  <c r="E21" i="6"/>
  <c r="J20" i="6"/>
  <c r="F20" i="6"/>
  <c r="E20" i="6"/>
  <c r="J19" i="6"/>
  <c r="F19" i="6"/>
  <c r="E19" i="6"/>
  <c r="G199" i="1"/>
  <c r="H24" i="6"/>
  <c r="BA40" i="6"/>
  <c r="AZ40" i="6"/>
  <c r="AT40" i="6"/>
  <c r="AR40" i="6"/>
  <c r="AR37" i="6"/>
  <c r="AR35" i="6"/>
  <c r="AN285" i="10"/>
  <c r="AN284" i="10"/>
  <c r="AN283" i="10"/>
  <c r="AN282" i="10"/>
  <c r="AN281" i="10"/>
  <c r="AN280" i="10"/>
  <c r="AN279" i="10"/>
  <c r="AN278" i="10"/>
  <c r="AN277" i="10"/>
  <c r="AK277" i="10"/>
  <c r="AI286" i="10"/>
  <c r="AI285" i="10"/>
  <c r="AI284" i="10"/>
  <c r="AI282" i="10"/>
  <c r="AI280" i="10"/>
  <c r="AI278" i="10"/>
  <c r="AI283" i="10"/>
  <c r="AI281" i="10"/>
  <c r="AI279" i="10"/>
  <c r="AI277" i="10"/>
  <c r="AJ277" i="10"/>
  <c r="AJ283" i="10"/>
  <c r="AJ281" i="10"/>
  <c r="AJ279" i="10"/>
  <c r="AK283" i="10"/>
  <c r="AK281" i="10"/>
  <c r="AK279" i="10"/>
  <c r="AL277" i="10"/>
  <c r="AX275" i="10" s="1"/>
  <c r="AM277" i="10"/>
  <c r="AL283" i="10"/>
  <c r="BA274" i="10"/>
  <c r="AL281" i="10"/>
  <c r="AZ274" i="10" s="1"/>
  <c r="AL279" i="10"/>
  <c r="AY274" i="10" s="1"/>
  <c r="AM283" i="10"/>
  <c r="AM281" i="10"/>
  <c r="AM279" i="10"/>
  <c r="N12" i="3"/>
  <c r="N53" i="3"/>
  <c r="Q18" i="3"/>
  <c r="P18" i="3"/>
  <c r="O18" i="3"/>
  <c r="Q59" i="3"/>
  <c r="P59" i="3"/>
  <c r="P58" i="3"/>
  <c r="O59" i="3"/>
  <c r="N59" i="3" s="1"/>
  <c r="O58" i="3"/>
  <c r="Q57" i="3"/>
  <c r="P57" i="3"/>
  <c r="O57" i="3"/>
  <c r="N54" i="3"/>
  <c r="G72" i="3"/>
  <c r="M38" i="3"/>
  <c r="N80" i="3"/>
  <c r="N67" i="3"/>
  <c r="F54" i="3"/>
  <c r="G314" i="3"/>
  <c r="G93" i="3"/>
  <c r="F352" i="3"/>
  <c r="G293" i="3" s="1"/>
  <c r="G391" i="3"/>
  <c r="G60" i="3"/>
  <c r="G392" i="3"/>
  <c r="G61" i="3"/>
  <c r="G393" i="3"/>
  <c r="G62" i="3"/>
  <c r="G394" i="3"/>
  <c r="G63" i="3"/>
  <c r="G395" i="3"/>
  <c r="G64" i="3" s="1"/>
  <c r="G396" i="3"/>
  <c r="G65" i="3"/>
  <c r="G397" i="3"/>
  <c r="G66" i="3"/>
  <c r="G398" i="3"/>
  <c r="G67" i="3"/>
  <c r="G112" i="3"/>
  <c r="E407" i="3"/>
  <c r="G118" i="3" s="1"/>
  <c r="G120" i="3"/>
  <c r="G123" i="3"/>
  <c r="G74" i="3"/>
  <c r="G130" i="3"/>
  <c r="G148" i="3"/>
  <c r="G166" i="3"/>
  <c r="G180" i="3"/>
  <c r="G184" i="3"/>
  <c r="G202" i="3"/>
  <c r="G220" i="3"/>
  <c r="G228" i="3"/>
  <c r="G231" i="3"/>
  <c r="G238" i="3"/>
  <c r="G252" i="3"/>
  <c r="G256" i="3"/>
  <c r="G274" i="3"/>
  <c r="G292" i="3"/>
  <c r="G300" i="3"/>
  <c r="G303" i="3"/>
  <c r="G319" i="3"/>
  <c r="N71" i="3" s="1"/>
  <c r="V20" i="3"/>
  <c r="V25" i="3" s="1"/>
  <c r="V21" i="3"/>
  <c r="V26" i="3" s="1"/>
  <c r="V19" i="3"/>
  <c r="V24" i="3"/>
  <c r="Z25" i="3"/>
  <c r="Q58" i="3" s="1"/>
  <c r="Z15" i="3"/>
  <c r="Y15" i="3"/>
  <c r="F59" i="3"/>
  <c r="AJ285" i="10"/>
  <c r="G386" i="3"/>
  <c r="F389" i="3"/>
  <c r="G389" i="3" s="1"/>
  <c r="G399" i="3" s="1"/>
  <c r="F387" i="3"/>
  <c r="G387" i="3"/>
  <c r="G390" i="3"/>
  <c r="G59" i="3"/>
  <c r="G388" i="3"/>
  <c r="D319" i="3"/>
  <c r="G146" i="3"/>
  <c r="G110" i="3"/>
  <c r="C109" i="3"/>
  <c r="C127" i="3"/>
  <c r="C145" i="3" s="1"/>
  <c r="C163" i="3" s="1"/>
  <c r="C181" i="3" s="1"/>
  <c r="C199" i="3" s="1"/>
  <c r="C217" i="3" s="1"/>
  <c r="C235" i="3" s="1"/>
  <c r="C253" i="3" s="1"/>
  <c r="C271" i="3" s="1"/>
  <c r="C289" i="3" s="1"/>
  <c r="G91" i="3"/>
  <c r="U20" i="12"/>
  <c r="I63" i="12"/>
  <c r="I62" i="12"/>
  <c r="H63" i="12"/>
  <c r="H62" i="12"/>
  <c r="G63" i="12"/>
  <c r="G62" i="12"/>
  <c r="G204" i="12"/>
  <c r="S191" i="12"/>
  <c r="M191" i="12"/>
  <c r="G191" i="12"/>
  <c r="S178" i="12"/>
  <c r="M178" i="12"/>
  <c r="G178" i="12"/>
  <c r="S165" i="12"/>
  <c r="M165" i="12"/>
  <c r="G165" i="12"/>
  <c r="S152" i="12"/>
  <c r="M152" i="12"/>
  <c r="G152" i="12"/>
  <c r="S139" i="12"/>
  <c r="M139" i="12"/>
  <c r="G139" i="12"/>
  <c r="S56" i="12"/>
  <c r="M56" i="12"/>
  <c r="G56" i="12"/>
  <c r="S42" i="12"/>
  <c r="M42" i="12"/>
  <c r="G42" i="12"/>
  <c r="S28" i="12"/>
  <c r="M28" i="12"/>
  <c r="G28" i="12"/>
  <c r="S14" i="12"/>
  <c r="M14" i="12"/>
  <c r="G14" i="12"/>
  <c r="F128" i="12"/>
  <c r="L128" i="12" s="1"/>
  <c r="R128" i="12" s="1"/>
  <c r="F141" i="12" s="1"/>
  <c r="K128" i="12"/>
  <c r="Q128" i="12" s="1"/>
  <c r="E141" i="12" s="1"/>
  <c r="K141" i="12" s="1"/>
  <c r="Q141" i="12" s="1"/>
  <c r="E154" i="12" s="1"/>
  <c r="K154" i="12" s="1"/>
  <c r="Q154" i="12" s="1"/>
  <c r="E167" i="12" s="1"/>
  <c r="K167" i="12" s="1"/>
  <c r="Q167" i="12" s="1"/>
  <c r="E180" i="12" s="1"/>
  <c r="K180" i="12" s="1"/>
  <c r="Q180" i="12" s="1"/>
  <c r="E193" i="12" s="1"/>
  <c r="G130" i="12"/>
  <c r="M130" i="12"/>
  <c r="S130" i="12"/>
  <c r="G131" i="12"/>
  <c r="H131" i="12"/>
  <c r="I131" i="12"/>
  <c r="M131" i="12"/>
  <c r="N131" i="12"/>
  <c r="O131" i="12"/>
  <c r="S131" i="12"/>
  <c r="T131" i="12"/>
  <c r="U131" i="12"/>
  <c r="G132" i="12"/>
  <c r="H132" i="12"/>
  <c r="M132" i="12"/>
  <c r="N132" i="12"/>
  <c r="S132" i="12"/>
  <c r="T132" i="12"/>
  <c r="U132" i="12"/>
  <c r="G133" i="12"/>
  <c r="H133" i="12"/>
  <c r="M133" i="12"/>
  <c r="N133" i="12"/>
  <c r="S133" i="12"/>
  <c r="T133" i="12"/>
  <c r="M135" i="12"/>
  <c r="S135" i="12"/>
  <c r="H137" i="12"/>
  <c r="N137" i="12" s="1"/>
  <c r="T137" i="12" s="1"/>
  <c r="H150" i="12" s="1"/>
  <c r="G138" i="12"/>
  <c r="S138" i="12"/>
  <c r="G143" i="12"/>
  <c r="M143" i="12"/>
  <c r="S143" i="12"/>
  <c r="G144" i="12"/>
  <c r="H144" i="12"/>
  <c r="I144" i="12"/>
  <c r="M144" i="12"/>
  <c r="N144" i="12"/>
  <c r="O144" i="12"/>
  <c r="S144" i="12"/>
  <c r="T144" i="12"/>
  <c r="U144" i="12"/>
  <c r="G145" i="12"/>
  <c r="H145" i="12"/>
  <c r="I145" i="12"/>
  <c r="M145" i="12"/>
  <c r="N145" i="12"/>
  <c r="S145" i="12"/>
  <c r="T145" i="12"/>
  <c r="G146" i="12"/>
  <c r="H146" i="12"/>
  <c r="M146" i="12"/>
  <c r="N146" i="12"/>
  <c r="S146" i="12"/>
  <c r="T146" i="12"/>
  <c r="G148" i="12"/>
  <c r="O148" i="12"/>
  <c r="S148" i="12"/>
  <c r="U148" i="12"/>
  <c r="G156" i="12"/>
  <c r="M156" i="12"/>
  <c r="S156" i="12"/>
  <c r="G157" i="12"/>
  <c r="H157" i="12"/>
  <c r="I157" i="12"/>
  <c r="M157" i="12"/>
  <c r="N157" i="12"/>
  <c r="O157" i="12"/>
  <c r="S157" i="12"/>
  <c r="T157" i="12"/>
  <c r="U157" i="12"/>
  <c r="G158" i="12"/>
  <c r="H158" i="12"/>
  <c r="I158" i="12"/>
  <c r="M158" i="12"/>
  <c r="N158" i="12"/>
  <c r="O158" i="12"/>
  <c r="T158" i="12"/>
  <c r="U158" i="12"/>
  <c r="G159" i="12"/>
  <c r="H159" i="12"/>
  <c r="M159" i="12"/>
  <c r="N159" i="12"/>
  <c r="S159" i="12"/>
  <c r="T159" i="12"/>
  <c r="G161" i="12"/>
  <c r="I161" i="12"/>
  <c r="M161" i="12"/>
  <c r="O161" i="12"/>
  <c r="S161" i="12"/>
  <c r="U161" i="12"/>
  <c r="G169" i="12"/>
  <c r="M169" i="12"/>
  <c r="S169" i="12"/>
  <c r="G170" i="12"/>
  <c r="H170" i="12"/>
  <c r="I170" i="12"/>
  <c r="M170" i="12"/>
  <c r="N170" i="12"/>
  <c r="O170" i="12"/>
  <c r="S170" i="12"/>
  <c r="T170" i="12"/>
  <c r="U170" i="12"/>
  <c r="G171" i="12"/>
  <c r="H171" i="12"/>
  <c r="I171" i="12"/>
  <c r="M171" i="12"/>
  <c r="N171" i="12"/>
  <c r="O171" i="12"/>
  <c r="S171" i="12"/>
  <c r="T171" i="12"/>
  <c r="G172" i="12"/>
  <c r="H172" i="12"/>
  <c r="M172" i="12"/>
  <c r="N172" i="12"/>
  <c r="S172" i="12"/>
  <c r="T172" i="12"/>
  <c r="G174" i="12"/>
  <c r="I174" i="12"/>
  <c r="M174" i="12"/>
  <c r="O174" i="12"/>
  <c r="S174" i="12"/>
  <c r="U174" i="12"/>
  <c r="G182" i="12"/>
  <c r="M182" i="12"/>
  <c r="S182" i="12"/>
  <c r="G183" i="12"/>
  <c r="H183" i="12"/>
  <c r="I183" i="12"/>
  <c r="N183" i="12"/>
  <c r="O183" i="12"/>
  <c r="S183" i="12"/>
  <c r="T183" i="12"/>
  <c r="U183" i="12"/>
  <c r="G184" i="12"/>
  <c r="H184" i="12"/>
  <c r="M184" i="12"/>
  <c r="N184" i="12"/>
  <c r="S184" i="12"/>
  <c r="T184" i="12"/>
  <c r="G185" i="12"/>
  <c r="H185" i="12"/>
  <c r="M185" i="12"/>
  <c r="N185" i="12"/>
  <c r="S185" i="12"/>
  <c r="T185" i="12"/>
  <c r="G187" i="12"/>
  <c r="I187" i="12"/>
  <c r="M187" i="12"/>
  <c r="O187" i="12"/>
  <c r="S187" i="12"/>
  <c r="U187" i="12"/>
  <c r="G195" i="12"/>
  <c r="G196" i="12"/>
  <c r="H196" i="12"/>
  <c r="I196" i="12"/>
  <c r="G197" i="12"/>
  <c r="H197" i="12"/>
  <c r="I197" i="12"/>
  <c r="G198" i="12"/>
  <c r="H198" i="12"/>
  <c r="G200" i="12"/>
  <c r="I200" i="12"/>
  <c r="S49" i="12"/>
  <c r="S48" i="12"/>
  <c r="U47" i="12"/>
  <c r="T47" i="12"/>
  <c r="S47" i="12"/>
  <c r="O49" i="12"/>
  <c r="M49" i="12"/>
  <c r="N49" i="12"/>
  <c r="O48" i="12"/>
  <c r="N48" i="12"/>
  <c r="M48" i="12"/>
  <c r="O47" i="12"/>
  <c r="N47" i="12"/>
  <c r="M47" i="12"/>
  <c r="I49" i="12"/>
  <c r="H49" i="12"/>
  <c r="G49" i="12"/>
  <c r="I48" i="12"/>
  <c r="H48" i="12"/>
  <c r="G48" i="12"/>
  <c r="I47" i="12"/>
  <c r="H47" i="12"/>
  <c r="G47" i="12"/>
  <c r="U35" i="12"/>
  <c r="T35" i="12"/>
  <c r="S35" i="12"/>
  <c r="U34" i="12"/>
  <c r="T34" i="12"/>
  <c r="S34" i="12"/>
  <c r="T33" i="12"/>
  <c r="S33" i="12"/>
  <c r="U33" i="12"/>
  <c r="O35" i="12"/>
  <c r="N35" i="12"/>
  <c r="M35" i="12"/>
  <c r="O34" i="12"/>
  <c r="N34" i="12"/>
  <c r="M34" i="12"/>
  <c r="O33" i="12"/>
  <c r="N33" i="12"/>
  <c r="M33" i="12"/>
  <c r="I35" i="12"/>
  <c r="I33" i="12"/>
  <c r="H35" i="12"/>
  <c r="H33" i="12"/>
  <c r="G35" i="12"/>
  <c r="I34" i="12"/>
  <c r="H34" i="12"/>
  <c r="G34" i="12"/>
  <c r="G33" i="12"/>
  <c r="U21" i="12"/>
  <c r="T21" i="12"/>
  <c r="U19" i="12"/>
  <c r="S21" i="12"/>
  <c r="T20" i="12"/>
  <c r="S20" i="12"/>
  <c r="T19" i="12"/>
  <c r="S19" i="12"/>
  <c r="O21" i="12"/>
  <c r="N21" i="12"/>
  <c r="M21" i="12"/>
  <c r="O20" i="12"/>
  <c r="N20" i="12"/>
  <c r="M20" i="12"/>
  <c r="O19" i="12"/>
  <c r="N19" i="12"/>
  <c r="M19" i="12"/>
  <c r="I21" i="12"/>
  <c r="H21" i="12"/>
  <c r="G21" i="12"/>
  <c r="I20" i="12"/>
  <c r="H20" i="12"/>
  <c r="G19" i="12"/>
  <c r="I19" i="12"/>
  <c r="G20" i="12"/>
  <c r="H19" i="12"/>
  <c r="I5" i="12"/>
  <c r="H6" i="12"/>
  <c r="H5" i="12"/>
  <c r="G6" i="12"/>
  <c r="G5" i="12"/>
  <c r="E16" i="12"/>
  <c r="E30" i="12"/>
  <c r="K2" i="12"/>
  <c r="Q2" i="12" s="1"/>
  <c r="S46" i="12"/>
  <c r="M46" i="12"/>
  <c r="G46" i="12"/>
  <c r="S32" i="12"/>
  <c r="M32" i="12"/>
  <c r="G32" i="12"/>
  <c r="S18" i="12"/>
  <c r="M18" i="12"/>
  <c r="G18" i="12"/>
  <c r="F2" i="12"/>
  <c r="L2" i="12"/>
  <c r="R2" i="12" s="1"/>
  <c r="H12" i="12"/>
  <c r="N12" i="12"/>
  <c r="T12" i="12" s="1"/>
  <c r="G4" i="12"/>
  <c r="Q112" i="4"/>
  <c r="Q114" i="4"/>
  <c r="Q116" i="4"/>
  <c r="P112" i="4"/>
  <c r="P114" i="4" s="1"/>
  <c r="P116" i="4" s="1"/>
  <c r="Q103" i="4"/>
  <c r="Q105" i="4" s="1"/>
  <c r="Q107" i="4" s="1"/>
  <c r="P103" i="4"/>
  <c r="P105" i="4"/>
  <c r="P107" i="4"/>
  <c r="I6" i="12"/>
  <c r="W116" i="10"/>
  <c r="W107" i="10"/>
  <c r="Y107" i="10"/>
  <c r="CD26" i="10" s="1"/>
  <c r="Y109" i="10"/>
  <c r="CE26" i="10"/>
  <c r="Y111" i="10"/>
  <c r="CF26" i="10" s="1"/>
  <c r="Y116" i="10"/>
  <c r="Y118" i="10"/>
  <c r="CI26" i="10" s="1"/>
  <c r="Y120" i="10"/>
  <c r="CJ26" i="10"/>
  <c r="W89" i="10"/>
  <c r="W98" i="10"/>
  <c r="I265" i="4"/>
  <c r="G13" i="12"/>
  <c r="M13" i="12" s="1"/>
  <c r="K68" i="1"/>
  <c r="L87" i="6"/>
  <c r="W80" i="10"/>
  <c r="AG263" i="10"/>
  <c r="Y263" i="10"/>
  <c r="W263" i="10"/>
  <c r="J280" i="4"/>
  <c r="J273" i="4"/>
  <c r="J266" i="4"/>
  <c r="I42" i="1"/>
  <c r="I88" i="6"/>
  <c r="I104" i="6"/>
  <c r="I108" i="6"/>
  <c r="K78" i="6"/>
  <c r="H66" i="1"/>
  <c r="J85" i="6" s="1"/>
  <c r="J91" i="6" s="1"/>
  <c r="J177" i="1"/>
  <c r="L15" i="1"/>
  <c r="L17" i="1"/>
  <c r="L18" i="1"/>
  <c r="L19" i="1"/>
  <c r="L16" i="1"/>
  <c r="K81" i="1"/>
  <c r="L100" i="6" s="1"/>
  <c r="K80" i="1"/>
  <c r="L80" i="1" s="1"/>
  <c r="M99" i="6" s="1"/>
  <c r="K79" i="1"/>
  <c r="L98" i="6"/>
  <c r="H85" i="1"/>
  <c r="J104" i="6" s="1"/>
  <c r="H84" i="1"/>
  <c r="J103" i="6"/>
  <c r="H83" i="1"/>
  <c r="J102" i="6"/>
  <c r="H82" i="1"/>
  <c r="J101" i="6"/>
  <c r="H81" i="1"/>
  <c r="J100" i="6" s="1"/>
  <c r="H68" i="1"/>
  <c r="J87" i="6"/>
  <c r="H69" i="1"/>
  <c r="J88" i="6" s="1"/>
  <c r="H70" i="1"/>
  <c r="J89" i="6"/>
  <c r="H71" i="1"/>
  <c r="J90" i="6" s="1"/>
  <c r="H67" i="1"/>
  <c r="J86" i="6"/>
  <c r="H153" i="1"/>
  <c r="J152" i="6" s="1"/>
  <c r="H156" i="1"/>
  <c r="J155" i="6"/>
  <c r="H158" i="1"/>
  <c r="J157" i="6"/>
  <c r="H159" i="1"/>
  <c r="J158" i="6"/>
  <c r="H160" i="1"/>
  <c r="J159" i="6" s="1"/>
  <c r="H157" i="1"/>
  <c r="J156" i="6"/>
  <c r="H155" i="1"/>
  <c r="J154" i="6"/>
  <c r="H154" i="1"/>
  <c r="J153" i="6"/>
  <c r="H152" i="1"/>
  <c r="J151" i="6" s="1"/>
  <c r="H151" i="1"/>
  <c r="J150" i="6"/>
  <c r="H113" i="1"/>
  <c r="J132" i="6"/>
  <c r="H114" i="1"/>
  <c r="J133" i="6"/>
  <c r="H115" i="1"/>
  <c r="J134" i="6" s="1"/>
  <c r="H116" i="1"/>
  <c r="J135" i="6"/>
  <c r="H117" i="1"/>
  <c r="J136" i="6"/>
  <c r="H118" i="1"/>
  <c r="J137" i="6"/>
  <c r="H119" i="1"/>
  <c r="J138" i="6" s="1"/>
  <c r="H112" i="1"/>
  <c r="J131" i="6"/>
  <c r="H86" i="1"/>
  <c r="J105" i="6"/>
  <c r="H87" i="1"/>
  <c r="J106" i="6"/>
  <c r="H88" i="1"/>
  <c r="J107" i="6" s="1"/>
  <c r="H89" i="1"/>
  <c r="J108" i="6"/>
  <c r="H90" i="1"/>
  <c r="J109" i="6"/>
  <c r="H91" i="1"/>
  <c r="J110" i="6"/>
  <c r="H92" i="1"/>
  <c r="J111" i="6" s="1"/>
  <c r="H93" i="1"/>
  <c r="J112" i="6"/>
  <c r="H94" i="1"/>
  <c r="J113" i="6"/>
  <c r="H95" i="1"/>
  <c r="J114" i="6"/>
  <c r="H96" i="1"/>
  <c r="J115" i="6" s="1"/>
  <c r="H97" i="1"/>
  <c r="J116" i="6"/>
  <c r="H98" i="1"/>
  <c r="J117" i="6"/>
  <c r="H99" i="1"/>
  <c r="J118" i="6"/>
  <c r="H100" i="1"/>
  <c r="J119" i="6" s="1"/>
  <c r="H101" i="1"/>
  <c r="J120" i="6"/>
  <c r="H102" i="1"/>
  <c r="J121" i="6"/>
  <c r="H103" i="1"/>
  <c r="J122" i="6"/>
  <c r="V53" i="7"/>
  <c r="W53" i="7" s="1"/>
  <c r="AP61" i="7"/>
  <c r="AQ61" i="7"/>
  <c r="AQ58" i="7"/>
  <c r="AQ59" i="7"/>
  <c r="AQ60" i="7"/>
  <c r="AQ62" i="7"/>
  <c r="AQ56" i="7" s="1"/>
  <c r="AQ63" i="7"/>
  <c r="AQ64" i="7"/>
  <c r="AQ65" i="7"/>
  <c r="AQ66" i="7"/>
  <c r="AQ67" i="7"/>
  <c r="AH22" i="7"/>
  <c r="AI22" i="7" s="1"/>
  <c r="AH21" i="7"/>
  <c r="AI21" i="7"/>
  <c r="AL25" i="7"/>
  <c r="AM25" i="7" s="1"/>
  <c r="AL24" i="7"/>
  <c r="AM24" i="7" s="1"/>
  <c r="AL23" i="7"/>
  <c r="AM23" i="7"/>
  <c r="AL22" i="7"/>
  <c r="AM22" i="7"/>
  <c r="AM20" i="7" s="1"/>
  <c r="R52" i="7"/>
  <c r="S52" i="7" s="1"/>
  <c r="AC48" i="7"/>
  <c r="AC13" i="7"/>
  <c r="Y12" i="7"/>
  <c r="AD21" i="7"/>
  <c r="AD20" i="7"/>
  <c r="AE20" i="7"/>
  <c r="Z19" i="7"/>
  <c r="AA19" i="7" s="1"/>
  <c r="AA17" i="7" s="1"/>
  <c r="Z20" i="7"/>
  <c r="AA20" i="7" s="1"/>
  <c r="V19" i="7"/>
  <c r="W19" i="7"/>
  <c r="V18" i="7"/>
  <c r="W18" i="7" s="1"/>
  <c r="R18" i="7"/>
  <c r="R17" i="7"/>
  <c r="S17" i="7"/>
  <c r="N16" i="7"/>
  <c r="O16" i="7" s="1"/>
  <c r="N18" i="7"/>
  <c r="N17" i="7"/>
  <c r="O17" i="7" s="1"/>
  <c r="K175" i="1"/>
  <c r="M174" i="6" s="1"/>
  <c r="K168" i="1"/>
  <c r="M167" i="6" s="1"/>
  <c r="K169" i="1"/>
  <c r="M168" i="6" s="1"/>
  <c r="K170" i="1"/>
  <c r="K171" i="1"/>
  <c r="M170" i="6"/>
  <c r="K172" i="1"/>
  <c r="M171" i="6"/>
  <c r="K173" i="1"/>
  <c r="M172" i="6" s="1"/>
  <c r="K174" i="1"/>
  <c r="M173" i="6"/>
  <c r="K167" i="1"/>
  <c r="K166" i="1"/>
  <c r="M165" i="6"/>
  <c r="K160" i="1"/>
  <c r="L159" i="6" s="1"/>
  <c r="K159" i="1"/>
  <c r="L158" i="6"/>
  <c r="K158" i="1"/>
  <c r="L157" i="6"/>
  <c r="K157" i="1"/>
  <c r="L156" i="6"/>
  <c r="K156" i="1"/>
  <c r="L155" i="6" s="1"/>
  <c r="K155" i="1"/>
  <c r="L154" i="6"/>
  <c r="K154" i="1"/>
  <c r="L153" i="6"/>
  <c r="K153" i="1"/>
  <c r="L152" i="6"/>
  <c r="K152" i="1"/>
  <c r="L151" i="6" s="1"/>
  <c r="K151" i="1"/>
  <c r="L150" i="6"/>
  <c r="K119" i="1"/>
  <c r="L138" i="6"/>
  <c r="K118" i="1"/>
  <c r="L137" i="6"/>
  <c r="K117" i="1"/>
  <c r="L136" i="6" s="1"/>
  <c r="K116" i="1"/>
  <c r="L135" i="6"/>
  <c r="K115" i="1"/>
  <c r="L115" i="1" s="1"/>
  <c r="K114" i="1"/>
  <c r="L133" i="6"/>
  <c r="K113" i="1"/>
  <c r="L132" i="6" s="1"/>
  <c r="K112" i="1"/>
  <c r="L131" i="6"/>
  <c r="K82" i="1"/>
  <c r="L101" i="6" s="1"/>
  <c r="K83" i="1"/>
  <c r="L102" i="6"/>
  <c r="K84" i="1"/>
  <c r="L103" i="6" s="1"/>
  <c r="K85" i="1"/>
  <c r="L104" i="6"/>
  <c r="K86" i="1"/>
  <c r="L105" i="6" s="1"/>
  <c r="K87" i="1"/>
  <c r="L106" i="6"/>
  <c r="K88" i="1"/>
  <c r="L107" i="6" s="1"/>
  <c r="K89" i="1"/>
  <c r="L108" i="6"/>
  <c r="K90" i="1"/>
  <c r="L109" i="6"/>
  <c r="K91" i="1"/>
  <c r="L110" i="6"/>
  <c r="K92" i="1"/>
  <c r="L92" i="1" s="1"/>
  <c r="K93" i="1"/>
  <c r="L112" i="6"/>
  <c r="K94" i="1"/>
  <c r="L113" i="6" s="1"/>
  <c r="K95" i="1"/>
  <c r="L114" i="6"/>
  <c r="K96" i="1"/>
  <c r="L96" i="1" s="1"/>
  <c r="K97" i="1"/>
  <c r="L116" i="6"/>
  <c r="K98" i="1"/>
  <c r="L117" i="6" s="1"/>
  <c r="L98" i="1"/>
  <c r="K99" i="1"/>
  <c r="L118" i="6"/>
  <c r="K100" i="1"/>
  <c r="L119" i="6" s="1"/>
  <c r="K101" i="1"/>
  <c r="L120" i="6"/>
  <c r="K102" i="1"/>
  <c r="L121" i="6"/>
  <c r="K103" i="1"/>
  <c r="L122" i="6"/>
  <c r="Y25" i="4"/>
  <c r="N295" i="4" s="1"/>
  <c r="Y26" i="4"/>
  <c r="K71" i="1"/>
  <c r="L90" i="6" s="1"/>
  <c r="F59" i="1"/>
  <c r="H78" i="6" s="1"/>
  <c r="F74" i="1"/>
  <c r="O6" i="7"/>
  <c r="O7" i="7" s="1"/>
  <c r="BK53" i="7"/>
  <c r="BK54" i="7"/>
  <c r="BI55" i="7" s="1"/>
  <c r="H75" i="7" s="1"/>
  <c r="BG52" i="7"/>
  <c r="BG53" i="7"/>
  <c r="BE54" i="7" s="1"/>
  <c r="H74" i="7" s="1"/>
  <c r="BC51" i="7"/>
  <c r="BC52" i="7"/>
  <c r="BA53" i="7" s="1"/>
  <c r="H73" i="7"/>
  <c r="AY50" i="7"/>
  <c r="AY51" i="7"/>
  <c r="AW52" i="7" s="1"/>
  <c r="H72" i="7" s="1"/>
  <c r="AU49" i="7"/>
  <c r="AU50" i="7"/>
  <c r="AS51" i="7"/>
  <c r="H71" i="7"/>
  <c r="AQ48" i="7"/>
  <c r="AQ49" i="7"/>
  <c r="AO50" i="7" s="1"/>
  <c r="H70" i="7" s="1"/>
  <c r="AM47" i="7"/>
  <c r="AM48" i="7" s="1"/>
  <c r="AK49" i="7" s="1"/>
  <c r="H69" i="7" s="1"/>
  <c r="AI46" i="7"/>
  <c r="AI47" i="7"/>
  <c r="AG48" i="7" s="1"/>
  <c r="H68" i="7"/>
  <c r="AE45" i="7"/>
  <c r="AE46" i="7" s="1"/>
  <c r="AC47" i="7" s="1"/>
  <c r="H67" i="7" s="1"/>
  <c r="AA44" i="7"/>
  <c r="AA45" i="7" s="1"/>
  <c r="Y46" i="7" s="1"/>
  <c r="H66" i="7" s="1"/>
  <c r="W43" i="7"/>
  <c r="W44" i="7" s="1"/>
  <c r="S42" i="7"/>
  <c r="S43" i="7"/>
  <c r="Q44" i="7" s="1"/>
  <c r="O41" i="7"/>
  <c r="O42" i="7" s="1"/>
  <c r="M43" i="7" s="1"/>
  <c r="AY15" i="7"/>
  <c r="AY16" i="7"/>
  <c r="AW17" i="7" s="1"/>
  <c r="H37" i="7" s="1"/>
  <c r="AU14" i="7"/>
  <c r="AU15" i="7"/>
  <c r="AS16" i="7" s="1"/>
  <c r="H36" i="7" s="1"/>
  <c r="AQ13" i="7"/>
  <c r="AM12" i="7"/>
  <c r="AM13" i="7"/>
  <c r="AK14" i="7" s="1"/>
  <c r="H34" i="7" s="1"/>
  <c r="AI11" i="7"/>
  <c r="AI12" i="7" s="1"/>
  <c r="AE10" i="7"/>
  <c r="AE11" i="7" s="1"/>
  <c r="AC12" i="7" s="1"/>
  <c r="H32" i="7" s="1"/>
  <c r="AA9" i="7"/>
  <c r="AA10" i="7"/>
  <c r="W8" i="7"/>
  <c r="W9" i="7"/>
  <c r="S7" i="7"/>
  <c r="S8" i="7" s="1"/>
  <c r="Q9" i="7" s="1"/>
  <c r="BK18" i="7"/>
  <c r="BK19" i="7" s="1"/>
  <c r="BI20" i="7" s="1"/>
  <c r="H40" i="7" s="1"/>
  <c r="BG17" i="7"/>
  <c r="BG18" i="7" s="1"/>
  <c r="BE19" i="7" s="1"/>
  <c r="H39" i="7" s="1"/>
  <c r="BC16" i="7"/>
  <c r="BC17" i="7" s="1"/>
  <c r="BA18" i="7" s="1"/>
  <c r="H38" i="7" s="1"/>
  <c r="Q47" i="9"/>
  <c r="T13" i="9"/>
  <c r="Y13" i="9"/>
  <c r="T14" i="9"/>
  <c r="T15" i="9"/>
  <c r="Y15" i="9"/>
  <c r="T16" i="9"/>
  <c r="W16" i="9"/>
  <c r="T17" i="9"/>
  <c r="T18" i="9"/>
  <c r="W18" i="9" s="1"/>
  <c r="T19" i="9"/>
  <c r="T20" i="9"/>
  <c r="W20" i="9"/>
  <c r="T21" i="9"/>
  <c r="T22" i="9"/>
  <c r="Z22" i="9" s="1"/>
  <c r="W22" i="9"/>
  <c r="T23" i="9"/>
  <c r="W23" i="9"/>
  <c r="T24" i="9"/>
  <c r="W24" i="9" s="1"/>
  <c r="T25" i="9"/>
  <c r="T26" i="9"/>
  <c r="W26" i="9" s="1"/>
  <c r="T27" i="9"/>
  <c r="W27" i="9" s="1"/>
  <c r="T28" i="9"/>
  <c r="T29" i="9"/>
  <c r="W29" i="9"/>
  <c r="T30" i="9"/>
  <c r="T31" i="9"/>
  <c r="Z31" i="9" s="1"/>
  <c r="T32" i="9"/>
  <c r="W32" i="9"/>
  <c r="T33" i="9"/>
  <c r="W33" i="9" s="1"/>
  <c r="T34" i="9"/>
  <c r="T35" i="9"/>
  <c r="W35" i="9"/>
  <c r="T36" i="9"/>
  <c r="T37" i="9"/>
  <c r="T38" i="9"/>
  <c r="W38" i="9" s="1"/>
  <c r="T39" i="9"/>
  <c r="T40" i="9"/>
  <c r="W40" i="9" s="1"/>
  <c r="T41" i="9"/>
  <c r="W41" i="9" s="1"/>
  <c r="T12" i="9"/>
  <c r="Y12" i="9"/>
  <c r="X21" i="9"/>
  <c r="X20" i="9"/>
  <c r="X19" i="9"/>
  <c r="X18" i="9"/>
  <c r="X17" i="9"/>
  <c r="X15" i="9"/>
  <c r="X14" i="9"/>
  <c r="X13" i="9"/>
  <c r="X12" i="9"/>
  <c r="Y14" i="9"/>
  <c r="Y16" i="9"/>
  <c r="Y17" i="9"/>
  <c r="Y18" i="9"/>
  <c r="Y19" i="9"/>
  <c r="Y20" i="9"/>
  <c r="Y21" i="9"/>
  <c r="Y22" i="9"/>
  <c r="Y23" i="9"/>
  <c r="Y24" i="9"/>
  <c r="Z24" i="9"/>
  <c r="Y25" i="9"/>
  <c r="Y26" i="9"/>
  <c r="Y27" i="9"/>
  <c r="Y28" i="9"/>
  <c r="Y29" i="9"/>
  <c r="Y30" i="9"/>
  <c r="Y31" i="9"/>
  <c r="Y32" i="9"/>
  <c r="Z32" i="9" s="1"/>
  <c r="Y33" i="9"/>
  <c r="Y34" i="9"/>
  <c r="Y35" i="9"/>
  <c r="Y36" i="9"/>
  <c r="Y37" i="9"/>
  <c r="Y38" i="9"/>
  <c r="Y39" i="9"/>
  <c r="Y40" i="9"/>
  <c r="Y41" i="9"/>
  <c r="X16" i="9"/>
  <c r="X22" i="9"/>
  <c r="X23" i="9"/>
  <c r="X24" i="9"/>
  <c r="X25" i="9"/>
  <c r="X26" i="9"/>
  <c r="X27" i="9"/>
  <c r="X28" i="9"/>
  <c r="X29" i="9"/>
  <c r="X30" i="9"/>
  <c r="X31" i="9"/>
  <c r="X32" i="9"/>
  <c r="X33" i="9"/>
  <c r="X34" i="9"/>
  <c r="X35" i="9"/>
  <c r="X36" i="9"/>
  <c r="X37" i="9"/>
  <c r="X38" i="9"/>
  <c r="X39" i="9"/>
  <c r="X40" i="9"/>
  <c r="X41" i="9"/>
  <c r="I286" i="4"/>
  <c r="I279" i="4"/>
  <c r="I272" i="4"/>
  <c r="I256" i="4"/>
  <c r="B25" i="7"/>
  <c r="B60" i="7"/>
  <c r="BD6" i="7"/>
  <c r="BH7" i="7"/>
  <c r="BH6" i="7"/>
  <c r="BD7" i="7"/>
  <c r="BI56" i="7"/>
  <c r="BE55" i="7"/>
  <c r="BA54" i="7"/>
  <c r="AW53" i="7"/>
  <c r="AS52" i="7"/>
  <c r="AO51" i="7"/>
  <c r="AK50" i="7"/>
  <c r="AG49" i="7"/>
  <c r="Y47" i="7"/>
  <c r="U46" i="7"/>
  <c r="Q45" i="7"/>
  <c r="M44" i="7"/>
  <c r="BI21" i="7"/>
  <c r="BE20" i="7"/>
  <c r="BA19" i="7"/>
  <c r="AW18" i="7"/>
  <c r="AS17" i="7"/>
  <c r="AO16" i="7"/>
  <c r="AK15" i="7"/>
  <c r="AG14" i="7"/>
  <c r="U11" i="7"/>
  <c r="Q10" i="7"/>
  <c r="M9" i="7"/>
  <c r="K41" i="7"/>
  <c r="J16" i="10"/>
  <c r="J35" i="10"/>
  <c r="E30" i="6"/>
  <c r="E49" i="6"/>
  <c r="E59" i="1"/>
  <c r="G78" i="6"/>
  <c r="C59" i="1"/>
  <c r="E78" i="6"/>
  <c r="H188" i="1"/>
  <c r="I13" i="6" s="1"/>
  <c r="I188" i="1"/>
  <c r="J13" i="6"/>
  <c r="C58" i="1"/>
  <c r="E77" i="6" s="1"/>
  <c r="AG46" i="4"/>
  <c r="Z43" i="4"/>
  <c r="E133" i="1"/>
  <c r="D184" i="1"/>
  <c r="E9" i="6"/>
  <c r="AC36" i="3"/>
  <c r="H13" i="6"/>
  <c r="D6" i="6"/>
  <c r="D27" i="6"/>
  <c r="D46" i="6"/>
  <c r="D65" i="6"/>
  <c r="F16" i="6"/>
  <c r="E16" i="6"/>
  <c r="F14" i="6"/>
  <c r="E14" i="6"/>
  <c r="E13" i="6"/>
  <c r="I11" i="6"/>
  <c r="F11" i="6"/>
  <c r="E7" i="6"/>
  <c r="AE275" i="10"/>
  <c r="AF276" i="10"/>
  <c r="AF275" i="10" s="1"/>
  <c r="AN275" i="10" s="1"/>
  <c r="B30" i="1"/>
  <c r="B52" i="1"/>
  <c r="B106" i="1" s="1"/>
  <c r="B125" i="1" s="1"/>
  <c r="B145" i="1" s="1"/>
  <c r="B181" i="1"/>
  <c r="B201" i="1"/>
  <c r="Z41" i="4"/>
  <c r="X43" i="4"/>
  <c r="Z40" i="4"/>
  <c r="X42" i="4"/>
  <c r="X41" i="4"/>
  <c r="X33" i="4"/>
  <c r="X34" i="4"/>
  <c r="X35" i="4"/>
  <c r="X36" i="4"/>
  <c r="X37" i="4"/>
  <c r="X32" i="4"/>
  <c r="X40" i="4"/>
  <c r="Z42" i="4"/>
  <c r="Z37" i="4"/>
  <c r="P83" i="4"/>
  <c r="Z34" i="4"/>
  <c r="Z35" i="4"/>
  <c r="Z36" i="4"/>
  <c r="R3" i="3"/>
  <c r="R2" i="3"/>
  <c r="H50" i="1"/>
  <c r="E42" i="1"/>
  <c r="H32" i="1"/>
  <c r="I32" i="1"/>
  <c r="E188" i="1"/>
  <c r="F13" i="6"/>
  <c r="AC281" i="10"/>
  <c r="V284" i="10"/>
  <c r="V282" i="10"/>
  <c r="V280" i="10"/>
  <c r="V278" i="10"/>
  <c r="V276" i="10"/>
  <c r="E48" i="6"/>
  <c r="D67" i="6"/>
  <c r="W53" i="10"/>
  <c r="AQ275" i="10"/>
  <c r="V286" i="10"/>
  <c r="AA17" i="4"/>
  <c r="AA18" i="4"/>
  <c r="AG41" i="4" s="1"/>
  <c r="AG42" i="4" s="1"/>
  <c r="AA19" i="4"/>
  <c r="AT276" i="10"/>
  <c r="AT277" i="10"/>
  <c r="AT278" i="10"/>
  <c r="AT279" i="10"/>
  <c r="AT275" i="10"/>
  <c r="AT274" i="10"/>
  <c r="AS276" i="10"/>
  <c r="AS277" i="10"/>
  <c r="AS278" i="10"/>
  <c r="AS279" i="10"/>
  <c r="AS275" i="10"/>
  <c r="AS274" i="10"/>
  <c r="AA285" i="10"/>
  <c r="AR276" i="10"/>
  <c r="AR277" i="10"/>
  <c r="AR278" i="10"/>
  <c r="AR279" i="10"/>
  <c r="AR275" i="10"/>
  <c r="X277" i="10" s="1"/>
  <c r="AR274" i="10"/>
  <c r="X283" i="10" s="1"/>
  <c r="AQ279" i="10"/>
  <c r="AY279" i="10"/>
  <c r="AQ278" i="10"/>
  <c r="X275" i="10" s="1"/>
  <c r="BA278" i="10"/>
  <c r="AQ277" i="10"/>
  <c r="BA277" i="10"/>
  <c r="AQ276" i="10"/>
  <c r="BB276" i="10" s="1"/>
  <c r="U272" i="10"/>
  <c r="Z276" i="10"/>
  <c r="W71" i="10"/>
  <c r="W62" i="10"/>
  <c r="W44" i="10"/>
  <c r="W35" i="10"/>
  <c r="W26" i="10"/>
  <c r="V21" i="10"/>
  <c r="W22" i="10"/>
  <c r="V19" i="10"/>
  <c r="W20" i="10" s="1"/>
  <c r="W17" i="10"/>
  <c r="Y14" i="4"/>
  <c r="W55" i="7"/>
  <c r="O60" i="7"/>
  <c r="O59" i="7"/>
  <c r="O58" i="7"/>
  <c r="O57" i="7"/>
  <c r="O56" i="7"/>
  <c r="O55" i="7"/>
  <c r="O54" i="7"/>
  <c r="O53" i="7"/>
  <c r="O49" i="7" s="1"/>
  <c r="O52" i="7"/>
  <c r="O51" i="7"/>
  <c r="S61" i="7"/>
  <c r="S60" i="7"/>
  <c r="S59" i="7"/>
  <c r="S58" i="7"/>
  <c r="S57" i="7"/>
  <c r="S56" i="7"/>
  <c r="W62" i="7"/>
  <c r="W61" i="7"/>
  <c r="W60" i="7"/>
  <c r="W59" i="7"/>
  <c r="W58" i="7"/>
  <c r="W57" i="7"/>
  <c r="W56" i="7"/>
  <c r="W54" i="7"/>
  <c r="AA63" i="7"/>
  <c r="AA62" i="7"/>
  <c r="AA61" i="7"/>
  <c r="AA60" i="7"/>
  <c r="AA59" i="7"/>
  <c r="AA58" i="7"/>
  <c r="AA57" i="7"/>
  <c r="AA56" i="7"/>
  <c r="AA52" i="7" s="1"/>
  <c r="AA55" i="7"/>
  <c r="AA54" i="7"/>
  <c r="AE64" i="7"/>
  <c r="AE63" i="7"/>
  <c r="AE62" i="7"/>
  <c r="AE61" i="7"/>
  <c r="AE60" i="7"/>
  <c r="AE59" i="7"/>
  <c r="AE53" i="7" s="1"/>
  <c r="AE58" i="7"/>
  <c r="AE57" i="7"/>
  <c r="AE56" i="7"/>
  <c r="AE55" i="7"/>
  <c r="AI65" i="7"/>
  <c r="AI64" i="7"/>
  <c r="AI63" i="7"/>
  <c r="AI62" i="7"/>
  <c r="AI61" i="7"/>
  <c r="AI60" i="7"/>
  <c r="AI59" i="7"/>
  <c r="AI58" i="7"/>
  <c r="AI56" i="7"/>
  <c r="AI57" i="7"/>
  <c r="AM66" i="7"/>
  <c r="AM65" i="7"/>
  <c r="AM64" i="7"/>
  <c r="AM63" i="7"/>
  <c r="AM62" i="7"/>
  <c r="AM61" i="7"/>
  <c r="AM60" i="7"/>
  <c r="AM59" i="7"/>
  <c r="AM58" i="7"/>
  <c r="AM57" i="7"/>
  <c r="AM55" i="7" s="1"/>
  <c r="AU68" i="7"/>
  <c r="AU67" i="7"/>
  <c r="AU66" i="7"/>
  <c r="AU65" i="7"/>
  <c r="AU64" i="7"/>
  <c r="AU63" i="7"/>
  <c r="AU62" i="7"/>
  <c r="AU61" i="7"/>
  <c r="AU57" i="7" s="1"/>
  <c r="AU60" i="7"/>
  <c r="AU59" i="7"/>
  <c r="AY69" i="7"/>
  <c r="AY68" i="7"/>
  <c r="AY67" i="7"/>
  <c r="AY66" i="7"/>
  <c r="AY65" i="7"/>
  <c r="AY64" i="7"/>
  <c r="AY58" i="7" s="1"/>
  <c r="AY63" i="7"/>
  <c r="AY62" i="7"/>
  <c r="AY61" i="7"/>
  <c r="AY60" i="7"/>
  <c r="BC70" i="7"/>
  <c r="BC69" i="7"/>
  <c r="BC68" i="7"/>
  <c r="BC67" i="7"/>
  <c r="BC66" i="7"/>
  <c r="BC65" i="7"/>
  <c r="BC64" i="7"/>
  <c r="BC63" i="7"/>
  <c r="BC62" i="7"/>
  <c r="BC61" i="7"/>
  <c r="BG71" i="7"/>
  <c r="BG70" i="7"/>
  <c r="BG69" i="7"/>
  <c r="BG68" i="7"/>
  <c r="BG67" i="7"/>
  <c r="BG66" i="7"/>
  <c r="BG65" i="7"/>
  <c r="BG64" i="7"/>
  <c r="BG63" i="7"/>
  <c r="BG62" i="7"/>
  <c r="BK72" i="7"/>
  <c r="BK71" i="7"/>
  <c r="BK70" i="7"/>
  <c r="BK69" i="7"/>
  <c r="BK68" i="7"/>
  <c r="BK67" i="7"/>
  <c r="BK66" i="7"/>
  <c r="BK65" i="7"/>
  <c r="BK61" i="7" s="1"/>
  <c r="BK64" i="7"/>
  <c r="BK63" i="7"/>
  <c r="BK37" i="7"/>
  <c r="BK36" i="7"/>
  <c r="BK35" i="7"/>
  <c r="BK34" i="7"/>
  <c r="BK33" i="7"/>
  <c r="BK32" i="7"/>
  <c r="BK31" i="7"/>
  <c r="BK30" i="7"/>
  <c r="BK29" i="7"/>
  <c r="BK28" i="7"/>
  <c r="BG36" i="7"/>
  <c r="BG35" i="7"/>
  <c r="BG34" i="7"/>
  <c r="BG33" i="7"/>
  <c r="BG32" i="7"/>
  <c r="BG31" i="7"/>
  <c r="BG30" i="7"/>
  <c r="BG29" i="7"/>
  <c r="BG28" i="7"/>
  <c r="BG27" i="7"/>
  <c r="BC35" i="7"/>
  <c r="BC34" i="7"/>
  <c r="BC33" i="7"/>
  <c r="BC32" i="7"/>
  <c r="BC31" i="7"/>
  <c r="BC30" i="7"/>
  <c r="BC29" i="7"/>
  <c r="BC28" i="7"/>
  <c r="BC27" i="7"/>
  <c r="BC26" i="7"/>
  <c r="BC24" i="7" s="1"/>
  <c r="AY34" i="7"/>
  <c r="AY33" i="7"/>
  <c r="AY32" i="7"/>
  <c r="AY31" i="7"/>
  <c r="AY30" i="7"/>
  <c r="AY29" i="7"/>
  <c r="AY28" i="7"/>
  <c r="AY27" i="7"/>
  <c r="AY23" i="7" s="1"/>
  <c r="AY26" i="7"/>
  <c r="AY25" i="7"/>
  <c r="AU33" i="7"/>
  <c r="AU32" i="7"/>
  <c r="AU31" i="7"/>
  <c r="AU30" i="7"/>
  <c r="AU29" i="7"/>
  <c r="AU28" i="7"/>
  <c r="AU27" i="7"/>
  <c r="AU26" i="7"/>
  <c r="AU25" i="7"/>
  <c r="AU24" i="7"/>
  <c r="AQ32" i="7"/>
  <c r="AQ31" i="7"/>
  <c r="AQ30" i="7"/>
  <c r="AQ29" i="7"/>
  <c r="AQ28" i="7"/>
  <c r="AQ27" i="7"/>
  <c r="AQ26" i="7"/>
  <c r="AQ25" i="7"/>
  <c r="AQ24" i="7"/>
  <c r="AM31" i="7"/>
  <c r="AM30" i="7"/>
  <c r="AM29" i="7"/>
  <c r="AM28" i="7"/>
  <c r="AM27" i="7"/>
  <c r="AM26" i="7"/>
  <c r="AE29" i="7"/>
  <c r="AE28" i="7"/>
  <c r="AE27" i="7"/>
  <c r="AE26" i="7"/>
  <c r="AE25" i="7"/>
  <c r="AE24" i="7"/>
  <c r="AE23" i="7"/>
  <c r="AE22" i="7"/>
  <c r="AE21" i="7"/>
  <c r="AA28" i="7"/>
  <c r="AA27" i="7"/>
  <c r="AA26" i="7"/>
  <c r="AA25" i="7"/>
  <c r="AA24" i="7"/>
  <c r="AA23" i="7"/>
  <c r="AA22" i="7"/>
  <c r="AA21" i="7"/>
  <c r="W27" i="7"/>
  <c r="W26" i="7"/>
  <c r="W25" i="7"/>
  <c r="W24" i="7"/>
  <c r="W23" i="7"/>
  <c r="W22" i="7"/>
  <c r="W21" i="7"/>
  <c r="W20" i="7"/>
  <c r="S26" i="7"/>
  <c r="S25" i="7"/>
  <c r="S24" i="7"/>
  <c r="S23" i="7"/>
  <c r="S22" i="7"/>
  <c r="S21" i="7"/>
  <c r="S20" i="7"/>
  <c r="S19" i="7"/>
  <c r="S18" i="7"/>
  <c r="AI30" i="7"/>
  <c r="AI29" i="7"/>
  <c r="AI28" i="7"/>
  <c r="AI27" i="7"/>
  <c r="AI26" i="7"/>
  <c r="AI25" i="7"/>
  <c r="AI24" i="7"/>
  <c r="AI23" i="7"/>
  <c r="O19" i="7"/>
  <c r="O20" i="7"/>
  <c r="O21" i="7"/>
  <c r="O22" i="7"/>
  <c r="O23" i="7"/>
  <c r="O24" i="7"/>
  <c r="O25" i="7"/>
  <c r="AQ23" i="7"/>
  <c r="B2" i="1"/>
  <c r="Y2" i="7"/>
  <c r="AK2" i="7"/>
  <c r="AW2" i="7" s="1"/>
  <c r="M4" i="7"/>
  <c r="X4" i="7"/>
  <c r="AI4" i="7"/>
  <c r="AT4" i="7" s="1"/>
  <c r="BE4" i="7" s="1"/>
  <c r="J4" i="4"/>
  <c r="W10" i="10"/>
  <c r="J14" i="10" s="1"/>
  <c r="H3" i="9"/>
  <c r="J52" i="9"/>
  <c r="N26" i="3"/>
  <c r="N39" i="3"/>
  <c r="F58" i="3"/>
  <c r="F57" i="3"/>
  <c r="C33" i="3"/>
  <c r="E19" i="1"/>
  <c r="AA40" i="4" s="1"/>
  <c r="E20" i="1"/>
  <c r="AA41" i="4"/>
  <c r="E22" i="1"/>
  <c r="E23" i="1"/>
  <c r="E24" i="1"/>
  <c r="E25" i="1"/>
  <c r="E26" i="1"/>
  <c r="F133" i="1"/>
  <c r="E184" i="1"/>
  <c r="F9" i="6"/>
  <c r="J7" i="3"/>
  <c r="AC35" i="3"/>
  <c r="AG82" i="3"/>
  <c r="AG84" i="3"/>
  <c r="AB76" i="3"/>
  <c r="AG42" i="3"/>
  <c r="AG44" i="3"/>
  <c r="AB36" i="3"/>
  <c r="AH29" i="3"/>
  <c r="AH23" i="3"/>
  <c r="AH31" i="3" s="1"/>
  <c r="AH17" i="3"/>
  <c r="R41" i="7"/>
  <c r="V42" i="7" s="1"/>
  <c r="Z43" i="7" s="1"/>
  <c r="AD44" i="7" s="1"/>
  <c r="AH45" i="7" s="1"/>
  <c r="AL46" i="7" s="1"/>
  <c r="AP47" i="7"/>
  <c r="AT48" i="7" s="1"/>
  <c r="AX49" i="7" s="1"/>
  <c r="BB50" i="7" s="1"/>
  <c r="BF51" i="7" s="1"/>
  <c r="BJ52" i="7" s="1"/>
  <c r="AQ14" i="7"/>
  <c r="AO15" i="7"/>
  <c r="H35" i="7" s="1"/>
  <c r="R6" i="7"/>
  <c r="V7" i="7"/>
  <c r="Z8" i="7" s="1"/>
  <c r="AD9" i="7" s="1"/>
  <c r="AH10" i="7" s="1"/>
  <c r="AL11" i="7"/>
  <c r="AP12" i="7"/>
  <c r="AT13" i="7"/>
  <c r="AX14" i="7" s="1"/>
  <c r="BB15" i="7" s="1"/>
  <c r="BF16" i="7" s="1"/>
  <c r="BJ17" i="7" s="1"/>
  <c r="Z17" i="4"/>
  <c r="Z18" i="4"/>
  <c r="AG33" i="4" s="1"/>
  <c r="Y18" i="4"/>
  <c r="Y19" i="4"/>
  <c r="Y16" i="4"/>
  <c r="Y17" i="4"/>
  <c r="Y15" i="4"/>
  <c r="AC76" i="3"/>
  <c r="S55" i="7"/>
  <c r="S53" i="7"/>
  <c r="S54" i="7"/>
  <c r="O145" i="12"/>
  <c r="O132" i="12"/>
  <c r="CG16" i="4"/>
  <c r="CF16" i="4"/>
  <c r="CC16" i="4"/>
  <c r="CB16" i="4"/>
  <c r="BZ16" i="4"/>
  <c r="BW16" i="4"/>
  <c r="BV16" i="4"/>
  <c r="BS16" i="4"/>
  <c r="BR16" i="4"/>
  <c r="BN16" i="4"/>
  <c r="BJ16" i="4"/>
  <c r="BF16" i="4"/>
  <c r="BB16" i="4"/>
  <c r="AT16" i="4"/>
  <c r="BA16" i="4"/>
  <c r="BX16" i="4"/>
  <c r="BY16" i="4"/>
  <c r="AL285" i="10"/>
  <c r="BB274" i="10"/>
  <c r="AN286" i="10"/>
  <c r="K70" i="1"/>
  <c r="L89" i="6" s="1"/>
  <c r="K69" i="1"/>
  <c r="L88" i="6"/>
  <c r="K66" i="1"/>
  <c r="L85" i="6" s="1"/>
  <c r="U52" i="12"/>
  <c r="S52" i="12"/>
  <c r="K67" i="1"/>
  <c r="L86" i="6" s="1"/>
  <c r="AR19" i="4"/>
  <c r="AB16" i="4"/>
  <c r="BM16" i="4"/>
  <c r="BQ16" i="4"/>
  <c r="AK16" i="4"/>
  <c r="BT16" i="4"/>
  <c r="AW16" i="4"/>
  <c r="BU16" i="4"/>
  <c r="AF16" i="4"/>
  <c r="AG16" i="4"/>
  <c r="AO16" i="4"/>
  <c r="BD16" i="4"/>
  <c r="BE16" i="4"/>
  <c r="AM285" i="10"/>
  <c r="AK285" i="10"/>
  <c r="BI16" i="4"/>
  <c r="AC16" i="4"/>
  <c r="P67" i="4"/>
  <c r="P69" i="4"/>
  <c r="P71" i="4"/>
  <c r="EF16" i="4"/>
  <c r="AX274" i="10"/>
  <c r="Q56" i="4"/>
  <c r="Q38" i="4"/>
  <c r="Q13" i="4"/>
  <c r="Q15" i="4" s="1"/>
  <c r="Q17" i="4" s="1"/>
  <c r="Q29" i="4"/>
  <c r="Q47" i="4"/>
  <c r="G285" i="3"/>
  <c r="G304" i="3" s="1"/>
  <c r="P13" i="4"/>
  <c r="P15" i="4" s="1"/>
  <c r="P17" i="4" s="1"/>
  <c r="AA22" i="4"/>
  <c r="G194" i="3"/>
  <c r="O133" i="12"/>
  <c r="CO16" i="4"/>
  <c r="CT16" i="4"/>
  <c r="CX19" i="4"/>
  <c r="DE16" i="4"/>
  <c r="DJ16" i="4"/>
  <c r="DQ16" i="4"/>
  <c r="DT16" i="4"/>
  <c r="I146" i="12"/>
  <c r="G167" i="3"/>
  <c r="U171" i="12"/>
  <c r="U145" i="12"/>
  <c r="U184" i="12"/>
  <c r="O184" i="12"/>
  <c r="G136" i="3"/>
  <c r="G198" i="3"/>
  <c r="N18" i="3"/>
  <c r="R280" i="4"/>
  <c r="R259" i="4"/>
  <c r="R273" i="4"/>
  <c r="R266" i="4"/>
  <c r="X281" i="10"/>
  <c r="X285" i="10"/>
  <c r="X279" i="10"/>
  <c r="AA281" i="10"/>
  <c r="AA279" i="10"/>
  <c r="AA283" i="10"/>
  <c r="AB275" i="10"/>
  <c r="AG276" i="10" s="1"/>
  <c r="AG275" i="10" s="1"/>
  <c r="AB277" i="10"/>
  <c r="AG278" i="10" s="1"/>
  <c r="AA277" i="10"/>
  <c r="V284" i="4"/>
  <c r="H20" i="4"/>
  <c r="F11" i="11"/>
  <c r="T15" i="11" s="1"/>
  <c r="T52" i="11" s="1"/>
  <c r="W18" i="10"/>
  <c r="Z33" i="9"/>
  <c r="Z18" i="9"/>
  <c r="Z15" i="9"/>
  <c r="G190" i="3"/>
  <c r="CW20" i="10"/>
  <c r="CW26" i="10"/>
  <c r="EG26" i="10"/>
  <c r="G299" i="3"/>
  <c r="G221" i="3"/>
  <c r="G225" i="3" s="1"/>
  <c r="DX19" i="4"/>
  <c r="AO19" i="4"/>
  <c r="AL19" i="4"/>
  <c r="AI19" i="4"/>
  <c r="AF19" i="4"/>
  <c r="AD19" i="4"/>
  <c r="EE19" i="4"/>
  <c r="AX19" i="4"/>
  <c r="AU19" i="4"/>
  <c r="AP19" i="4"/>
  <c r="AM19" i="4"/>
  <c r="AJ19" i="4"/>
  <c r="AG19" i="4"/>
  <c r="AE19" i="4"/>
  <c r="AB19" i="4"/>
  <c r="EF19" i="4"/>
  <c r="AN19" i="4"/>
  <c r="AK19" i="4"/>
  <c r="AH19" i="4"/>
  <c r="AC19" i="4"/>
  <c r="EE16" i="4"/>
  <c r="EC16" i="4"/>
  <c r="DU17" i="4"/>
  <c r="EE17" i="4"/>
  <c r="DY18" i="4"/>
  <c r="ED18" i="4"/>
  <c r="EE18" i="4"/>
  <c r="EC18" i="4"/>
  <c r="DV15" i="4"/>
  <c r="AW14" i="4"/>
  <c r="AS14" i="4"/>
  <c r="W51" i="7"/>
  <c r="Q273" i="4"/>
  <c r="V274" i="4"/>
  <c r="Q259" i="4"/>
  <c r="O266" i="4"/>
  <c r="U267" i="4" s="1"/>
  <c r="O259" i="4"/>
  <c r="Q280" i="4"/>
  <c r="AA261" i="10"/>
  <c r="N259" i="4"/>
  <c r="AB30" i="4" s="1"/>
  <c r="O273" i="4"/>
  <c r="U274" i="4"/>
  <c r="O242" i="4"/>
  <c r="N273" i="4"/>
  <c r="AD30" i="4"/>
  <c r="K3" i="12"/>
  <c r="Q184" i="4"/>
  <c r="Q186" i="4" s="1"/>
  <c r="Q188" i="4" s="1"/>
  <c r="EA19" i="4"/>
  <c r="AM14" i="4"/>
  <c r="N240" i="4"/>
  <c r="AA246" i="10" s="1"/>
  <c r="O236" i="4"/>
  <c r="R237" i="4" s="1"/>
  <c r="T236" i="4" s="1"/>
  <c r="N233" i="4"/>
  <c r="O229" i="4"/>
  <c r="R230" i="4" s="1"/>
  <c r="T229" i="4" s="1"/>
  <c r="O222" i="4"/>
  <c r="R223" i="4"/>
  <c r="T222" i="4" s="1"/>
  <c r="N220" i="4"/>
  <c r="O215" i="4"/>
  <c r="R217" i="4"/>
  <c r="T215" i="4"/>
  <c r="O209" i="4"/>
  <c r="R210" i="4" s="1"/>
  <c r="T209" i="4" s="1"/>
  <c r="O206" i="4"/>
  <c r="O202" i="4"/>
  <c r="N200" i="4"/>
  <c r="AA206" i="10"/>
  <c r="O195" i="4"/>
  <c r="R196" i="4"/>
  <c r="T195" i="4"/>
  <c r="N193" i="4"/>
  <c r="O188" i="4"/>
  <c r="N186" i="4"/>
  <c r="O182" i="4"/>
  <c r="R183" i="4"/>
  <c r="T182" i="4"/>
  <c r="N179" i="4"/>
  <c r="AA185" i="10"/>
  <c r="O175" i="4"/>
  <c r="R176" i="4"/>
  <c r="T175" i="4" s="1"/>
  <c r="N173" i="4"/>
  <c r="AA179" i="10"/>
  <c r="O168" i="4"/>
  <c r="R169" i="4" s="1"/>
  <c r="T168" i="4" s="1"/>
  <c r="O161" i="4"/>
  <c r="R163" i="4"/>
  <c r="T161" i="4" s="1"/>
  <c r="N159" i="4"/>
  <c r="O155" i="4"/>
  <c r="R156" i="4"/>
  <c r="T155" i="4" s="1"/>
  <c r="O150" i="4"/>
  <c r="R151" i="4" s="1"/>
  <c r="T150" i="4"/>
  <c r="N148" i="4"/>
  <c r="O141" i="4"/>
  <c r="R142" i="4"/>
  <c r="T141" i="4"/>
  <c r="O139" i="4"/>
  <c r="R140" i="4" s="1"/>
  <c r="N132" i="4"/>
  <c r="AA138" i="10" s="1"/>
  <c r="O128" i="4"/>
  <c r="R129" i="4"/>
  <c r="T128" i="4"/>
  <c r="N125" i="4"/>
  <c r="O121" i="4"/>
  <c r="N119" i="4"/>
  <c r="AA125" i="10"/>
  <c r="N112" i="4"/>
  <c r="AA118" i="10" s="1"/>
  <c r="O107" i="4"/>
  <c r="R109" i="4"/>
  <c r="T107" i="4"/>
  <c r="O101" i="4"/>
  <c r="R102" i="4" s="1"/>
  <c r="T101" i="4"/>
  <c r="N98" i="4"/>
  <c r="O94" i="4"/>
  <c r="N92" i="4"/>
  <c r="O87" i="4"/>
  <c r="N85" i="4"/>
  <c r="AA91" i="10"/>
  <c r="N78" i="4"/>
  <c r="AA84" i="10"/>
  <c r="O74" i="4"/>
  <c r="N71" i="4"/>
  <c r="N65" i="4"/>
  <c r="AA71" i="10"/>
  <c r="O60" i="4"/>
  <c r="O53" i="4"/>
  <c r="N51" i="4"/>
  <c r="O47" i="4"/>
  <c r="R48" i="4" s="1"/>
  <c r="N44" i="4"/>
  <c r="O40" i="4"/>
  <c r="N38" i="4"/>
  <c r="AA44" i="10"/>
  <c r="N31" i="4"/>
  <c r="AA37" i="10"/>
  <c r="AF37" i="10" s="1"/>
  <c r="O26" i="4"/>
  <c r="N24" i="4"/>
  <c r="N15" i="4"/>
  <c r="O17" i="4"/>
  <c r="O11" i="4"/>
  <c r="R12" i="4"/>
  <c r="N238" i="4"/>
  <c r="AA244" i="10" s="1"/>
  <c r="N242" i="4"/>
  <c r="AA248" i="10" s="1"/>
  <c r="AF248" i="10" s="1"/>
  <c r="O238" i="4"/>
  <c r="R239" i="4" s="1"/>
  <c r="T238" i="4" s="1"/>
  <c r="O231" i="4"/>
  <c r="R232" i="4"/>
  <c r="T231" i="4" s="1"/>
  <c r="N229" i="4"/>
  <c r="AA235" i="10" s="1"/>
  <c r="N222" i="4"/>
  <c r="O218" i="4"/>
  <c r="R219" i="4" s="1"/>
  <c r="T218" i="4" s="1"/>
  <c r="N215" i="4"/>
  <c r="AA221" i="10" s="1"/>
  <c r="O211" i="4"/>
  <c r="R212" i="4"/>
  <c r="T211" i="4" s="1"/>
  <c r="N209" i="4"/>
  <c r="AA215" i="10" s="1"/>
  <c r="O204" i="4"/>
  <c r="N202" i="4"/>
  <c r="AA208" i="10"/>
  <c r="N195" i="4"/>
  <c r="AA201" i="10"/>
  <c r="O191" i="4"/>
  <c r="R192" i="4"/>
  <c r="N188" i="4"/>
  <c r="O184" i="4"/>
  <c r="N182" i="4"/>
  <c r="AA188" i="10"/>
  <c r="O177" i="4"/>
  <c r="R178" i="4"/>
  <c r="T177" i="4" s="1"/>
  <c r="N175" i="4"/>
  <c r="O170" i="4"/>
  <c r="N168" i="4"/>
  <c r="AA174" i="10"/>
  <c r="O164" i="4"/>
  <c r="R165" i="4"/>
  <c r="T164" i="4"/>
  <c r="N161" i="4"/>
  <c r="O157" i="4"/>
  <c r="R158" i="4" s="1"/>
  <c r="T157" i="4" s="1"/>
  <c r="N155" i="4"/>
  <c r="AA161" i="10"/>
  <c r="O152" i="4"/>
  <c r="R154" i="4" s="1"/>
  <c r="T152" i="4" s="1"/>
  <c r="N150" i="4"/>
  <c r="O143" i="4"/>
  <c r="R145" i="4" s="1"/>
  <c r="T143" i="4" s="1"/>
  <c r="N141" i="4"/>
  <c r="AA147" i="10" s="1"/>
  <c r="O137" i="4"/>
  <c r="R138" i="4" s="1"/>
  <c r="T137" i="4" s="1"/>
  <c r="N134" i="4"/>
  <c r="O130" i="4"/>
  <c r="R131" i="4"/>
  <c r="T130" i="4"/>
  <c r="O123" i="4"/>
  <c r="N121" i="4"/>
  <c r="N114" i="4"/>
  <c r="O110" i="4"/>
  <c r="R111" i="4" s="1"/>
  <c r="T110" i="4" s="1"/>
  <c r="O103" i="4"/>
  <c r="R104" i="4"/>
  <c r="T103" i="4"/>
  <c r="N101" i="4"/>
  <c r="AA107" i="10" s="1"/>
  <c r="N94" i="4"/>
  <c r="AA100" i="10"/>
  <c r="O89" i="4"/>
  <c r="N87" i="4"/>
  <c r="N80" i="4"/>
  <c r="O76" i="4"/>
  <c r="N74" i="4"/>
  <c r="AA80" i="10"/>
  <c r="N69" i="4"/>
  <c r="N67" i="4"/>
  <c r="AA73" i="10" s="1"/>
  <c r="O62" i="4"/>
  <c r="N60" i="4"/>
  <c r="O56" i="4"/>
  <c r="N53" i="4"/>
  <c r="AA59" i="10"/>
  <c r="O49" i="4"/>
  <c r="N47" i="4"/>
  <c r="AA53" i="10" s="1"/>
  <c r="O42" i="4"/>
  <c r="N40" i="4"/>
  <c r="AA46" i="10"/>
  <c r="O35" i="4"/>
  <c r="N33" i="4"/>
  <c r="O29" i="4"/>
  <c r="R30" i="4"/>
  <c r="T29" i="4" s="1"/>
  <c r="N26" i="4"/>
  <c r="AA32" i="10"/>
  <c r="O22" i="4"/>
  <c r="N20" i="4"/>
  <c r="N13" i="4"/>
  <c r="AA19" i="10" s="1"/>
  <c r="O240" i="4"/>
  <c r="O233" i="4"/>
  <c r="R235" i="4"/>
  <c r="T233" i="4"/>
  <c r="O227" i="4"/>
  <c r="R228" i="4" s="1"/>
  <c r="T227" i="4"/>
  <c r="N224" i="4"/>
  <c r="AA230" i="10" s="1"/>
  <c r="N231" i="4"/>
  <c r="O213" i="4"/>
  <c r="R214" i="4"/>
  <c r="N204" i="4"/>
  <c r="AA210" i="10" s="1"/>
  <c r="O193" i="4"/>
  <c r="R194" i="4" s="1"/>
  <c r="T193" i="4" s="1"/>
  <c r="N184" i="4"/>
  <c r="AA190" i="10"/>
  <c r="O173" i="4"/>
  <c r="R174" i="4" s="1"/>
  <c r="T173" i="4" s="1"/>
  <c r="N164" i="4"/>
  <c r="AA170" i="10" s="1"/>
  <c r="O146" i="4"/>
  <c r="R147" i="4" s="1"/>
  <c r="T146" i="4"/>
  <c r="N143" i="4"/>
  <c r="AA149" i="10" s="1"/>
  <c r="O132" i="4"/>
  <c r="R133" i="4"/>
  <c r="T132" i="4" s="1"/>
  <c r="N123" i="4"/>
  <c r="O112" i="4"/>
  <c r="R113" i="4"/>
  <c r="T112" i="4"/>
  <c r="N103" i="4"/>
  <c r="AA109" i="10" s="1"/>
  <c r="O92" i="4"/>
  <c r="N83" i="4"/>
  <c r="AA89" i="10" s="1"/>
  <c r="O71" i="4"/>
  <c r="N62" i="4"/>
  <c r="AA68" i="10" s="1"/>
  <c r="O51" i="4"/>
  <c r="N42" i="4"/>
  <c r="O31" i="4"/>
  <c r="N22" i="4"/>
  <c r="AA28" i="10" s="1"/>
  <c r="N218" i="4"/>
  <c r="AA224" i="10"/>
  <c r="O186" i="4"/>
  <c r="O166" i="4"/>
  <c r="R167" i="4" s="1"/>
  <c r="T166" i="4"/>
  <c r="O148" i="4"/>
  <c r="R149" i="4" s="1"/>
  <c r="T148" i="4" s="1"/>
  <c r="O125" i="4"/>
  <c r="O105" i="4"/>
  <c r="R106" i="4"/>
  <c r="T105" i="4" s="1"/>
  <c r="O85" i="4"/>
  <c r="O65" i="4"/>
  <c r="O44" i="4"/>
  <c r="O24" i="4"/>
  <c r="O220" i="4"/>
  <c r="R221" i="4" s="1"/>
  <c r="T220" i="4" s="1"/>
  <c r="N211" i="4"/>
  <c r="AA217" i="10"/>
  <c r="O200" i="4"/>
  <c r="N191" i="4"/>
  <c r="AA197" i="10"/>
  <c r="O179" i="4"/>
  <c r="R181" i="4"/>
  <c r="T179" i="4" s="1"/>
  <c r="N170" i="4"/>
  <c r="O159" i="4"/>
  <c r="R160" i="4" s="1"/>
  <c r="T159" i="4" s="1"/>
  <c r="N152" i="4"/>
  <c r="AA158" i="10"/>
  <c r="N139" i="4"/>
  <c r="N130" i="4"/>
  <c r="AA136" i="10" s="1"/>
  <c r="O119" i="4"/>
  <c r="N110" i="4"/>
  <c r="AA116" i="10" s="1"/>
  <c r="O98" i="4"/>
  <c r="N89" i="4"/>
  <c r="AA95" i="10"/>
  <c r="O78" i="4"/>
  <c r="O69" i="4"/>
  <c r="O58" i="4"/>
  <c r="N49" i="4"/>
  <c r="AA55" i="10" s="1"/>
  <c r="O38" i="4"/>
  <c r="N29" i="4"/>
  <c r="N17" i="4"/>
  <c r="AA23" i="10" s="1"/>
  <c r="N206" i="4"/>
  <c r="AA212" i="10" s="1"/>
  <c r="N197" i="4"/>
  <c r="N177" i="4"/>
  <c r="N157" i="4"/>
  <c r="N137" i="4"/>
  <c r="AA143" i="10"/>
  <c r="AF143" i="10" s="1"/>
  <c r="CT20" i="10" s="1"/>
  <c r="N116" i="4"/>
  <c r="AA122" i="10" s="1"/>
  <c r="N96" i="4"/>
  <c r="N76" i="4"/>
  <c r="AA82" i="10" s="1"/>
  <c r="N56" i="4"/>
  <c r="AA62" i="10"/>
  <c r="N35" i="4"/>
  <c r="N11" i="4"/>
  <c r="AA17" i="10" s="1"/>
  <c r="G38" i="4"/>
  <c r="H29" i="4"/>
  <c r="T35" i="10" s="1"/>
  <c r="AX18" i="10" s="1"/>
  <c r="G38" i="12"/>
  <c r="CB18" i="4"/>
  <c r="CB24" i="10"/>
  <c r="BA18" i="4"/>
  <c r="AJ18" i="4"/>
  <c r="BL18" i="4"/>
  <c r="AT18" i="4"/>
  <c r="AB12" i="4"/>
  <c r="BH18" i="4"/>
  <c r="AH18" i="4"/>
  <c r="CE18" i="4"/>
  <c r="AN18" i="4"/>
  <c r="AY18" i="4"/>
  <c r="BS18" i="4"/>
  <c r="BP18" i="4"/>
  <c r="AV18" i="4"/>
  <c r="BY18" i="4"/>
  <c r="AM18" i="4"/>
  <c r="BF18" i="4"/>
  <c r="BZ18" i="4"/>
  <c r="CH18" i="4"/>
  <c r="CK18" i="4"/>
  <c r="DF18" i="4"/>
  <c r="CW18" i="4"/>
  <c r="CZ18" i="4"/>
  <c r="DU18" i="4"/>
  <c r="DX18" i="4"/>
  <c r="CQ18" i="4"/>
  <c r="AC18" i="4"/>
  <c r="BQ18" i="4"/>
  <c r="BD18" i="4"/>
  <c r="AF18" i="4"/>
  <c r="AS18" i="4"/>
  <c r="BI18" i="4"/>
  <c r="AZ18" i="4"/>
  <c r="BX18" i="4"/>
  <c r="AI18" i="4"/>
  <c r="AP18" i="4"/>
  <c r="AU18" i="4"/>
  <c r="BB18" i="4"/>
  <c r="BG18" i="4"/>
  <c r="BO18" i="4"/>
  <c r="BV18" i="4"/>
  <c r="CA18" i="4"/>
  <c r="CC18" i="4"/>
  <c r="CF18" i="4"/>
  <c r="CI18" i="4"/>
  <c r="CN18" i="4"/>
  <c r="CT18" i="4"/>
  <c r="DL18" i="4"/>
  <c r="DO18" i="4"/>
  <c r="DR18" i="4"/>
  <c r="DT18" i="4"/>
  <c r="EA18" i="4"/>
  <c r="AO18" i="4"/>
  <c r="AB18" i="4"/>
  <c r="AR18" i="4"/>
  <c r="BE18" i="4"/>
  <c r="BU18" i="4"/>
  <c r="AG18" i="4"/>
  <c r="AW18" i="4"/>
  <c r="BT18" i="4"/>
  <c r="BM18" i="4"/>
  <c r="AD18" i="4"/>
  <c r="AL18" i="4"/>
  <c r="AQ18" i="4"/>
  <c r="AX18" i="4"/>
  <c r="BC18" i="4"/>
  <c r="BJ18" i="4"/>
  <c r="BR18" i="4"/>
  <c r="BW18" i="4"/>
  <c r="BN18" i="4"/>
  <c r="CD18" i="4"/>
  <c r="CG18" i="4"/>
  <c r="DC18" i="4"/>
  <c r="DI18" i="4"/>
  <c r="F53" i="3"/>
  <c r="G208" i="3"/>
  <c r="CG27" i="4"/>
  <c r="BG60" i="7"/>
  <c r="BC59" i="7"/>
  <c r="Z39" i="9"/>
  <c r="Z26" i="9"/>
  <c r="Z41" i="9"/>
  <c r="AQ21" i="7"/>
  <c r="AU22" i="7"/>
  <c r="Z25" i="9"/>
  <c r="H29" i="7"/>
  <c r="G247" i="3"/>
  <c r="N57" i="3"/>
  <c r="W15" i="9"/>
  <c r="N30" i="3"/>
  <c r="Z21" i="9"/>
  <c r="U10" i="7"/>
  <c r="H30" i="7" s="1"/>
  <c r="G239" i="3"/>
  <c r="G149" i="3"/>
  <c r="G84" i="3"/>
  <c r="AS19" i="4"/>
  <c r="BK19" i="4"/>
  <c r="BX19" i="4"/>
  <c r="CA19" i="4"/>
  <c r="BE19" i="4"/>
  <c r="AZ19" i="4"/>
  <c r="BC19" i="4"/>
  <c r="CD19" i="4"/>
  <c r="AV19" i="4"/>
  <c r="BH19" i="4"/>
  <c r="BI19" i="4"/>
  <c r="BR19" i="4"/>
  <c r="CI19" i="4"/>
  <c r="DJ19" i="4"/>
  <c r="DQ19" i="4"/>
  <c r="DR19" i="4"/>
  <c r="BQ15" i="4"/>
  <c r="AI15" i="4"/>
  <c r="BM19" i="4"/>
  <c r="N293" i="4"/>
  <c r="BQ19" i="4"/>
  <c r="AT19" i="4"/>
  <c r="BG19" i="4"/>
  <c r="BZ19" i="4"/>
  <c r="CF19" i="4"/>
  <c r="Z23" i="4"/>
  <c r="CK19" i="4"/>
  <c r="CS19" i="4"/>
  <c r="CT19" i="4"/>
  <c r="DG19" i="4"/>
  <c r="DP19" i="4"/>
  <c r="DS19" i="4"/>
  <c r="DP17" i="4"/>
  <c r="AB17" i="4"/>
  <c r="BU15" i="4"/>
  <c r="CA15" i="4"/>
  <c r="AV15" i="4"/>
  <c r="AO14" i="4"/>
  <c r="BU19" i="4"/>
  <c r="BL19" i="4"/>
  <c r="BT17" i="4"/>
  <c r="BP19" i="4"/>
  <c r="AQ19" i="4"/>
  <c r="AY19" i="4"/>
  <c r="BJ19" i="4"/>
  <c r="BS19" i="4"/>
  <c r="CC19" i="4"/>
  <c r="CG19" i="4"/>
  <c r="BZ17" i="4"/>
  <c r="AD14" i="4"/>
  <c r="CM19" i="4"/>
  <c r="CO19" i="4"/>
  <c r="DV19" i="4"/>
  <c r="BT14" i="4"/>
  <c r="BI17" i="4"/>
  <c r="AG38" i="4"/>
  <c r="AF15" i="4"/>
  <c r="BX17" i="4"/>
  <c r="AU15" i="4"/>
  <c r="CH15" i="4"/>
  <c r="DD15" i="4"/>
  <c r="AE17" i="4"/>
  <c r="BH14" i="4"/>
  <c r="AZ15" i="4"/>
  <c r="BD15" i="4"/>
  <c r="AF17" i="4"/>
  <c r="AW19" i="4"/>
  <c r="BD19" i="4"/>
  <c r="BT19" i="4"/>
  <c r="BM17" i="4"/>
  <c r="AA23" i="4"/>
  <c r="BA19" i="4"/>
  <c r="AB267" i="10"/>
  <c r="AN15" i="4"/>
  <c r="BY19" i="4"/>
  <c r="BB19" i="4"/>
  <c r="BN19" i="4"/>
  <c r="BO19" i="4"/>
  <c r="BV19" i="4"/>
  <c r="CB19" i="4"/>
  <c r="CE19" i="4"/>
  <c r="CH19" i="4"/>
  <c r="AD15" i="4"/>
  <c r="BJ15" i="4"/>
  <c r="AX17" i="4"/>
  <c r="CJ19" i="4"/>
  <c r="CM17" i="4"/>
  <c r="CN19" i="4"/>
  <c r="CP19" i="4"/>
  <c r="CR19" i="4"/>
  <c r="CV19" i="4"/>
  <c r="CW19" i="4"/>
  <c r="CY19" i="4"/>
  <c r="DA19" i="4"/>
  <c r="DT19" i="4"/>
  <c r="DU19" i="4"/>
  <c r="DY19" i="4"/>
  <c r="ET22" i="10"/>
  <c r="CV17" i="4"/>
  <c r="CX17" i="4"/>
  <c r="DC17" i="4"/>
  <c r="DM15" i="4"/>
  <c r="DO15" i="4"/>
  <c r="AW17" i="4"/>
  <c r="AK17" i="4"/>
  <c r="BL17" i="4"/>
  <c r="BU17" i="4"/>
  <c r="BF17" i="4"/>
  <c r="BW17" i="4"/>
  <c r="EF14" i="4"/>
  <c r="BP14" i="4"/>
  <c r="AR17" i="4"/>
  <c r="BE14" i="4"/>
  <c r="AV17" i="4"/>
  <c r="AN17" i="4"/>
  <c r="AS17" i="4"/>
  <c r="BQ17" i="4"/>
  <c r="BL15" i="4"/>
  <c r="AB15" i="4"/>
  <c r="BM15" i="4"/>
  <c r="AT15" i="4"/>
  <c r="BR15" i="4"/>
  <c r="AM17" i="4"/>
  <c r="BN17" i="4"/>
  <c r="CH17" i="4"/>
  <c r="AK14" i="4"/>
  <c r="CO17" i="4"/>
  <c r="DG17" i="4"/>
  <c r="DL17" i="4"/>
  <c r="AQ17" i="4"/>
  <c r="CF17" i="4"/>
  <c r="CC14" i="4"/>
  <c r="DE17" i="4"/>
  <c r="DN17" i="4"/>
  <c r="DT17" i="4"/>
  <c r="EA17" i="4"/>
  <c r="CB15" i="4"/>
  <c r="AH17" i="4"/>
  <c r="AY17" i="4"/>
  <c r="AD17" i="4"/>
  <c r="BO17" i="4"/>
  <c r="CA17" i="4"/>
  <c r="CG17" i="4"/>
  <c r="AG14" i="4"/>
  <c r="AC17" i="4"/>
  <c r="BL14" i="4"/>
  <c r="AZ14" i="4"/>
  <c r="BH17" i="4"/>
  <c r="AG17" i="4"/>
  <c r="BD17" i="4"/>
  <c r="AZ17" i="4"/>
  <c r="BE17" i="4"/>
  <c r="BP17" i="4"/>
  <c r="N294" i="4"/>
  <c r="EF15" i="4"/>
  <c r="BA17" i="4"/>
  <c r="AR15" i="4"/>
  <c r="AA25" i="4"/>
  <c r="BY17" i="4"/>
  <c r="AM15" i="4"/>
  <c r="BF15" i="4"/>
  <c r="BS15" i="4"/>
  <c r="CF15" i="4"/>
  <c r="AL17" i="4"/>
  <c r="AT17" i="4"/>
  <c r="BC17" i="4"/>
  <c r="BJ17" i="4"/>
  <c r="BS17" i="4"/>
  <c r="CI17" i="4"/>
  <c r="CE17" i="4"/>
  <c r="CK17" i="4"/>
  <c r="CL19" i="4"/>
  <c r="CN15" i="4"/>
  <c r="CP15" i="4"/>
  <c r="CQ19" i="4"/>
  <c r="CT17" i="4"/>
  <c r="CU19" i="4"/>
  <c r="CY15" i="4"/>
  <c r="CZ19" i="4"/>
  <c r="DB19" i="4"/>
  <c r="DC19" i="4"/>
  <c r="DD19" i="4"/>
  <c r="DE19" i="4"/>
  <c r="DF19" i="4"/>
  <c r="DH19" i="4"/>
  <c r="DI19" i="4"/>
  <c r="DK19" i="4"/>
  <c r="DL19" i="4"/>
  <c r="DM19" i="4"/>
  <c r="DN19" i="4"/>
  <c r="DO19" i="4"/>
  <c r="DW19" i="4"/>
  <c r="EA15" i="4"/>
  <c r="DW15" i="4"/>
  <c r="DQ15" i="4"/>
  <c r="DP15" i="4"/>
  <c r="DL15" i="4"/>
  <c r="DJ15" i="4"/>
  <c r="DG15" i="4"/>
  <c r="DF15" i="4"/>
  <c r="DC15" i="4"/>
  <c r="DA15" i="4"/>
  <c r="CV15" i="4"/>
  <c r="CR15" i="4"/>
  <c r="CM15" i="4"/>
  <c r="CK15" i="4"/>
  <c r="DU15" i="4"/>
  <c r="DN15" i="4"/>
  <c r="DK15" i="4"/>
  <c r="DB15" i="4"/>
  <c r="CZ15" i="4"/>
  <c r="CU15" i="4"/>
  <c r="CT15" i="4"/>
  <c r="CQ15" i="4"/>
  <c r="CL15" i="4"/>
  <c r="CI15" i="4"/>
  <c r="CE15" i="4"/>
  <c r="BN15" i="4"/>
  <c r="BV15" i="4"/>
  <c r="BO15" i="4"/>
  <c r="BG15" i="4"/>
  <c r="AY15" i="4"/>
  <c r="AQ15" i="4"/>
  <c r="AL15" i="4"/>
  <c r="AE15" i="4"/>
  <c r="M12" i="4"/>
  <c r="J265" i="4"/>
  <c r="DY14" i="4"/>
  <c r="DS14" i="4"/>
  <c r="DO14" i="4"/>
  <c r="DH14" i="4"/>
  <c r="CY14" i="4"/>
  <c r="CW14" i="4"/>
  <c r="CP14" i="4"/>
  <c r="CN14" i="4"/>
  <c r="CG14" i="4"/>
  <c r="BZ14" i="4"/>
  <c r="CH14" i="4"/>
  <c r="BG14" i="4"/>
  <c r="AY14" i="4"/>
  <c r="AQ14" i="4"/>
  <c r="AL14" i="4"/>
  <c r="BY14" i="4"/>
  <c r="EA14" i="4"/>
  <c r="DW14" i="4"/>
  <c r="DP14" i="4"/>
  <c r="DL14" i="4"/>
  <c r="DG14" i="4"/>
  <c r="DE14" i="4"/>
  <c r="DC14" i="4"/>
  <c r="CX14" i="4"/>
  <c r="CV14" i="4"/>
  <c r="CO14" i="4"/>
  <c r="CM14" i="4"/>
  <c r="CK14" i="4"/>
  <c r="CI14" i="4"/>
  <c r="CD14" i="4"/>
  <c r="BO14" i="4"/>
  <c r="CE14" i="4"/>
  <c r="BC14" i="4"/>
  <c r="AX14" i="4"/>
  <c r="AP14" i="4"/>
  <c r="AI14" i="4"/>
  <c r="DZ14" i="4"/>
  <c r="Z25" i="4"/>
  <c r="N150" i="12"/>
  <c r="T150" i="12" s="1"/>
  <c r="H163" i="12" s="1"/>
  <c r="N163" i="12" s="1"/>
  <c r="I132" i="12"/>
  <c r="AU14" i="4"/>
  <c r="BK14" i="4"/>
  <c r="CS14" i="4"/>
  <c r="DB14" i="4"/>
  <c r="DI14" i="4"/>
  <c r="DK14" i="4"/>
  <c r="DR15" i="4"/>
  <c r="DT14" i="4"/>
  <c r="DX15" i="4"/>
  <c r="BP15" i="4"/>
  <c r="AC14" i="4"/>
  <c r="AN14" i="4"/>
  <c r="BI14" i="4"/>
  <c r="BH15" i="4"/>
  <c r="BA15" i="4"/>
  <c r="BX15" i="4"/>
  <c r="AH15" i="4"/>
  <c r="AP15" i="4"/>
  <c r="BC15" i="4"/>
  <c r="BK15" i="4"/>
  <c r="BW15" i="4"/>
  <c r="CD15" i="4"/>
  <c r="AJ15" i="4"/>
  <c r="AH14" i="4"/>
  <c r="BB14" i="4"/>
  <c r="CA14" i="4"/>
  <c r="CJ15" i="4"/>
  <c r="CL14" i="4"/>
  <c r="CQ14" i="4"/>
  <c r="CU14" i="4"/>
  <c r="CZ14" i="4"/>
  <c r="DH15" i="4"/>
  <c r="DS15" i="4"/>
  <c r="DZ17" i="4"/>
  <c r="DX17" i="4"/>
  <c r="DV17" i="4"/>
  <c r="DR17" i="4"/>
  <c r="DM17" i="4"/>
  <c r="DK17" i="4"/>
  <c r="DI17" i="4"/>
  <c r="DD17" i="4"/>
  <c r="DB17" i="4"/>
  <c r="CZ17" i="4"/>
  <c r="CU17" i="4"/>
  <c r="CS17" i="4"/>
  <c r="CQ17" i="4"/>
  <c r="CL17" i="4"/>
  <c r="CJ17" i="4"/>
  <c r="DY17" i="4"/>
  <c r="DW17" i="4"/>
  <c r="DS17" i="4"/>
  <c r="DQ17" i="4"/>
  <c r="DO17" i="4"/>
  <c r="DJ17" i="4"/>
  <c r="DH17" i="4"/>
  <c r="DF17" i="4"/>
  <c r="DA17" i="4"/>
  <c r="CY17" i="4"/>
  <c r="CW17" i="4"/>
  <c r="CR17" i="4"/>
  <c r="CP17" i="4"/>
  <c r="CN17" i="4"/>
  <c r="CD17" i="4"/>
  <c r="CB17" i="4"/>
  <c r="BV17" i="4"/>
  <c r="CC17" i="4"/>
  <c r="BR17" i="4"/>
  <c r="BK17" i="4"/>
  <c r="BG17" i="4"/>
  <c r="BB17" i="4"/>
  <c r="AU17" i="4"/>
  <c r="AP17" i="4"/>
  <c r="AI17" i="4"/>
  <c r="Z30" i="9"/>
  <c r="Z35" i="9"/>
  <c r="S50" i="7"/>
  <c r="W25" i="9"/>
  <c r="Z27" i="9"/>
  <c r="G171" i="3"/>
  <c r="G80" i="3"/>
  <c r="G102" i="3"/>
  <c r="Z23" i="9"/>
  <c r="AE18" i="7"/>
  <c r="BG25" i="7"/>
  <c r="W39" i="9"/>
  <c r="W30" i="9"/>
  <c r="W21" i="9"/>
  <c r="G83" i="3"/>
  <c r="Q200" i="4"/>
  <c r="Q202" i="4"/>
  <c r="CG26" i="4"/>
  <c r="CJ18" i="4"/>
  <c r="CM18" i="4"/>
  <c r="CP18" i="4"/>
  <c r="CS18" i="4"/>
  <c r="CV18" i="4"/>
  <c r="CY18" i="4"/>
  <c r="DB18" i="4"/>
  <c r="DE18" i="4"/>
  <c r="DH18" i="4"/>
  <c r="DK18" i="4"/>
  <c r="DN18" i="4"/>
  <c r="DQ18" i="4"/>
  <c r="DW18" i="4"/>
  <c r="DZ18" i="4"/>
  <c r="DL24" i="10"/>
  <c r="AG36" i="4"/>
  <c r="G88" i="3"/>
  <c r="F399" i="3"/>
  <c r="G298" i="3"/>
  <c r="G284" i="3"/>
  <c r="G226" i="3"/>
  <c r="CL18" i="4"/>
  <c r="CO18" i="4"/>
  <c r="CR18" i="4"/>
  <c r="CU18" i="4"/>
  <c r="CX18" i="4"/>
  <c r="DA18" i="4"/>
  <c r="DD18" i="4"/>
  <c r="DG18" i="4"/>
  <c r="DJ18" i="4"/>
  <c r="DM18" i="4"/>
  <c r="DP18" i="4"/>
  <c r="DS18" i="4"/>
  <c r="DV18" i="4"/>
  <c r="N291" i="4"/>
  <c r="AA21" i="4"/>
  <c r="D66" i="1" s="1"/>
  <c r="F85" i="6" s="1"/>
  <c r="Z21" i="4"/>
  <c r="K260" i="4"/>
  <c r="G136" i="12" s="1"/>
  <c r="I133" i="12"/>
  <c r="L259" i="4"/>
  <c r="AB25" i="4"/>
  <c r="O295" i="4"/>
  <c r="K261" i="4"/>
  <c r="K283" i="4"/>
  <c r="AE25" i="4"/>
  <c r="AF25" i="4" s="1"/>
  <c r="R295" i="4"/>
  <c r="Z24" i="4"/>
  <c r="AA24" i="4"/>
  <c r="N292" i="4"/>
  <c r="K266" i="4"/>
  <c r="K263" i="4"/>
  <c r="G149" i="12"/>
  <c r="K262" i="4"/>
  <c r="S136" i="12" s="1"/>
  <c r="M39" i="7"/>
  <c r="X39" i="7" s="1"/>
  <c r="AI39" i="7"/>
  <c r="AT39" i="7" s="1"/>
  <c r="BE39" i="7" s="1"/>
  <c r="J48" i="3"/>
  <c r="AC75" i="3"/>
  <c r="F129" i="12"/>
  <c r="F3" i="12"/>
  <c r="L3" i="12"/>
  <c r="R3" i="12" s="1"/>
  <c r="O122" i="12"/>
  <c r="M122" i="12"/>
  <c r="K115" i="12"/>
  <c r="AG233" i="10"/>
  <c r="I122" i="12"/>
  <c r="G122" i="12"/>
  <c r="E115" i="12"/>
  <c r="S108" i="12"/>
  <c r="U108" i="12"/>
  <c r="Q101" i="12"/>
  <c r="O108" i="12"/>
  <c r="M108" i="12"/>
  <c r="K101" i="12"/>
  <c r="AG206" i="10"/>
  <c r="G108" i="12"/>
  <c r="I108" i="12"/>
  <c r="E101" i="12"/>
  <c r="U94" i="12"/>
  <c r="S94" i="12"/>
  <c r="Q87" i="12"/>
  <c r="AG188" i="10"/>
  <c r="O94" i="12"/>
  <c r="M94" i="12"/>
  <c r="K87" i="12"/>
  <c r="I94" i="12"/>
  <c r="E87" i="12"/>
  <c r="G94" i="12"/>
  <c r="U80" i="12"/>
  <c r="Q73" i="12"/>
  <c r="S80" i="12"/>
  <c r="M80" i="12"/>
  <c r="K73" i="12"/>
  <c r="O80" i="12"/>
  <c r="G80" i="12"/>
  <c r="E73" i="12"/>
  <c r="I80" i="12"/>
  <c r="Q59" i="12"/>
  <c r="S66" i="12"/>
  <c r="U66" i="12"/>
  <c r="O66" i="12"/>
  <c r="K59" i="12"/>
  <c r="M66" i="12"/>
  <c r="E59" i="12"/>
  <c r="I66" i="12"/>
  <c r="G66" i="12"/>
  <c r="AG71" i="10"/>
  <c r="G53" i="12"/>
  <c r="S53" i="12"/>
  <c r="G10" i="12"/>
  <c r="S109" i="12"/>
  <c r="G109" i="12"/>
  <c r="S95" i="12"/>
  <c r="M95" i="12"/>
  <c r="S81" i="12"/>
  <c r="M67" i="12"/>
  <c r="G67" i="12"/>
  <c r="M109" i="12"/>
  <c r="M81" i="12"/>
  <c r="G81" i="12"/>
  <c r="S67" i="12"/>
  <c r="E3" i="12"/>
  <c r="G123" i="12"/>
  <c r="G95" i="12"/>
  <c r="G39" i="12"/>
  <c r="G11" i="12"/>
  <c r="M39" i="12"/>
  <c r="S39" i="12"/>
  <c r="H26" i="12"/>
  <c r="L141" i="12"/>
  <c r="S13" i="12"/>
  <c r="K16" i="12"/>
  <c r="Q16" i="12"/>
  <c r="F16" i="12"/>
  <c r="L16" i="12"/>
  <c r="R16" i="12" s="1"/>
  <c r="G27" i="12"/>
  <c r="Y260" i="10"/>
  <c r="I280" i="4"/>
  <c r="W260" i="10" s="1"/>
  <c r="I273" i="4"/>
  <c r="W257" i="10"/>
  <c r="AG260" i="10"/>
  <c r="AG251" i="10"/>
  <c r="Y254" i="10"/>
  <c r="AG257" i="10"/>
  <c r="I259" i="4"/>
  <c r="Y257" i="10"/>
  <c r="AG254" i="10"/>
  <c r="I266" i="4"/>
  <c r="W254" i="10" s="1"/>
  <c r="U172" i="12"/>
  <c r="I172" i="12"/>
  <c r="AD26" i="4"/>
  <c r="U159" i="12"/>
  <c r="AD25" i="4"/>
  <c r="O172" i="12"/>
  <c r="Q295" i="4"/>
  <c r="L273" i="4"/>
  <c r="AE26" i="4"/>
  <c r="O296" i="4"/>
  <c r="S296" i="4" s="1"/>
  <c r="I185" i="12"/>
  <c r="K284" i="4"/>
  <c r="L280" i="4"/>
  <c r="O185" i="12"/>
  <c r="K282" i="4"/>
  <c r="U185" i="12"/>
  <c r="K281" i="4"/>
  <c r="AQ20" i="10"/>
  <c r="AX21" i="10"/>
  <c r="ET25" i="10"/>
  <c r="AW21" i="10"/>
  <c r="AS21" i="10"/>
  <c r="ET21" i="10"/>
  <c r="AT21" i="10"/>
  <c r="ET20" i="10"/>
  <c r="AG17" i="10"/>
  <c r="CN20" i="10"/>
  <c r="AV21" i="10"/>
  <c r="AR20" i="10"/>
  <c r="AR21" i="10"/>
  <c r="G99" i="6"/>
  <c r="O100" i="6"/>
  <c r="O101" i="6" s="1"/>
  <c r="O150" i="6"/>
  <c r="G150" i="6" s="1"/>
  <c r="O85" i="6"/>
  <c r="O86" i="6" s="1"/>
  <c r="O87" i="6" s="1"/>
  <c r="O88" i="6" s="1"/>
  <c r="O131" i="6"/>
  <c r="O132" i="6" s="1"/>
  <c r="O165" i="6"/>
  <c r="O166" i="6"/>
  <c r="O167" i="6" s="1"/>
  <c r="O168" i="6" s="1"/>
  <c r="O169" i="6" s="1"/>
  <c r="O170" i="6" s="1"/>
  <c r="O171" i="6"/>
  <c r="O172" i="6" s="1"/>
  <c r="O173" i="6" s="1"/>
  <c r="O174" i="6" s="1"/>
  <c r="AC100" i="10"/>
  <c r="AC102" i="10" s="1"/>
  <c r="AC104" i="10" s="1"/>
  <c r="AC107" i="10" s="1"/>
  <c r="AC109" i="10" s="1"/>
  <c r="AC111" i="10" s="1"/>
  <c r="AC113" i="10" s="1"/>
  <c r="AC116" i="10" s="1"/>
  <c r="AC118" i="10" s="1"/>
  <c r="AC120" i="10" s="1"/>
  <c r="AC122" i="10" s="1"/>
  <c r="AC125" i="10" s="1"/>
  <c r="AC127" i="10" s="1"/>
  <c r="AC129" i="10" s="1"/>
  <c r="AC131" i="10" s="1"/>
  <c r="AC134" i="10" s="1"/>
  <c r="AC136" i="10" s="1"/>
  <c r="AC138" i="10" s="1"/>
  <c r="AC140" i="10" s="1"/>
  <c r="AC143" i="10" s="1"/>
  <c r="AC145" i="10" s="1"/>
  <c r="AC147" i="10" s="1"/>
  <c r="G246" i="3"/>
  <c r="Z26" i="4"/>
  <c r="N296" i="4"/>
  <c r="R296" i="4"/>
  <c r="AB26" i="4"/>
  <c r="M138" i="12"/>
  <c r="G151" i="12" s="1"/>
  <c r="M151" i="12"/>
  <c r="P85" i="4"/>
  <c r="P87" i="4" s="1"/>
  <c r="P89" i="4" s="1"/>
  <c r="P92" i="4"/>
  <c r="Q296" i="4"/>
  <c r="Q119" i="4"/>
  <c r="W14" i="9"/>
  <c r="Z14" i="9"/>
  <c r="O18" i="7"/>
  <c r="O14" i="7"/>
  <c r="M8" i="7"/>
  <c r="G157" i="3"/>
  <c r="G154" i="3"/>
  <c r="G158" i="3"/>
  <c r="G155" i="3"/>
  <c r="G162" i="3"/>
  <c r="G156" i="3"/>
  <c r="G159" i="3"/>
  <c r="G178" i="3"/>
  <c r="Q31" i="4"/>
  <c r="Q33" i="4" s="1"/>
  <c r="Q35" i="4" s="1"/>
  <c r="R37" i="4" s="1"/>
  <c r="T35" i="4"/>
  <c r="U10" i="12"/>
  <c r="AA26" i="4"/>
  <c r="D71" i="1"/>
  <c r="F90" i="6" s="1"/>
  <c r="Q65" i="4"/>
  <c r="Q67" i="4" s="1"/>
  <c r="Q69" i="4" s="1"/>
  <c r="R70" i="4" s="1"/>
  <c r="H63" i="7"/>
  <c r="Y11" i="7"/>
  <c r="H31" i="7" s="1"/>
  <c r="AI54" i="7"/>
  <c r="Z37" i="9"/>
  <c r="W37" i="9"/>
  <c r="W34" i="9"/>
  <c r="Z34" i="9"/>
  <c r="M169" i="6"/>
  <c r="G229" i="3"/>
  <c r="G230" i="3"/>
  <c r="G234" i="3"/>
  <c r="G227" i="3"/>
  <c r="N69" i="3"/>
  <c r="N28" i="3"/>
  <c r="G288" i="3"/>
  <c r="G213" i="3"/>
  <c r="G193" i="3"/>
  <c r="G141" i="3"/>
  <c r="G81" i="3"/>
  <c r="G191" i="3"/>
  <c r="G245" i="3"/>
  <c r="G119" i="3"/>
  <c r="G282" i="3"/>
  <c r="G283" i="3"/>
  <c r="G280" i="3"/>
  <c r="G281" i="3"/>
  <c r="G306" i="3"/>
  <c r="G175" i="3"/>
  <c r="G297" i="3"/>
  <c r="S179" i="4"/>
  <c r="CY16" i="4"/>
  <c r="Z38" i="9"/>
  <c r="G211" i="3"/>
  <c r="G209" i="3"/>
  <c r="G216" i="3"/>
  <c r="G212" i="3"/>
  <c r="G138" i="3"/>
  <c r="G139" i="3"/>
  <c r="G137" i="3"/>
  <c r="G144" i="3"/>
  <c r="G140" i="3"/>
  <c r="G85" i="3"/>
  <c r="G195" i="3"/>
  <c r="G249" i="3"/>
  <c r="G105" i="3"/>
  <c r="G108" i="3"/>
  <c r="G100" i="3"/>
  <c r="G104" i="3"/>
  <c r="G99" i="3"/>
  <c r="G103" i="3"/>
  <c r="S132" i="4"/>
  <c r="CD16" i="4"/>
  <c r="K274" i="4"/>
  <c r="K275" i="4"/>
  <c r="K276" i="4"/>
  <c r="K277" i="4"/>
  <c r="G122" i="3"/>
  <c r="M85" i="6"/>
  <c r="H93" i="6"/>
  <c r="P175" i="4"/>
  <c r="P177" i="4" s="1"/>
  <c r="P179" i="4" s="1"/>
  <c r="S173" i="4"/>
  <c r="CV16" i="4" s="1"/>
  <c r="S146" i="4"/>
  <c r="CJ14" i="4"/>
  <c r="G301" i="3"/>
  <c r="G302" i="3"/>
  <c r="G153" i="3"/>
  <c r="G82" i="3"/>
  <c r="G248" i="3"/>
  <c r="G244" i="3"/>
  <c r="G94" i="3"/>
  <c r="G131" i="3"/>
  <c r="G135" i="3"/>
  <c r="G203" i="3"/>
  <c r="G275" i="3"/>
  <c r="G279" i="3" s="1"/>
  <c r="G75" i="3"/>
  <c r="G185" i="3"/>
  <c r="G257" i="3"/>
  <c r="G261" i="3" s="1"/>
  <c r="N58" i="3"/>
  <c r="CJ29" i="4"/>
  <c r="CI27" i="4"/>
  <c r="S229" i="4"/>
  <c r="DU14" i="4" s="1"/>
  <c r="S141" i="4"/>
  <c r="CH16" i="4"/>
  <c r="G268" i="3"/>
  <c r="G86" i="3"/>
  <c r="G98" i="6"/>
  <c r="S191" i="4"/>
  <c r="DD14" i="4" s="1"/>
  <c r="CH27" i="4"/>
  <c r="CI26" i="4"/>
  <c r="S182" i="4"/>
  <c r="CZ16" i="4" s="1"/>
  <c r="P202" i="4"/>
  <c r="P204" i="4" s="1"/>
  <c r="P206" i="4" s="1"/>
  <c r="CH26" i="4"/>
  <c r="CX25" i="10"/>
  <c r="S164" i="4"/>
  <c r="CR14" i="4"/>
  <c r="S227" i="4"/>
  <c r="DT15" i="4"/>
  <c r="S211" i="4"/>
  <c r="DM14" i="4" s="1"/>
  <c r="DP25" i="10"/>
  <c r="EB25" i="10"/>
  <c r="S224" i="4"/>
  <c r="DS16" i="4"/>
  <c r="S184" i="4"/>
  <c r="DA14" i="4"/>
  <c r="M53" i="12"/>
  <c r="CO25" i="10"/>
  <c r="DA25" i="10"/>
  <c r="DY25" i="10"/>
  <c r="EK25" i="10"/>
  <c r="DJ25" i="10"/>
  <c r="EH25" i="10"/>
  <c r="DG25" i="10"/>
  <c r="DS25" i="10"/>
  <c r="S218" i="4"/>
  <c r="DP16" i="4"/>
  <c r="M52" i="12"/>
  <c r="O52" i="12"/>
  <c r="M24" i="12"/>
  <c r="W29" i="10"/>
  <c r="W76" i="10"/>
  <c r="W38" i="10"/>
  <c r="CM22" i="10"/>
  <c r="EI22" i="10"/>
  <c r="BN25" i="10"/>
  <c r="W47" i="10"/>
  <c r="W27" i="10"/>
  <c r="W234" i="10"/>
  <c r="AZ278" i="10"/>
  <c r="AG224" i="10"/>
  <c r="Z278" i="10"/>
  <c r="Z286" i="10"/>
  <c r="BM20" i="10"/>
  <c r="DJ21" i="10"/>
  <c r="CL21" i="10"/>
  <c r="CI21" i="10"/>
  <c r="BV23" i="10"/>
  <c r="BZ21" i="10"/>
  <c r="BQ21" i="10"/>
  <c r="BH21" i="10"/>
  <c r="AP21" i="10"/>
  <c r="W182" i="10"/>
  <c r="W135" i="10"/>
  <c r="AG152" i="10"/>
  <c r="W238" i="10"/>
  <c r="W213" i="10"/>
  <c r="W166" i="10"/>
  <c r="BV20" i="10"/>
  <c r="BD20" i="10"/>
  <c r="AU20" i="10"/>
  <c r="W211" i="10"/>
  <c r="W216" i="10"/>
  <c r="W220" i="10"/>
  <c r="W198" i="10"/>
  <c r="W177" i="10"/>
  <c r="W218" i="10"/>
  <c r="AG161" i="10"/>
  <c r="AG134" i="10"/>
  <c r="W155" i="10"/>
  <c r="AG170" i="10"/>
  <c r="W229" i="10"/>
  <c r="AG215" i="10"/>
  <c r="W195" i="10"/>
  <c r="AG179" i="10"/>
  <c r="W162" i="10"/>
  <c r="W191" i="10"/>
  <c r="W130" i="10"/>
  <c r="W200" i="10"/>
  <c r="W132" i="10"/>
  <c r="W193" i="10"/>
  <c r="CB22" i="10"/>
  <c r="BS22" i="10"/>
  <c r="BP22" i="10"/>
  <c r="EB21" i="10"/>
  <c r="W150" i="10"/>
  <c r="W231" i="10"/>
  <c r="AG197" i="10"/>
  <c r="W137" i="10"/>
  <c r="W222" i="10"/>
  <c r="W202" i="10"/>
  <c r="W175" i="10"/>
  <c r="W148" i="10"/>
  <c r="W141" i="10"/>
  <c r="W171" i="10"/>
  <c r="W139" i="10"/>
  <c r="W153" i="10"/>
  <c r="BX22" i="10"/>
  <c r="AT22" i="10"/>
  <c r="DA21" i="10"/>
  <c r="EK21" i="10"/>
  <c r="CD25" i="10"/>
  <c r="CD23" i="10"/>
  <c r="CD20" i="10"/>
  <c r="CD21" i="10"/>
  <c r="CG25" i="10"/>
  <c r="CP25" i="10"/>
  <c r="CP23" i="10"/>
  <c r="CP21" i="10"/>
  <c r="CV25" i="10"/>
  <c r="CV23" i="10"/>
  <c r="CV20" i="10"/>
  <c r="CV21" i="10"/>
  <c r="DB25" i="10"/>
  <c r="DB20" i="10"/>
  <c r="DB23" i="10"/>
  <c r="DB21" i="10"/>
  <c r="DH25" i="10"/>
  <c r="DH21" i="10"/>
  <c r="DK25" i="10"/>
  <c r="DK20" i="10"/>
  <c r="DK23" i="10"/>
  <c r="DQ24" i="10"/>
  <c r="DQ25" i="10"/>
  <c r="DQ20" i="10"/>
  <c r="DQ21" i="10"/>
  <c r="DW25" i="10"/>
  <c r="DW23" i="10"/>
  <c r="DW20" i="10"/>
  <c r="EC24" i="10"/>
  <c r="EC25" i="10"/>
  <c r="EC20" i="10"/>
  <c r="EC23" i="10"/>
  <c r="EC21" i="10"/>
  <c r="EF24" i="10"/>
  <c r="EF25" i="10"/>
  <c r="EF23" i="10"/>
  <c r="EF21" i="10"/>
  <c r="EL25" i="10"/>
  <c r="EL23" i="10"/>
  <c r="EL21" i="10"/>
  <c r="CA24" i="10"/>
  <c r="CA25" i="10"/>
  <c r="CA23" i="10"/>
  <c r="CA21" i="10"/>
  <c r="BU25" i="10"/>
  <c r="BU23" i="10"/>
  <c r="BU20" i="10"/>
  <c r="BU21" i="10"/>
  <c r="BO24" i="10"/>
  <c r="BO25" i="10"/>
  <c r="BO23" i="10"/>
  <c r="BO21" i="10"/>
  <c r="BI25" i="10"/>
  <c r="BI23" i="10"/>
  <c r="BI20" i="10"/>
  <c r="BI21" i="10"/>
  <c r="BC25" i="10"/>
  <c r="BC20" i="10"/>
  <c r="AW25" i="10"/>
  <c r="AW23" i="10"/>
  <c r="AW20" i="10"/>
  <c r="AQ24" i="10"/>
  <c r="AQ25" i="10"/>
  <c r="AQ23" i="10"/>
  <c r="BC22" i="10"/>
  <c r="DW22" i="10"/>
  <c r="EF22" i="10"/>
  <c r="BG23" i="10"/>
  <c r="BP23" i="10"/>
  <c r="BY23" i="10"/>
  <c r="CQ23" i="10"/>
  <c r="DH23" i="10"/>
  <c r="EI23" i="10"/>
  <c r="W96" i="10"/>
  <c r="AG53" i="10"/>
  <c r="W87" i="10"/>
  <c r="AG44" i="10"/>
  <c r="CJ25" i="10"/>
  <c r="CJ23" i="10"/>
  <c r="CJ21" i="10"/>
  <c r="CF22" i="10"/>
  <c r="CF23" i="10"/>
  <c r="W65" i="10"/>
  <c r="CK21" i="10"/>
  <c r="CK22" i="10"/>
  <c r="CN25" i="10"/>
  <c r="CN22" i="10"/>
  <c r="CQ25" i="10"/>
  <c r="CQ24" i="10"/>
  <c r="CQ22" i="10"/>
  <c r="CT25" i="10"/>
  <c r="CT21" i="10"/>
  <c r="CT22" i="10"/>
  <c r="CW25" i="10"/>
  <c r="CW23" i="10"/>
  <c r="CW21" i="10"/>
  <c r="CW24" i="10"/>
  <c r="CZ25" i="10"/>
  <c r="CZ23" i="10"/>
  <c r="CZ24" i="10"/>
  <c r="CZ21" i="10"/>
  <c r="DC25" i="10"/>
  <c r="DC23" i="10"/>
  <c r="DC22" i="10"/>
  <c r="DF25" i="10"/>
  <c r="DF23" i="10"/>
  <c r="DF21" i="10"/>
  <c r="DF24" i="10"/>
  <c r="DF22" i="10"/>
  <c r="DI25" i="10"/>
  <c r="DI23" i="10"/>
  <c r="DI21" i="10"/>
  <c r="DL25" i="10"/>
  <c r="DL23" i="10"/>
  <c r="DL22" i="10"/>
  <c r="DO25" i="10"/>
  <c r="DO23" i="10"/>
  <c r="DO21" i="10"/>
  <c r="DO22" i="10"/>
  <c r="DR25" i="10"/>
  <c r="DR23" i="10"/>
  <c r="DR24" i="10"/>
  <c r="DR21" i="10"/>
  <c r="DR22" i="10"/>
  <c r="DU25" i="10"/>
  <c r="DU23" i="10"/>
  <c r="DU21" i="10"/>
  <c r="DX25" i="10"/>
  <c r="DX23" i="10"/>
  <c r="DX21" i="10"/>
  <c r="DX22" i="10"/>
  <c r="EA25" i="10"/>
  <c r="EA23" i="10"/>
  <c r="EA24" i="10"/>
  <c r="EA21" i="10"/>
  <c r="EA22" i="10"/>
  <c r="ED25" i="10"/>
  <c r="ED23" i="10"/>
  <c r="ED21" i="10"/>
  <c r="EG25" i="10"/>
  <c r="EG23" i="10"/>
  <c r="EG21" i="10"/>
  <c r="EG24" i="10"/>
  <c r="EJ25" i="10"/>
  <c r="EJ23" i="10"/>
  <c r="EJ21" i="10"/>
  <c r="EJ22" i="10"/>
  <c r="EM25" i="10"/>
  <c r="EM23" i="10"/>
  <c r="EM22" i="10"/>
  <c r="CC25" i="10"/>
  <c r="CC23" i="10"/>
  <c r="CC20" i="10"/>
  <c r="BZ25" i="10"/>
  <c r="BZ23" i="10"/>
  <c r="BZ20" i="10"/>
  <c r="BW22" i="10"/>
  <c r="BW23" i="10"/>
  <c r="BW20" i="10"/>
  <c r="BT22" i="10"/>
  <c r="BT23" i="10"/>
  <c r="BQ24" i="10"/>
  <c r="BQ25" i="10"/>
  <c r="BQ23" i="10"/>
  <c r="BQ20" i="10"/>
  <c r="BN23" i="10"/>
  <c r="BN20" i="10"/>
  <c r="BK24" i="10"/>
  <c r="BK25" i="10"/>
  <c r="BK22" i="10"/>
  <c r="BK23" i="10"/>
  <c r="BK20" i="10"/>
  <c r="BH22" i="10"/>
  <c r="BH25" i="10"/>
  <c r="BH23" i="10"/>
  <c r="BE24" i="10"/>
  <c r="BE23" i="10"/>
  <c r="BE20" i="10"/>
  <c r="BB25" i="10"/>
  <c r="BB23" i="10"/>
  <c r="BB20" i="10"/>
  <c r="AY22" i="10"/>
  <c r="AY25" i="10"/>
  <c r="AY23" i="10"/>
  <c r="AY20" i="10"/>
  <c r="AV23" i="10"/>
  <c r="AV20" i="10"/>
  <c r="AS25" i="10"/>
  <c r="AS23" i="10"/>
  <c r="AP24" i="10"/>
  <c r="AP22" i="10"/>
  <c r="AP25" i="10"/>
  <c r="AP23" i="10"/>
  <c r="BP20" i="10"/>
  <c r="BY20" i="10"/>
  <c r="CQ20" i="10"/>
  <c r="CZ20" i="10"/>
  <c r="DI20" i="10"/>
  <c r="BB21" i="10"/>
  <c r="BT21" i="10"/>
  <c r="CC21" i="10"/>
  <c r="DD21" i="10"/>
  <c r="DM21" i="10"/>
  <c r="DV21" i="10"/>
  <c r="EE21" i="10"/>
  <c r="BO22" i="10"/>
  <c r="CP22" i="10"/>
  <c r="DH22" i="10"/>
  <c r="AR23" i="10"/>
  <c r="BA23" i="10"/>
  <c r="BJ23" i="10"/>
  <c r="BS23" i="10"/>
  <c r="CB23" i="10"/>
  <c r="CK23" i="10"/>
  <c r="CT23" i="10"/>
  <c r="DQ23" i="10"/>
  <c r="DU24" i="10"/>
  <c r="AV25" i="10"/>
  <c r="BW25" i="10"/>
  <c r="CH25" i="10"/>
  <c r="CM25" i="10"/>
  <c r="CM23" i="10"/>
  <c r="CM20" i="10"/>
  <c r="CS25" i="10"/>
  <c r="CS23" i="10"/>
  <c r="CS20" i="10"/>
  <c r="CS21" i="10"/>
  <c r="CY25" i="10"/>
  <c r="CY20" i="10"/>
  <c r="CY21" i="10"/>
  <c r="DE24" i="10"/>
  <c r="DE25" i="10"/>
  <c r="DE23" i="10"/>
  <c r="DE20" i="10"/>
  <c r="DE21" i="10"/>
  <c r="DN24" i="10"/>
  <c r="DN25" i="10"/>
  <c r="DN23" i="10"/>
  <c r="DN20" i="10"/>
  <c r="DN21" i="10"/>
  <c r="DT25" i="10"/>
  <c r="DT23" i="10"/>
  <c r="DT21" i="10"/>
  <c r="DZ24" i="10"/>
  <c r="DZ25" i="10"/>
  <c r="DZ20" i="10"/>
  <c r="DZ21" i="10"/>
  <c r="EI25" i="10"/>
  <c r="EI21" i="10"/>
  <c r="EO24" i="10"/>
  <c r="EO25" i="10"/>
  <c r="EO23" i="10"/>
  <c r="EO20" i="10"/>
  <c r="EO21" i="10"/>
  <c r="BX25" i="10"/>
  <c r="BX23" i="10"/>
  <c r="BX21" i="10"/>
  <c r="BR24" i="10"/>
  <c r="BR25" i="10"/>
  <c r="BR23" i="10"/>
  <c r="BR21" i="10"/>
  <c r="BL25" i="10"/>
  <c r="BL23" i="10"/>
  <c r="BL20" i="10"/>
  <c r="BF24" i="10"/>
  <c r="BF25" i="10"/>
  <c r="BF23" i="10"/>
  <c r="BF21" i="10"/>
  <c r="AZ25" i="10"/>
  <c r="AZ23" i="10"/>
  <c r="AZ20" i="10"/>
  <c r="AZ21" i="10"/>
  <c r="AT25" i="10"/>
  <c r="AT23" i="10"/>
  <c r="W56" i="10"/>
  <c r="W69" i="10"/>
  <c r="AG26" i="10"/>
  <c r="AG89" i="10"/>
  <c r="W74" i="10"/>
  <c r="W54" i="10"/>
  <c r="W49" i="10"/>
  <c r="CI22" i="10"/>
  <c r="CI25" i="10"/>
  <c r="CI23" i="10"/>
  <c r="CE25" i="10"/>
  <c r="CE21" i="10"/>
  <c r="CE24" i="10"/>
  <c r="CE22" i="10"/>
  <c r="W78" i="10"/>
  <c r="CL25" i="10"/>
  <c r="CL22" i="10"/>
  <c r="CL23" i="10"/>
  <c r="CO23" i="10"/>
  <c r="CO20" i="10"/>
  <c r="CR20" i="10"/>
  <c r="CU24" i="10"/>
  <c r="CU25" i="10"/>
  <c r="CU22" i="10"/>
  <c r="CU23" i="10"/>
  <c r="CU20" i="10"/>
  <c r="DD20" i="10"/>
  <c r="DG20" i="10"/>
  <c r="DM20" i="10"/>
  <c r="DP20" i="10"/>
  <c r="DV20" i="10"/>
  <c r="DY20" i="10"/>
  <c r="EH20" i="10"/>
  <c r="EN20" i="10"/>
  <c r="BD24" i="10"/>
  <c r="AU24" i="10"/>
  <c r="BA20" i="10"/>
  <c r="BS20" i="10"/>
  <c r="DC20" i="10"/>
  <c r="DL20" i="10"/>
  <c r="DU20" i="10"/>
  <c r="ED20" i="10"/>
  <c r="EM20" i="10"/>
  <c r="BE21" i="10"/>
  <c r="BN21" i="10"/>
  <c r="CF21" i="10"/>
  <c r="CO21" i="10"/>
  <c r="CX21" i="10"/>
  <c r="DP21" i="10"/>
  <c r="DY21" i="10"/>
  <c r="AQ22" i="10"/>
  <c r="BR22" i="10"/>
  <c r="CA22" i="10"/>
  <c r="CJ22" i="10"/>
  <c r="DK22" i="10"/>
  <c r="DT22" i="10"/>
  <c r="EL22" i="10"/>
  <c r="AU23" i="10"/>
  <c r="BD23" i="10"/>
  <c r="BM23" i="10"/>
  <c r="CE23" i="10"/>
  <c r="CN23" i="10"/>
  <c r="CY23" i="10"/>
  <c r="DZ23" i="10"/>
  <c r="ED24" i="10"/>
  <c r="BE25" i="10"/>
  <c r="CF25" i="10"/>
  <c r="DA20" i="10"/>
  <c r="DJ20" i="10"/>
  <c r="DS20" i="10"/>
  <c r="EK20" i="10"/>
  <c r="AU22" i="10"/>
  <c r="CX23" i="10"/>
  <c r="CX24" i="10"/>
  <c r="DA23" i="10"/>
  <c r="DA24" i="10"/>
  <c r="DD23" i="10"/>
  <c r="DG23" i="10"/>
  <c r="DJ23" i="10"/>
  <c r="DJ24" i="10"/>
  <c r="DM23" i="10"/>
  <c r="DM24" i="10"/>
  <c r="DP23" i="10"/>
  <c r="DS23" i="10"/>
  <c r="DV23" i="10"/>
  <c r="DV24" i="10"/>
  <c r="DY23" i="10"/>
  <c r="DY24" i="10"/>
  <c r="EB23" i="10"/>
  <c r="EE23" i="10"/>
  <c r="EH23" i="10"/>
  <c r="EH24" i="10"/>
  <c r="EK23" i="10"/>
  <c r="EK24" i="10"/>
  <c r="EN23" i="10"/>
  <c r="CB25" i="10"/>
  <c r="BY25" i="10"/>
  <c r="BV25" i="10"/>
  <c r="BS25" i="10"/>
  <c r="BP25" i="10"/>
  <c r="BM25" i="10"/>
  <c r="BJ25" i="10"/>
  <c r="BG25" i="10"/>
  <c r="BD25" i="10"/>
  <c r="BA25" i="10"/>
  <c r="AX25" i="10"/>
  <c r="AU25" i="10"/>
  <c r="AR25" i="10"/>
  <c r="BA21" i="10"/>
  <c r="BD21" i="10"/>
  <c r="BJ21" i="10"/>
  <c r="BM21" i="10"/>
  <c r="BV21" i="10"/>
  <c r="BY21" i="10"/>
  <c r="CB21" i="10"/>
  <c r="CX22" i="10"/>
  <c r="DG22" i="10"/>
  <c r="DS22" i="10"/>
  <c r="EB22" i="10"/>
  <c r="EE22" i="10"/>
  <c r="EH22" i="10"/>
  <c r="EN22" i="10"/>
  <c r="AX24" i="10"/>
  <c r="BP24" i="10"/>
  <c r="DD25" i="10"/>
  <c r="DM25" i="10"/>
  <c r="DV25" i="10"/>
  <c r="EE25" i="10"/>
  <c r="EN25" i="10"/>
  <c r="AZ276" i="10"/>
  <c r="W245" i="10"/>
  <c r="AG116" i="10"/>
  <c r="W108" i="10"/>
  <c r="W121" i="10"/>
  <c r="W117" i="10"/>
  <c r="W99" i="10"/>
  <c r="AG98" i="10"/>
  <c r="W114" i="10"/>
  <c r="W101" i="10"/>
  <c r="W249" i="10"/>
  <c r="AG107" i="10"/>
  <c r="W103" i="10"/>
  <c r="W119" i="10"/>
  <c r="W105" i="10"/>
  <c r="AW278" i="10"/>
  <c r="W58" i="10"/>
  <c r="AX278" i="10"/>
  <c r="BB278" i="10"/>
  <c r="AG242" i="10"/>
  <c r="W157" i="10"/>
  <c r="W173" i="10"/>
  <c r="W184" i="10"/>
  <c r="W36" i="10"/>
  <c r="W92" i="10"/>
  <c r="W180" i="10"/>
  <c r="W33" i="10"/>
  <c r="W45" i="10"/>
  <c r="W85" i="10"/>
  <c r="W159" i="10"/>
  <c r="AE277" i="10"/>
  <c r="AG80" i="10"/>
  <c r="W168" i="10"/>
  <c r="W227" i="10"/>
  <c r="Z18" i="10"/>
  <c r="K37" i="10"/>
  <c r="F51" i="6"/>
  <c r="W31" i="10"/>
  <c r="W60" i="10"/>
  <c r="W63" i="10"/>
  <c r="W126" i="10"/>
  <c r="AG125" i="10"/>
  <c r="W186" i="10"/>
  <c r="W189" i="10"/>
  <c r="E47" i="6"/>
  <c r="D66" i="6"/>
  <c r="E28" i="6"/>
  <c r="AW277" i="10"/>
  <c r="BB277" i="10"/>
  <c r="AY277" i="10"/>
  <c r="AX277" i="10"/>
  <c r="AZ277" i="10"/>
  <c r="J33" i="10"/>
  <c r="BA275" i="10"/>
  <c r="AY275" i="10"/>
  <c r="AW275" i="10"/>
  <c r="AZ275" i="10"/>
  <c r="BB275" i="10"/>
  <c r="AG35" i="10"/>
  <c r="W72" i="10"/>
  <c r="W112" i="10"/>
  <c r="W144" i="10"/>
  <c r="AG143" i="10"/>
  <c r="W146" i="10"/>
  <c r="W204" i="10"/>
  <c r="W207" i="10"/>
  <c r="W209" i="10"/>
  <c r="AY278" i="10"/>
  <c r="AZ279" i="10"/>
  <c r="AX279" i="10"/>
  <c r="AW279" i="10"/>
  <c r="BB279" i="10"/>
  <c r="BA279" i="10"/>
  <c r="AX276" i="10"/>
  <c r="BA276" i="10"/>
  <c r="AY276" i="10"/>
  <c r="AW276" i="10"/>
  <c r="Z280" i="10"/>
  <c r="Z284" i="10"/>
  <c r="W240" i="10"/>
  <c r="I10" i="12"/>
  <c r="R19" i="4"/>
  <c r="T17" i="4" s="1"/>
  <c r="T261" i="4"/>
  <c r="G135" i="12"/>
  <c r="R190" i="4"/>
  <c r="T188" i="4"/>
  <c r="V263" i="4"/>
  <c r="L66" i="1"/>
  <c r="R294" i="4"/>
  <c r="S294" i="4"/>
  <c r="E69" i="1" s="1"/>
  <c r="L69" i="1"/>
  <c r="M88" i="6"/>
  <c r="O146" i="12"/>
  <c r="I159" i="12"/>
  <c r="O159" i="12"/>
  <c r="M136" i="12"/>
  <c r="Q293" i="4"/>
  <c r="S293" i="4" s="1"/>
  <c r="E68" i="1"/>
  <c r="G87" i="6" s="1"/>
  <c r="L68" i="1"/>
  <c r="M87" i="6"/>
  <c r="ED17" i="4"/>
  <c r="EC19" i="4"/>
  <c r="EC17" i="4"/>
  <c r="AA252" i="10"/>
  <c r="AA258" i="10"/>
  <c r="R187" i="4"/>
  <c r="T186" i="4"/>
  <c r="AJ12" i="4"/>
  <c r="W251" i="10"/>
  <c r="R185" i="4"/>
  <c r="T184" i="4"/>
  <c r="K269" i="4"/>
  <c r="U146" i="12"/>
  <c r="AU278" i="10"/>
  <c r="AU279" i="10"/>
  <c r="N45" i="10" s="1"/>
  <c r="M14" i="4"/>
  <c r="G47" i="4"/>
  <c r="H38" i="4"/>
  <c r="AC25" i="4"/>
  <c r="AC26" i="4"/>
  <c r="K268" i="4"/>
  <c r="G100" i="6"/>
  <c r="K267" i="4"/>
  <c r="L266" i="4"/>
  <c r="P296" i="4"/>
  <c r="E71" i="1"/>
  <c r="P295" i="4"/>
  <c r="S295" i="4" s="1"/>
  <c r="E70" i="1" s="1"/>
  <c r="G89" i="6" s="1"/>
  <c r="L70" i="1"/>
  <c r="M89" i="6"/>
  <c r="K270" i="4"/>
  <c r="T163" i="12"/>
  <c r="H176" i="12" s="1"/>
  <c r="H189" i="12"/>
  <c r="N189" i="12" s="1"/>
  <c r="T189" i="12"/>
  <c r="H202" i="12" s="1"/>
  <c r="S128" i="4"/>
  <c r="CB14" i="4"/>
  <c r="J272" i="4"/>
  <c r="AG277" i="10"/>
  <c r="R32" i="4"/>
  <c r="R201" i="4"/>
  <c r="T200" i="4" s="1"/>
  <c r="W266" i="4"/>
  <c r="M150" i="6"/>
  <c r="O151" i="6"/>
  <c r="M151" i="6" s="1"/>
  <c r="AU275" i="10"/>
  <c r="Z20" i="10"/>
  <c r="AA35" i="10"/>
  <c r="AA50" i="10"/>
  <c r="AA129" i="10"/>
  <c r="AA30" i="10"/>
  <c r="AA102" i="10"/>
  <c r="S206" i="4"/>
  <c r="DK16" i="4"/>
  <c r="S134" i="4"/>
  <c r="CE16" i="4"/>
  <c r="AA140" i="10"/>
  <c r="AA176" i="10"/>
  <c r="S170" i="4"/>
  <c r="CU16" i="4" s="1"/>
  <c r="AA86" i="10"/>
  <c r="AA165" i="10"/>
  <c r="S159" i="4"/>
  <c r="CP16" i="4" s="1"/>
  <c r="AA239" i="10"/>
  <c r="AA66" i="10"/>
  <c r="S130" i="4"/>
  <c r="CC15" i="4"/>
  <c r="S166" i="4"/>
  <c r="CS15" i="4" s="1"/>
  <c r="S202" i="4"/>
  <c r="DI15" i="4"/>
  <c r="AA26" i="10"/>
  <c r="AA98" i="10"/>
  <c r="AA131" i="10"/>
  <c r="S161" i="4"/>
  <c r="CQ16" i="4"/>
  <c r="AA167" i="10"/>
  <c r="AA203" i="10"/>
  <c r="S197" i="4"/>
  <c r="DG16" i="4" s="1"/>
  <c r="T213" i="4"/>
  <c r="AA41" i="10"/>
  <c r="AA77" i="10"/>
  <c r="AA156" i="10"/>
  <c r="S150" i="4"/>
  <c r="CL16" i="4" s="1"/>
  <c r="AA192" i="10"/>
  <c r="S186" i="4"/>
  <c r="DB16" i="4" s="1"/>
  <c r="AA228" i="10"/>
  <c r="S222" i="4"/>
  <c r="DR14" i="4"/>
  <c r="R11" i="4"/>
  <c r="T11" i="4"/>
  <c r="AA57" i="10"/>
  <c r="AF57" i="10" s="1"/>
  <c r="AA93" i="10"/>
  <c r="AA127" i="10"/>
  <c r="AA163" i="10"/>
  <c r="S157" i="4"/>
  <c r="CO15" i="4"/>
  <c r="AA199" i="10"/>
  <c r="S193" i="4"/>
  <c r="DE15" i="4"/>
  <c r="AA237" i="10"/>
  <c r="S231" i="4"/>
  <c r="DV14" i="4" s="1"/>
  <c r="S195" i="4"/>
  <c r="DF14" i="4"/>
  <c r="F17" i="12"/>
  <c r="R17" i="12" s="1"/>
  <c r="Q74" i="4"/>
  <c r="R75" i="4" s="1"/>
  <c r="I38" i="12"/>
  <c r="Q83" i="4"/>
  <c r="M10" i="12"/>
  <c r="S215" i="4"/>
  <c r="DO16" i="4"/>
  <c r="AA21" i="10"/>
  <c r="AA39" i="10"/>
  <c r="AA75" i="10"/>
  <c r="AA145" i="10"/>
  <c r="S139" i="4"/>
  <c r="CG15" i="4"/>
  <c r="AA181" i="10"/>
  <c r="S175" i="4"/>
  <c r="CW15" i="4" s="1"/>
  <c r="S168" i="4"/>
  <c r="CT14" i="4"/>
  <c r="S143" i="4"/>
  <c r="CI16" i="4" s="1"/>
  <c r="Q92" i="4"/>
  <c r="R93" i="4" s="1"/>
  <c r="R39" i="4"/>
  <c r="T38" i="4" s="1"/>
  <c r="I24" i="12"/>
  <c r="Q40" i="4"/>
  <c r="S10" i="12"/>
  <c r="O10" i="12"/>
  <c r="G164" i="12"/>
  <c r="S164" i="12"/>
  <c r="G177" i="12" s="1"/>
  <c r="S177" i="12" s="1"/>
  <c r="S151" i="12"/>
  <c r="M164" i="12"/>
  <c r="S188" i="4"/>
  <c r="DC16" i="4"/>
  <c r="AA194" i="10"/>
  <c r="AA104" i="10"/>
  <c r="AA183" i="10"/>
  <c r="S177" i="4"/>
  <c r="CX15" i="4"/>
  <c r="S213" i="4"/>
  <c r="DN14" i="4" s="1"/>
  <c r="AA48" i="10"/>
  <c r="AA120" i="10"/>
  <c r="AA154" i="10"/>
  <c r="S148" i="4"/>
  <c r="CK16" i="4"/>
  <c r="AA226" i="10"/>
  <c r="S220" i="4"/>
  <c r="DQ14" i="4" s="1"/>
  <c r="S152" i="4"/>
  <c r="CM16" i="4" s="1"/>
  <c r="G189" i="3"/>
  <c r="S204" i="4"/>
  <c r="DJ14" i="4" s="1"/>
  <c r="P40" i="4"/>
  <c r="G24" i="12"/>
  <c r="G52" i="12"/>
  <c r="P94" i="4"/>
  <c r="P96" i="4" s="1"/>
  <c r="P98" i="4" s="1"/>
  <c r="R66" i="4"/>
  <c r="BW19" i="4"/>
  <c r="BF19" i="4"/>
  <c r="AU276" i="10"/>
  <c r="N42" i="10" s="1"/>
  <c r="AE279" i="10"/>
  <c r="AF278" i="10"/>
  <c r="AF277" i="10" s="1"/>
  <c r="AU277" i="10"/>
  <c r="AV277" i="10" s="1"/>
  <c r="V261" i="4"/>
  <c r="V262" i="4"/>
  <c r="P292" i="4"/>
  <c r="S292" i="4" s="1"/>
  <c r="E67" i="1" s="1"/>
  <c r="G86" i="6" s="1"/>
  <c r="L67" i="1"/>
  <c r="M86" i="6"/>
  <c r="V270" i="4"/>
  <c r="V268" i="4"/>
  <c r="V269" i="4"/>
  <c r="G162" i="12"/>
  <c r="EB19" i="4"/>
  <c r="EB18" i="4"/>
  <c r="EB17" i="4"/>
  <c r="EB16" i="4"/>
  <c r="S149" i="12"/>
  <c r="S188" i="12"/>
  <c r="AV279" i="10"/>
  <c r="O44" i="10"/>
  <c r="J58" i="6" s="1"/>
  <c r="M16" i="4"/>
  <c r="M19" i="4" s="1"/>
  <c r="R17" i="4" s="1"/>
  <c r="M21" i="4"/>
  <c r="M23" i="4" s="1"/>
  <c r="M25" i="4" s="1"/>
  <c r="G56" i="4"/>
  <c r="H56" i="4"/>
  <c r="H47" i="4"/>
  <c r="T44" i="10"/>
  <c r="BB18" i="10" s="1"/>
  <c r="AN12" i="4"/>
  <c r="N176" i="12"/>
  <c r="T176" i="12"/>
  <c r="V277" i="4"/>
  <c r="T276" i="4"/>
  <c r="AE16" i="4"/>
  <c r="AE18" i="4"/>
  <c r="G151" i="6"/>
  <c r="O152" i="6"/>
  <c r="N41" i="10"/>
  <c r="O41" i="10"/>
  <c r="J55" i="6"/>
  <c r="AV275" i="10"/>
  <c r="G36" i="1"/>
  <c r="M38" i="12"/>
  <c r="U38" i="12"/>
  <c r="Q85" i="4"/>
  <c r="Q87" i="4"/>
  <c r="L58" i="1"/>
  <c r="L60" i="1"/>
  <c r="T65" i="4"/>
  <c r="L71" i="1"/>
  <c r="M90" i="6"/>
  <c r="O24" i="12"/>
  <c r="Q49" i="4"/>
  <c r="Q51" i="4" s="1"/>
  <c r="R52" i="4" s="1"/>
  <c r="T51" i="4" s="1"/>
  <c r="Q94" i="4"/>
  <c r="I52" i="12"/>
  <c r="Q42" i="4"/>
  <c r="R41" i="4"/>
  <c r="T40" i="4" s="1"/>
  <c r="L17" i="12"/>
  <c r="F31" i="12"/>
  <c r="P42" i="4"/>
  <c r="P44" i="4" s="1"/>
  <c r="G190" i="12"/>
  <c r="S190" i="12" s="1"/>
  <c r="R57" i="4"/>
  <c r="T56" i="4"/>
  <c r="Q58" i="4"/>
  <c r="R59" i="4" s="1"/>
  <c r="U24" i="12"/>
  <c r="S24" i="12"/>
  <c r="O38" i="12"/>
  <c r="AV276" i="10"/>
  <c r="N43" i="10"/>
  <c r="K43" i="10" s="1"/>
  <c r="F57" i="6" s="1"/>
  <c r="O43" i="10"/>
  <c r="J57" i="6" s="1"/>
  <c r="AC15" i="4"/>
  <c r="EB20" i="4"/>
  <c r="ED19" i="4"/>
  <c r="EC20" i="4"/>
  <c r="AW280" i="10"/>
  <c r="AU280" i="10"/>
  <c r="M11" i="12"/>
  <c r="S11" i="12"/>
  <c r="S25" i="12"/>
  <c r="G25" i="12"/>
  <c r="M25" i="12"/>
  <c r="G175" i="12"/>
  <c r="G188" i="12"/>
  <c r="G201" i="12"/>
  <c r="S175" i="12"/>
  <c r="M149" i="12"/>
  <c r="L45" i="10"/>
  <c r="G59" i="6" s="1"/>
  <c r="S17" i="4"/>
  <c r="AE20" i="4"/>
  <c r="AR12" i="4"/>
  <c r="T53" i="10"/>
  <c r="BF18" i="10" s="1"/>
  <c r="V273" i="4"/>
  <c r="ED16" i="4" s="1"/>
  <c r="EI16" i="4" s="1"/>
  <c r="AJ14" i="4"/>
  <c r="AW274" i="10"/>
  <c r="AU274" i="10"/>
  <c r="AS22" i="10"/>
  <c r="O89" i="6"/>
  <c r="J41" i="10"/>
  <c r="E55" i="6" s="1"/>
  <c r="I55" i="6"/>
  <c r="K41" i="10"/>
  <c r="F55" i="6"/>
  <c r="L41" i="10"/>
  <c r="G55" i="6"/>
  <c r="M41" i="10"/>
  <c r="H55" i="6"/>
  <c r="L31" i="12"/>
  <c r="Q60" i="4"/>
  <c r="Q62" i="4" s="1"/>
  <c r="T69" i="4"/>
  <c r="T47" i="4"/>
  <c r="T74" i="4"/>
  <c r="AE49" i="4"/>
  <c r="T92" i="4"/>
  <c r="R50" i="4"/>
  <c r="T49" i="4" s="1"/>
  <c r="R86" i="4"/>
  <c r="T85" i="4" s="1"/>
  <c r="I57" i="6"/>
  <c r="L43" i="10"/>
  <c r="G57" i="6" s="1"/>
  <c r="M43" i="10"/>
  <c r="H57" i="6" s="1"/>
  <c r="AQ21" i="10"/>
  <c r="AD16" i="4"/>
  <c r="ET23" i="10"/>
  <c r="EF17" i="4"/>
  <c r="EF18" i="4"/>
  <c r="EG19" i="4"/>
  <c r="K40" i="1"/>
  <c r="AD23" i="4"/>
  <c r="AF23" i="4" s="1"/>
  <c r="V281" i="4"/>
  <c r="V282" i="4"/>
  <c r="T283" i="4" s="1"/>
  <c r="AB261" i="10" s="1"/>
  <c r="V283" i="4"/>
  <c r="AV280" i="10"/>
  <c r="AB258" i="10"/>
  <c r="ED15" i="4"/>
  <c r="U275" i="4"/>
  <c r="AC22" i="4"/>
  <c r="AF22" i="4" s="1"/>
  <c r="AE14" i="4"/>
  <c r="ED14" i="4"/>
  <c r="ED20" i="4"/>
  <c r="AB23" i="10"/>
  <c r="AE23" i="10"/>
  <c r="AF23" i="10"/>
  <c r="AS26" i="10"/>
  <c r="S137" i="4"/>
  <c r="CF14" i="4"/>
  <c r="V280" i="4"/>
  <c r="EE14" i="4" s="1"/>
  <c r="R64" i="4"/>
  <c r="T62" i="4" s="1"/>
  <c r="AR22" i="10"/>
  <c r="EE20" i="4"/>
  <c r="U282" i="4"/>
  <c r="AE24" i="4"/>
  <c r="AF24" i="4"/>
  <c r="AS20" i="10"/>
  <c r="S20" i="4"/>
  <c r="AF14" i="4" s="1"/>
  <c r="AB26" i="10"/>
  <c r="AE26" i="10"/>
  <c r="AF26" i="10" s="1"/>
  <c r="AT20" i="10"/>
  <c r="AF20" i="4"/>
  <c r="EG20" i="4"/>
  <c r="K41" i="1"/>
  <c r="AT26" i="10"/>
  <c r="S22" i="4"/>
  <c r="AG15" i="4"/>
  <c r="AB28" i="10"/>
  <c r="AE28" i="10"/>
  <c r="AF28" i="10"/>
  <c r="AU21" i="10" s="1"/>
  <c r="S26" i="4"/>
  <c r="AI16" i="4" s="1"/>
  <c r="AB32" i="10"/>
  <c r="AE32" i="10"/>
  <c r="AF32" i="10" s="1"/>
  <c r="AW22" i="10"/>
  <c r="S24" i="4"/>
  <c r="AH16" i="4" s="1"/>
  <c r="AB30" i="10"/>
  <c r="AE30" i="10"/>
  <c r="AF30" i="10"/>
  <c r="AV22" i="10" s="1"/>
  <c r="AX20" i="10"/>
  <c r="S29" i="4"/>
  <c r="AB35" i="10"/>
  <c r="AE35" i="10"/>
  <c r="AF35" i="10"/>
  <c r="AB39" i="10"/>
  <c r="AE39" i="10"/>
  <c r="AF39" i="10"/>
  <c r="AZ22" i="10"/>
  <c r="AB41" i="10"/>
  <c r="AX22" i="10"/>
  <c r="AX23" i="10"/>
  <c r="AJ16" i="4"/>
  <c r="AJ17" i="4"/>
  <c r="S31" i="4"/>
  <c r="AB37" i="10"/>
  <c r="AE37" i="10"/>
  <c r="S35" i="4"/>
  <c r="AM16" i="4"/>
  <c r="S33" i="4"/>
  <c r="AL16" i="4"/>
  <c r="AC149" i="10"/>
  <c r="AC152" i="10" s="1"/>
  <c r="AC154" i="10" s="1"/>
  <c r="AC156" i="10" s="1"/>
  <c r="AC158" i="10" s="1"/>
  <c r="AC161" i="10" s="1"/>
  <c r="AC163" i="10" s="1"/>
  <c r="AC165" i="10" s="1"/>
  <c r="AC167" i="10" s="1"/>
  <c r="AC170" i="10"/>
  <c r="AC172" i="10" s="1"/>
  <c r="AC174" i="10"/>
  <c r="AC176" i="10" s="1"/>
  <c r="AC179" i="10" s="1"/>
  <c r="AC181" i="10" s="1"/>
  <c r="AC183" i="10" s="1"/>
  <c r="AC185" i="10" s="1"/>
  <c r="AC188" i="10" s="1"/>
  <c r="AC190" i="10" s="1"/>
  <c r="AC192" i="10" s="1"/>
  <c r="AC194" i="10" s="1"/>
  <c r="AC197" i="10" s="1"/>
  <c r="AC199" i="10" s="1"/>
  <c r="AC201" i="10" s="1"/>
  <c r="AC203" i="10" s="1"/>
  <c r="AC206" i="10" s="1"/>
  <c r="AC208" i="10" s="1"/>
  <c r="AC210" i="10" s="1"/>
  <c r="AC212" i="10" s="1"/>
  <c r="AC215" i="10" s="1"/>
  <c r="AC217" i="10" s="1"/>
  <c r="AC219" i="10" s="1"/>
  <c r="AC221" i="10" s="1"/>
  <c r="AC224" i="10" s="1"/>
  <c r="AC226" i="10" s="1"/>
  <c r="AC228" i="10" s="1"/>
  <c r="AC230" i="10" s="1"/>
  <c r="AC233" i="10" s="1"/>
  <c r="AC235" i="10" s="1"/>
  <c r="AC237" i="10" s="1"/>
  <c r="AC239" i="10" s="1"/>
  <c r="AC242" i="10" s="1"/>
  <c r="AC244" i="10" s="1"/>
  <c r="AC246" i="10" s="1"/>
  <c r="AC248" i="10" s="1"/>
  <c r="AC251" i="10" s="1"/>
  <c r="AC252" i="10" s="1"/>
  <c r="AC254" i="10" s="1"/>
  <c r="AC255" i="10" s="1"/>
  <c r="AC257" i="10" s="1"/>
  <c r="AC258" i="10" s="1"/>
  <c r="AC260" i="10" s="1"/>
  <c r="AC261" i="10" s="1"/>
  <c r="AE41" i="10"/>
  <c r="AF41" i="10"/>
  <c r="BA22" i="10" s="1"/>
  <c r="AY21" i="10"/>
  <c r="AY24" i="10"/>
  <c r="AO24" i="10"/>
  <c r="O25" i="10" s="1"/>
  <c r="J39" i="6" s="1"/>
  <c r="AN24" i="10"/>
  <c r="N25" i="10" s="1"/>
  <c r="AK15" i="4"/>
  <c r="AK18" i="4"/>
  <c r="EG18" i="4"/>
  <c r="K39" i="1"/>
  <c r="S155" i="4"/>
  <c r="CN16" i="4"/>
  <c r="AS15" i="4"/>
  <c r="EU24" i="10"/>
  <c r="S38" i="4"/>
  <c r="AN16" i="4"/>
  <c r="AB44" i="10"/>
  <c r="AE44" i="10"/>
  <c r="AF44" i="10" s="1"/>
  <c r="BB22" i="10" s="1"/>
  <c r="AB48" i="10"/>
  <c r="AE48" i="10"/>
  <c r="AB50" i="10"/>
  <c r="S40" i="4"/>
  <c r="AB46" i="10"/>
  <c r="AE46" i="10"/>
  <c r="AF46" i="10"/>
  <c r="S44" i="4"/>
  <c r="AQ16" i="4" s="1"/>
  <c r="S42" i="4"/>
  <c r="AP16" i="4"/>
  <c r="AE50" i="10"/>
  <c r="AF50" i="10"/>
  <c r="BE22" i="10" s="1"/>
  <c r="BC21" i="10"/>
  <c r="BC23" i="10"/>
  <c r="AO15" i="4"/>
  <c r="AO17" i="4"/>
  <c r="EG17" i="4"/>
  <c r="K38" i="1"/>
  <c r="AO23" i="10"/>
  <c r="O24" i="10" s="1"/>
  <c r="J38" i="6" s="1"/>
  <c r="EU23" i="10"/>
  <c r="S47" i="4"/>
  <c r="AR16" i="4"/>
  <c r="AB53" i="10"/>
  <c r="AE53" i="10"/>
  <c r="AF53" i="10"/>
  <c r="BF22" i="10" s="1"/>
  <c r="AX15" i="4"/>
  <c r="BG21" i="10"/>
  <c r="BG20" i="10"/>
  <c r="AB57" i="10"/>
  <c r="AE57" i="10"/>
  <c r="BH20" i="10"/>
  <c r="AB59" i="10"/>
  <c r="AN23" i="10"/>
  <c r="N24" i="10"/>
  <c r="L24" i="10" s="1"/>
  <c r="BF20" i="10"/>
  <c r="AR14" i="4"/>
  <c r="S49" i="4"/>
  <c r="AS16" i="4"/>
  <c r="AB55" i="10"/>
  <c r="AE55" i="10"/>
  <c r="AF55" i="10" s="1"/>
  <c r="BG22" i="10" s="1"/>
  <c r="S51" i="4"/>
  <c r="AT14" i="4"/>
  <c r="S53" i="4"/>
  <c r="AU16" i="4"/>
  <c r="AE59" i="10"/>
  <c r="AF59" i="10"/>
  <c r="BI22" i="10" s="1"/>
  <c r="S56" i="4"/>
  <c r="AV16" i="4" s="1"/>
  <c r="AB62" i="10"/>
  <c r="AE62" i="10"/>
  <c r="AF62" i="10"/>
  <c r="BJ22" i="10"/>
  <c r="BJ20" i="10"/>
  <c r="AV14" i="4"/>
  <c r="S62" i="4"/>
  <c r="AY16" i="4" s="1"/>
  <c r="S58" i="4"/>
  <c r="AW15" i="4"/>
  <c r="AB64" i="10"/>
  <c r="AE64" i="10"/>
  <c r="BL21" i="10"/>
  <c r="AB68" i="10"/>
  <c r="AE68" i="10"/>
  <c r="AF68" i="10" s="1"/>
  <c r="BM22" i="10" s="1"/>
  <c r="AB71" i="10"/>
  <c r="AE71" i="10"/>
  <c r="AF71" i="10" s="1"/>
  <c r="BN22" i="10" s="1"/>
  <c r="S65" i="4"/>
  <c r="AZ16" i="4" s="1"/>
  <c r="S60" i="4"/>
  <c r="AX16" i="4"/>
  <c r="AB73" i="10"/>
  <c r="AE73" i="10"/>
  <c r="AF73" i="10" s="1"/>
  <c r="BO20" i="10"/>
  <c r="S67" i="4"/>
  <c r="BA14" i="4"/>
  <c r="AB75" i="10"/>
  <c r="AE75" i="10"/>
  <c r="AF75" i="10"/>
  <c r="BP21" i="10"/>
  <c r="AB77" i="10"/>
  <c r="S71" i="4"/>
  <c r="BC16" i="4" s="1"/>
  <c r="S69" i="4"/>
  <c r="BB15" i="4"/>
  <c r="AB80" i="10"/>
  <c r="AE80" i="10"/>
  <c r="AF80" i="10"/>
  <c r="BR20" i="10" s="1"/>
  <c r="AE77" i="10"/>
  <c r="AF77" i="10"/>
  <c r="BQ22" i="10" s="1"/>
  <c r="S74" i="4"/>
  <c r="BD14" i="4"/>
  <c r="AB82" i="10"/>
  <c r="AE82" i="10"/>
  <c r="AF82" i="10" s="1"/>
  <c r="BS21" i="10"/>
  <c r="S76" i="4"/>
  <c r="BE15" i="4"/>
  <c r="AB84" i="10"/>
  <c r="AE84" i="10"/>
  <c r="AF84" i="10"/>
  <c r="BT20" i="10" s="1"/>
  <c r="S80" i="4"/>
  <c r="BG16" i="4"/>
  <c r="S78" i="4"/>
  <c r="BF14" i="4" s="1"/>
  <c r="AB86" i="10"/>
  <c r="AE86" i="10"/>
  <c r="AF86" i="10"/>
  <c r="BU22" i="10" s="1"/>
  <c r="AB89" i="10"/>
  <c r="AE89" i="10"/>
  <c r="AF89" i="10" s="1"/>
  <c r="BV22" i="10" s="1"/>
  <c r="BT25" i="10"/>
  <c r="S83" i="4"/>
  <c r="BH16" i="4"/>
  <c r="S200" i="4"/>
  <c r="DH16" i="4" s="1"/>
  <c r="AB91" i="10"/>
  <c r="AE91" i="10"/>
  <c r="AF91" i="10" s="1"/>
  <c r="BW21" i="10" s="1"/>
  <c r="S85" i="4"/>
  <c r="BI15" i="4"/>
  <c r="AB93" i="10"/>
  <c r="AE93" i="10"/>
  <c r="AF93" i="10"/>
  <c r="BX20" i="10"/>
  <c r="S87" i="4"/>
  <c r="BJ14" i="4"/>
  <c r="S89" i="4"/>
  <c r="BK16" i="4"/>
  <c r="AB95" i="10"/>
  <c r="AE95" i="10"/>
  <c r="AF95" i="10"/>
  <c r="BY22" i="10"/>
  <c r="AB98" i="10"/>
  <c r="S92" i="4"/>
  <c r="BL16" i="4" s="1"/>
  <c r="S209" i="4"/>
  <c r="DL16" i="4"/>
  <c r="AE98" i="10"/>
  <c r="AF98" i="10"/>
  <c r="BZ22" i="10"/>
  <c r="AB100" i="10"/>
  <c r="AE100" i="10"/>
  <c r="AF100" i="10" s="1"/>
  <c r="CA20" i="10" s="1"/>
  <c r="S94" i="4"/>
  <c r="BM14" i="4" s="1"/>
  <c r="AB102" i="10"/>
  <c r="S98" i="4"/>
  <c r="BO16" i="4"/>
  <c r="S96" i="4"/>
  <c r="BN14" i="4" s="1"/>
  <c r="AB104" i="10"/>
  <c r="AE104" i="10"/>
  <c r="AF104" i="10" s="1"/>
  <c r="CC22" i="10"/>
  <c r="AE102" i="10"/>
  <c r="AF102" i="10"/>
  <c r="CB20" i="10"/>
  <c r="AB107" i="10"/>
  <c r="S101" i="4"/>
  <c r="BP16" i="4" s="1"/>
  <c r="AE107" i="10"/>
  <c r="AF107" i="10"/>
  <c r="CD22" i="10" s="1"/>
  <c r="AB109" i="10"/>
  <c r="S103" i="4"/>
  <c r="BQ14" i="4"/>
  <c r="AE109" i="10"/>
  <c r="AF109" i="10" s="1"/>
  <c r="CE20" i="10" s="1"/>
  <c r="AB111" i="10"/>
  <c r="AE111" i="10"/>
  <c r="S107" i="4"/>
  <c r="BS14" i="4"/>
  <c r="S105" i="4"/>
  <c r="BR14" i="4" s="1"/>
  <c r="AB113" i="10"/>
  <c r="AE113" i="10"/>
  <c r="AB116" i="10"/>
  <c r="S110" i="4"/>
  <c r="BT15" i="4" s="1"/>
  <c r="AE116" i="10"/>
  <c r="AF116" i="10"/>
  <c r="CH21" i="10"/>
  <c r="AB118" i="10"/>
  <c r="AE118" i="10"/>
  <c r="AF118" i="10"/>
  <c r="CI20" i="10"/>
  <c r="S112" i="4"/>
  <c r="BU14" i="4"/>
  <c r="AB120" i="10"/>
  <c r="AB224" i="10"/>
  <c r="S233" i="4"/>
  <c r="DW16" i="4" s="1"/>
  <c r="S116" i="4"/>
  <c r="BW14" i="4"/>
  <c r="S114" i="4"/>
  <c r="BV14" i="4" s="1"/>
  <c r="AB125" i="10"/>
  <c r="AE125" i="10"/>
  <c r="AF125" i="10" s="1"/>
  <c r="CL20" i="10" s="1"/>
  <c r="AB122" i="10"/>
  <c r="AE122" i="10"/>
  <c r="AF122" i="10"/>
  <c r="CK20" i="10"/>
  <c r="AE120" i="10"/>
  <c r="AF120" i="10"/>
  <c r="CJ20" i="10"/>
  <c r="AB226" i="10"/>
  <c r="CK25" i="10"/>
  <c r="S119" i="4"/>
  <c r="BX14" i="4"/>
  <c r="S236" i="4"/>
  <c r="DX14" i="4" s="1"/>
  <c r="AB127" i="10"/>
  <c r="AE127" i="10"/>
  <c r="AF127" i="10" s="1"/>
  <c r="CM21" i="10" s="1"/>
  <c r="AB228" i="10"/>
  <c r="S121" i="4"/>
  <c r="BY15" i="4"/>
  <c r="S238" i="4"/>
  <c r="DY15" i="4" s="1"/>
  <c r="AB129" i="10"/>
  <c r="AE129" i="10"/>
  <c r="AF129" i="10"/>
  <c r="CN21" i="10" s="1"/>
  <c r="AB233" i="10"/>
  <c r="AB230" i="10"/>
  <c r="S125" i="4"/>
  <c r="CA16" i="4" s="1"/>
  <c r="S123" i="4"/>
  <c r="BZ15" i="4" s="1"/>
  <c r="S242" i="4"/>
  <c r="EA16" i="4"/>
  <c r="S240" i="4"/>
  <c r="DZ15" i="4" s="1"/>
  <c r="AB131" i="10"/>
  <c r="AE131" i="10"/>
  <c r="AF131" i="10" s="1"/>
  <c r="CO22" i="10" s="1"/>
  <c r="AB134" i="10"/>
  <c r="AE134" i="10"/>
  <c r="AB235" i="10"/>
  <c r="EG16" i="4"/>
  <c r="K37" i="1"/>
  <c r="EG15" i="4"/>
  <c r="K36" i="1" s="1"/>
  <c r="AB136" i="10"/>
  <c r="AE136" i="10"/>
  <c r="AF136" i="10"/>
  <c r="CQ21" i="10" s="1"/>
  <c r="AB237" i="10"/>
  <c r="AB138" i="10"/>
  <c r="AE138" i="10"/>
  <c r="AF138" i="10" s="1"/>
  <c r="CR22" i="10" s="1"/>
  <c r="AB239" i="10"/>
  <c r="AB242" i="10"/>
  <c r="AB143" i="10"/>
  <c r="AE143" i="10"/>
  <c r="AB140" i="10"/>
  <c r="AE140" i="10"/>
  <c r="AF140" i="10"/>
  <c r="CS22" i="10"/>
  <c r="AB244" i="10"/>
  <c r="AB145" i="10"/>
  <c r="AE145" i="10"/>
  <c r="AF145" i="10"/>
  <c r="CU21" i="10" s="1"/>
  <c r="AB246" i="10"/>
  <c r="AB147" i="10"/>
  <c r="AE147" i="10"/>
  <c r="AF147" i="10"/>
  <c r="CV22" i="10" s="1"/>
  <c r="AB248" i="10"/>
  <c r="AB152" i="10"/>
  <c r="AE152" i="10"/>
  <c r="AB149" i="10"/>
  <c r="AE149" i="10"/>
  <c r="AF149" i="10"/>
  <c r="CW22" i="10"/>
  <c r="AB154" i="10"/>
  <c r="AE154" i="10"/>
  <c r="AF154" i="10"/>
  <c r="CY22" i="10"/>
  <c r="AB156" i="10"/>
  <c r="AE156" i="10"/>
  <c r="AF156" i="10" s="1"/>
  <c r="CZ22" i="10" s="1"/>
  <c r="AB161" i="10"/>
  <c r="AE161" i="10"/>
  <c r="AF161" i="10"/>
  <c r="DB22" i="10" s="1"/>
  <c r="AB158" i="10"/>
  <c r="AE158" i="10"/>
  <c r="AF158" i="10" s="1"/>
  <c r="DA22" i="10" s="1"/>
  <c r="AB163" i="10"/>
  <c r="AE163" i="10"/>
  <c r="AF163" i="10" s="1"/>
  <c r="DC21" i="10" s="1"/>
  <c r="AB165" i="10"/>
  <c r="AE165" i="10"/>
  <c r="AF165" i="10" s="1"/>
  <c r="DD22" i="10" s="1"/>
  <c r="AB167" i="10"/>
  <c r="AE167" i="10"/>
  <c r="AF167" i="10" s="1"/>
  <c r="DE22" i="10" s="1"/>
  <c r="AB170" i="10"/>
  <c r="AE170" i="10"/>
  <c r="AF170" i="10" s="1"/>
  <c r="DF20" i="10" s="1"/>
  <c r="AB172" i="10"/>
  <c r="AE172" i="10"/>
  <c r="AB174" i="10"/>
  <c r="AE174" i="10"/>
  <c r="AF174" i="10"/>
  <c r="DH20" i="10"/>
  <c r="AE224" i="10"/>
  <c r="AF224" i="10"/>
  <c r="ED22" i="10"/>
  <c r="AB176" i="10"/>
  <c r="AE176" i="10"/>
  <c r="AF176" i="10" s="1"/>
  <c r="DI22" i="10" s="1"/>
  <c r="AB179" i="10"/>
  <c r="AE179" i="10"/>
  <c r="AF179" i="10"/>
  <c r="DJ22" i="10"/>
  <c r="AE226" i="10"/>
  <c r="AF226" i="10" s="1"/>
  <c r="EE20" i="10" s="1"/>
  <c r="AB181" i="10"/>
  <c r="AE181" i="10"/>
  <c r="AF181" i="10" s="1"/>
  <c r="DK21" i="10" s="1"/>
  <c r="AE228" i="10"/>
  <c r="AF228" i="10" s="1"/>
  <c r="EF20" i="10" s="1"/>
  <c r="AB183" i="10"/>
  <c r="AE183" i="10"/>
  <c r="AF183" i="10"/>
  <c r="DL21" i="10" s="1"/>
  <c r="AE230" i="10"/>
  <c r="AF230" i="10"/>
  <c r="EG22" i="10"/>
  <c r="AB185" i="10"/>
  <c r="AE185" i="10"/>
  <c r="AF185" i="10"/>
  <c r="DM22" i="10"/>
  <c r="AB188" i="10"/>
  <c r="AE188" i="10"/>
  <c r="AF188" i="10"/>
  <c r="DN22" i="10"/>
  <c r="AE233" i="10"/>
  <c r="AB190" i="10"/>
  <c r="AE190" i="10"/>
  <c r="AF190" i="10"/>
  <c r="DO20" i="10" s="1"/>
  <c r="AE235" i="10"/>
  <c r="AF235" i="10"/>
  <c r="EI20" i="10"/>
  <c r="AB192" i="10"/>
  <c r="AE192" i="10"/>
  <c r="AF192" i="10"/>
  <c r="DP22" i="10"/>
  <c r="AE237" i="10"/>
  <c r="AF237" i="10"/>
  <c r="EJ20" i="10"/>
  <c r="AB197" i="10"/>
  <c r="AE197" i="10"/>
  <c r="AF197" i="10" s="1"/>
  <c r="DR20" i="10" s="1"/>
  <c r="AB194" i="10"/>
  <c r="AE194" i="10"/>
  <c r="AF194" i="10"/>
  <c r="DQ22" i="10"/>
  <c r="AE239" i="10"/>
  <c r="AF239" i="10"/>
  <c r="EK22" i="10" s="1"/>
  <c r="AB199" i="10"/>
  <c r="AE199" i="10"/>
  <c r="AF199" i="10" s="1"/>
  <c r="DS21" i="10" s="1"/>
  <c r="AE242" i="10"/>
  <c r="AF242" i="10" s="1"/>
  <c r="EL20" i="10" s="1"/>
  <c r="AB201" i="10"/>
  <c r="AE201" i="10"/>
  <c r="AF201" i="10" s="1"/>
  <c r="DT20" i="10" s="1"/>
  <c r="AE244" i="10"/>
  <c r="AF244" i="10" s="1"/>
  <c r="EM21" i="10" s="1"/>
  <c r="AB203" i="10"/>
  <c r="AE203" i="10"/>
  <c r="AF203" i="10"/>
  <c r="DU22" i="10" s="1"/>
  <c r="AB206" i="10"/>
  <c r="AE206" i="10"/>
  <c r="AF206" i="10" s="1"/>
  <c r="DV22" i="10" s="1"/>
  <c r="AE246" i="10"/>
  <c r="AF246" i="10" s="1"/>
  <c r="EN21" i="10" s="1"/>
  <c r="AB208" i="10"/>
  <c r="AE208" i="10"/>
  <c r="AF208" i="10"/>
  <c r="DW21" i="10" s="1"/>
  <c r="EO22" i="10"/>
  <c r="AB210" i="10"/>
  <c r="AE210" i="10"/>
  <c r="AF210" i="10" s="1"/>
  <c r="DX20" i="10" s="1"/>
  <c r="AB212" i="10"/>
  <c r="AE212" i="10"/>
  <c r="AF212" i="10"/>
  <c r="DY22" i="10"/>
  <c r="AB215" i="10"/>
  <c r="AE215" i="10"/>
  <c r="AF215" i="10" s="1"/>
  <c r="DZ22" i="10" s="1"/>
  <c r="AB217" i="10"/>
  <c r="AE217" i="10"/>
  <c r="AF217" i="10"/>
  <c r="EA20" i="10"/>
  <c r="AB219" i="10"/>
  <c r="AE219" i="10"/>
  <c r="AF219" i="10" s="1"/>
  <c r="AO25" i="10"/>
  <c r="O26" i="10"/>
  <c r="J40" i="6"/>
  <c r="AN25" i="10"/>
  <c r="N26" i="10"/>
  <c r="J26" i="10" s="1"/>
  <c r="E40" i="6" s="1"/>
  <c r="EU25" i="10"/>
  <c r="AO21" i="10"/>
  <c r="O22" i="10" s="1"/>
  <c r="J36" i="6" s="1"/>
  <c r="AN21" i="10"/>
  <c r="N22" i="10"/>
  <c r="EU21" i="10"/>
  <c r="EU26" i="10"/>
  <c r="AO26" i="10"/>
  <c r="O27" i="10" s="1"/>
  <c r="J41" i="6" s="1"/>
  <c r="AN26" i="10"/>
  <c r="N27" i="10" s="1"/>
  <c r="AB221" i="10"/>
  <c r="AE221" i="10"/>
  <c r="AF221" i="10" s="1"/>
  <c r="EC22" i="10" s="1"/>
  <c r="AO22" i="10"/>
  <c r="O23" i="10"/>
  <c r="J37" i="6" s="1"/>
  <c r="AN22" i="10"/>
  <c r="N23" i="10"/>
  <c r="EU22" i="10"/>
  <c r="L152" i="1"/>
  <c r="O90" i="6"/>
  <c r="G90" i="6"/>
  <c r="L42" i="10"/>
  <c r="G56" i="6" s="1"/>
  <c r="G65" i="4"/>
  <c r="M177" i="12"/>
  <c r="M162" i="12"/>
  <c r="G37" i="1"/>
  <c r="O42" i="10"/>
  <c r="J56" i="6" s="1"/>
  <c r="J59" i="1"/>
  <c r="I78" i="6"/>
  <c r="AA263" i="10"/>
  <c r="K30" i="12"/>
  <c r="Q30" i="12"/>
  <c r="E44" i="12"/>
  <c r="E58" i="12" s="1"/>
  <c r="E72" i="12" s="1"/>
  <c r="K72" i="12" s="1"/>
  <c r="AB17" i="10"/>
  <c r="AE17" i="10" s="1"/>
  <c r="AF17" i="10" s="1"/>
  <c r="AP20" i="10" s="1"/>
  <c r="S11" i="4"/>
  <c r="AB14" i="4"/>
  <c r="T267" i="4"/>
  <c r="U266" i="4"/>
  <c r="J42" i="10"/>
  <c r="E56" i="6" s="1"/>
  <c r="M190" i="12"/>
  <c r="G203" i="12" s="1"/>
  <c r="J279" i="4"/>
  <c r="S15" i="7"/>
  <c r="F30" i="12"/>
  <c r="Z29" i="9"/>
  <c r="Z20" i="9"/>
  <c r="R172" i="4"/>
  <c r="T170" i="4"/>
  <c r="T191" i="4"/>
  <c r="BK26" i="7"/>
  <c r="AA275" i="10"/>
  <c r="Z16" i="9"/>
  <c r="P29" i="4"/>
  <c r="P31" i="4" s="1"/>
  <c r="P33" i="4" s="1"/>
  <c r="P35" i="4" s="1"/>
  <c r="P56" i="4"/>
  <c r="P58" i="4" s="1"/>
  <c r="P60" i="4" s="1"/>
  <c r="P62" i="4" s="1"/>
  <c r="O134" i="4"/>
  <c r="R136" i="4" s="1"/>
  <c r="O80" i="4"/>
  <c r="O33" i="4"/>
  <c r="R34" i="4"/>
  <c r="O224" i="4"/>
  <c r="R226" i="4" s="1"/>
  <c r="T224" i="4" s="1"/>
  <c r="O197" i="4"/>
  <c r="R199" i="4" s="1"/>
  <c r="O83" i="4"/>
  <c r="R84" i="4" s="1"/>
  <c r="T83" i="4"/>
  <c r="Q266" i="4"/>
  <c r="AA255" i="10"/>
  <c r="N227" i="4"/>
  <c r="AA233" i="10" s="1"/>
  <c r="N166" i="4"/>
  <c r="AA172" i="10" s="1"/>
  <c r="N58" i="4"/>
  <c r="AA64" i="10" s="1"/>
  <c r="AF64" i="10" s="1"/>
  <c r="BK21" i="10"/>
  <c r="N280" i="4"/>
  <c r="AA260" i="10"/>
  <c r="N266" i="4"/>
  <c r="N213" i="4"/>
  <c r="AA219" i="10"/>
  <c r="EB20" i="10"/>
  <c r="N146" i="4"/>
  <c r="AA152" i="10"/>
  <c r="AF152" i="10"/>
  <c r="CX20" i="10" s="1"/>
  <c r="N105" i="4"/>
  <c r="AA111" i="10"/>
  <c r="N236" i="4"/>
  <c r="AA242" i="10"/>
  <c r="N128" i="4"/>
  <c r="AA134" i="10"/>
  <c r="AF134" i="10"/>
  <c r="CP20" i="10" s="1"/>
  <c r="N107" i="4"/>
  <c r="AA113" i="10"/>
  <c r="AF113" i="10" s="1"/>
  <c r="CG20" i="10" s="1"/>
  <c r="O280" i="4"/>
  <c r="U281" i="4"/>
  <c r="O114" i="4"/>
  <c r="R115" i="4" s="1"/>
  <c r="O67" i="4"/>
  <c r="R68" i="4" s="1"/>
  <c r="O20" i="4"/>
  <c r="O116" i="4"/>
  <c r="R118" i="4" s="1"/>
  <c r="T116" i="4" s="1"/>
  <c r="O96" i="4"/>
  <c r="AB285" i="10"/>
  <c r="AG286" i="10"/>
  <c r="AG285" i="10"/>
  <c r="AB283" i="10"/>
  <c r="AG284" i="10"/>
  <c r="AG283" i="10" s="1"/>
  <c r="AG13" i="7"/>
  <c r="H33" i="7" s="1"/>
  <c r="AI19" i="7"/>
  <c r="O15" i="4"/>
  <c r="R16" i="4" s="1"/>
  <c r="T15" i="4" s="1"/>
  <c r="T275" i="4"/>
  <c r="L83" i="1"/>
  <c r="L114" i="1"/>
  <c r="L118" i="1"/>
  <c r="L156" i="1"/>
  <c r="L117" i="1"/>
  <c r="L120" i="1" s="1"/>
  <c r="L113" i="1"/>
  <c r="L111" i="6"/>
  <c r="L99" i="6"/>
  <c r="L100" i="1"/>
  <c r="L159" i="1"/>
  <c r="L160" i="1"/>
  <c r="L94" i="1"/>
  <c r="J160" i="6"/>
  <c r="AA257" i="10"/>
  <c r="L82" i="1"/>
  <c r="M101" i="6" s="1"/>
  <c r="L153" i="1"/>
  <c r="D70" i="1"/>
  <c r="F89" i="6" s="1"/>
  <c r="L101" i="1"/>
  <c r="L157" i="1"/>
  <c r="D68" i="1"/>
  <c r="F87" i="6"/>
  <c r="D69" i="1"/>
  <c r="F88" i="6"/>
  <c r="L151" i="1"/>
  <c r="L112" i="1"/>
  <c r="L134" i="6"/>
  <c r="L102" i="1"/>
  <c r="L154" i="1"/>
  <c r="EI19" i="4"/>
  <c r="D67" i="1"/>
  <c r="F86" i="6"/>
  <c r="L86" i="1"/>
  <c r="L90" i="1"/>
  <c r="L119" i="1"/>
  <c r="AF26" i="4"/>
  <c r="L93" i="1"/>
  <c r="L89" i="1"/>
  <c r="L158" i="1"/>
  <c r="L115" i="6"/>
  <c r="L116" i="1"/>
  <c r="H72" i="1"/>
  <c r="L87" i="1"/>
  <c r="L79" i="1"/>
  <c r="L97" i="1"/>
  <c r="L85" i="1"/>
  <c r="L155" i="1"/>
  <c r="J139" i="6"/>
  <c r="H120" i="1"/>
  <c r="K26" i="10"/>
  <c r="F40" i="6" s="1"/>
  <c r="K25" i="10"/>
  <c r="F39" i="6" s="1"/>
  <c r="I39" i="6"/>
  <c r="J25" i="10"/>
  <c r="E39" i="6" s="1"/>
  <c r="EI17" i="4"/>
  <c r="L88" i="1"/>
  <c r="L103" i="1"/>
  <c r="EI20" i="4"/>
  <c r="EI18" i="4"/>
  <c r="AA251" i="10"/>
  <c r="H161" i="1"/>
  <c r="H104" i="1"/>
  <c r="L91" i="1"/>
  <c r="L95" i="1"/>
  <c r="L99" i="1"/>
  <c r="L84" i="1"/>
  <c r="L81" i="1"/>
  <c r="M100" i="6" s="1"/>
  <c r="M22" i="10"/>
  <c r="H36" i="6" s="1"/>
  <c r="I36" i="6"/>
  <c r="I40" i="6"/>
  <c r="L26" i="10"/>
  <c r="G40" i="6" s="1"/>
  <c r="G38" i="6"/>
  <c r="J24" i="10"/>
  <c r="E38" i="6" s="1"/>
  <c r="I38" i="6"/>
  <c r="M24" i="10"/>
  <c r="H38" i="6"/>
  <c r="K24" i="10"/>
  <c r="F38" i="6" s="1"/>
  <c r="M23" i="10"/>
  <c r="H37" i="6" s="1"/>
  <c r="Q53" i="4"/>
  <c r="Q204" i="4"/>
  <c r="Q206" i="4" s="1"/>
  <c r="R208" i="4" s="1"/>
  <c r="R203" i="4"/>
  <c r="EE15" i="4"/>
  <c r="T58" i="4"/>
  <c r="AV12" i="4"/>
  <c r="T62" i="10"/>
  <c r="BJ18" i="10"/>
  <c r="O102" i="6"/>
  <c r="G101" i="6"/>
  <c r="AI276" i="10"/>
  <c r="Z282" i="10"/>
  <c r="J30" i="6"/>
  <c r="O13" i="4"/>
  <c r="R14" i="4" s="1"/>
  <c r="T13" i="4" s="1"/>
  <c r="AE30" i="4"/>
  <c r="H65" i="4"/>
  <c r="AZ12" i="4" s="1"/>
  <c r="G74" i="4"/>
  <c r="R15" i="4"/>
  <c r="S15" i="4" s="1"/>
  <c r="AD20" i="4" s="1"/>
  <c r="T274" i="4"/>
  <c r="J286" i="4"/>
  <c r="T281" i="4" s="1"/>
  <c r="U273" i="4"/>
  <c r="G102" i="6"/>
  <c r="M102" i="6"/>
  <c r="O103" i="6"/>
  <c r="T202" i="4"/>
  <c r="AI275" i="10"/>
  <c r="AJ275" i="10" s="1"/>
  <c r="G83" i="4"/>
  <c r="H74" i="4"/>
  <c r="BD12" i="4" s="1"/>
  <c r="T71" i="10"/>
  <c r="BN18" i="10" s="1"/>
  <c r="K58" i="12"/>
  <c r="Q58" i="12" s="1"/>
  <c r="T206" i="4"/>
  <c r="M103" i="6"/>
  <c r="Q72" i="12"/>
  <c r="E86" i="12"/>
  <c r="K86" i="12" s="1"/>
  <c r="Q86" i="12" s="1"/>
  <c r="H83" i="4"/>
  <c r="T89" i="10" s="1"/>
  <c r="BV18" i="10" s="1"/>
  <c r="G92" i="4"/>
  <c r="BH12" i="4"/>
  <c r="E100" i="12"/>
  <c r="K100" i="12" s="1"/>
  <c r="Q100" i="12" s="1"/>
  <c r="T114" i="4" l="1"/>
  <c r="Q121" i="4"/>
  <c r="Q123" i="4" s="1"/>
  <c r="Q125" i="4" s="1"/>
  <c r="R127" i="4" s="1"/>
  <c r="R120" i="4"/>
  <c r="R61" i="4"/>
  <c r="O153" i="6"/>
  <c r="M152" i="6"/>
  <c r="G152" i="6"/>
  <c r="L27" i="10"/>
  <c r="G41" i="6" s="1"/>
  <c r="M27" i="10"/>
  <c r="H41" i="6" s="1"/>
  <c r="I41" i="6"/>
  <c r="J27" i="10"/>
  <c r="E41" i="6" s="1"/>
  <c r="K27" i="10"/>
  <c r="F41" i="6" s="1"/>
  <c r="AG62" i="10"/>
  <c r="AB66" i="10"/>
  <c r="W67" i="10"/>
  <c r="AE66" i="10"/>
  <c r="AF66" i="10" s="1"/>
  <c r="BL22" i="10" s="1"/>
  <c r="G103" i="6"/>
  <c r="O104" i="6"/>
  <c r="K44" i="12"/>
  <c r="Q44" i="12" s="1"/>
  <c r="L161" i="1"/>
  <c r="T67" i="4"/>
  <c r="K23" i="10"/>
  <c r="F37" i="6" s="1"/>
  <c r="J23" i="10"/>
  <c r="E37" i="6" s="1"/>
  <c r="L23" i="10"/>
  <c r="G37" i="6" s="1"/>
  <c r="I37" i="6"/>
  <c r="AF111" i="10"/>
  <c r="CF20" i="10" s="1"/>
  <c r="O46" i="10"/>
  <c r="J60" i="6" s="1"/>
  <c r="N46" i="10"/>
  <c r="O133" i="6"/>
  <c r="G132" i="6"/>
  <c r="R88" i="4"/>
  <c r="Q89" i="4"/>
  <c r="R91" i="4" s="1"/>
  <c r="M129" i="4"/>
  <c r="J125" i="4"/>
  <c r="J128" i="4" s="1"/>
  <c r="J130" i="4" s="1"/>
  <c r="J132" i="4" s="1"/>
  <c r="J134" i="4" s="1"/>
  <c r="J137" i="4" s="1"/>
  <c r="J139" i="4" s="1"/>
  <c r="J141" i="4" s="1"/>
  <c r="J143" i="4" s="1"/>
  <c r="J146" i="4" s="1"/>
  <c r="J148" i="4" s="1"/>
  <c r="J150" i="4" s="1"/>
  <c r="J152" i="4" s="1"/>
  <c r="J155" i="4" s="1"/>
  <c r="J157" i="4" s="1"/>
  <c r="J159" i="4" s="1"/>
  <c r="J161" i="4" s="1"/>
  <c r="J164" i="4" s="1"/>
  <c r="J166" i="4" s="1"/>
  <c r="J168" i="4" s="1"/>
  <c r="J170" i="4" s="1"/>
  <c r="J173" i="4" s="1"/>
  <c r="J175" i="4" s="1"/>
  <c r="J177" i="4" s="1"/>
  <c r="J179" i="4" s="1"/>
  <c r="J182" i="4" s="1"/>
  <c r="J184" i="4" s="1"/>
  <c r="J186" i="4" s="1"/>
  <c r="J188" i="4" s="1"/>
  <c r="J191" i="4" s="1"/>
  <c r="J193" i="4" s="1"/>
  <c r="J195" i="4" s="1"/>
  <c r="J197" i="4" s="1"/>
  <c r="J200" i="4" s="1"/>
  <c r="J202" i="4" s="1"/>
  <c r="J204" i="4" s="1"/>
  <c r="J206" i="4" s="1"/>
  <c r="J209" i="4" s="1"/>
  <c r="J211" i="4" s="1"/>
  <c r="J213" i="4" s="1"/>
  <c r="J215" i="4" s="1"/>
  <c r="J218" i="4" s="1"/>
  <c r="J220" i="4" s="1"/>
  <c r="J222" i="4" s="1"/>
  <c r="J224" i="4" s="1"/>
  <c r="J227" i="4" s="1"/>
  <c r="J229" i="4" s="1"/>
  <c r="J231" i="4" s="1"/>
  <c r="J233" i="4" s="1"/>
  <c r="J236" i="4" s="1"/>
  <c r="J238" i="4" s="1"/>
  <c r="J240" i="4" s="1"/>
  <c r="J242" i="4" s="1"/>
  <c r="T197" i="4"/>
  <c r="AF233" i="10"/>
  <c r="EH21" i="10" s="1"/>
  <c r="AE281" i="10"/>
  <c r="AF280" i="10"/>
  <c r="AF279" i="10" s="1"/>
  <c r="T134" i="4"/>
  <c r="F44" i="12"/>
  <c r="L30" i="12"/>
  <c r="R30" i="12" s="1"/>
  <c r="L22" i="10"/>
  <c r="G36" i="6" s="1"/>
  <c r="K22" i="10"/>
  <c r="F36" i="6" s="1"/>
  <c r="J22" i="10"/>
  <c r="E36" i="6" s="1"/>
  <c r="M98" i="6"/>
  <c r="L104" i="1"/>
  <c r="W280" i="4"/>
  <c r="U280" i="4"/>
  <c r="T33" i="4"/>
  <c r="R97" i="4"/>
  <c r="M131" i="6"/>
  <c r="E114" i="12"/>
  <c r="K114" i="12" s="1"/>
  <c r="Q114" i="12" s="1"/>
  <c r="M132" i="6"/>
  <c r="AC30" i="4"/>
  <c r="AA254" i="10"/>
  <c r="M30" i="4"/>
  <c r="M28" i="4"/>
  <c r="G131" i="6"/>
  <c r="S27" i="12"/>
  <c r="G41" i="12"/>
  <c r="M27" i="12"/>
  <c r="M104" i="6"/>
  <c r="AF172" i="10"/>
  <c r="DG21" i="10" s="1"/>
  <c r="F45" i="12"/>
  <c r="R31" i="12"/>
  <c r="M42" i="10"/>
  <c r="H56" i="6" s="1"/>
  <c r="I56" i="6"/>
  <c r="K42" i="10"/>
  <c r="F56" i="6" s="1"/>
  <c r="Z22" i="10"/>
  <c r="T31" i="4"/>
  <c r="G143" i="3"/>
  <c r="G101" i="4"/>
  <c r="H92" i="4"/>
  <c r="T80" i="10"/>
  <c r="BR18" i="10" s="1"/>
  <c r="R205" i="4"/>
  <c r="R13" i="4"/>
  <c r="AB19" i="10" s="1"/>
  <c r="AU282" i="10"/>
  <c r="N48" i="10" s="1"/>
  <c r="I62" i="6" s="1"/>
  <c r="O40" i="10"/>
  <c r="J54" i="6" s="1"/>
  <c r="AV274" i="10"/>
  <c r="G35" i="1"/>
  <c r="N40" i="10"/>
  <c r="CJ26" i="4"/>
  <c r="CJ27" i="4"/>
  <c r="CK29" i="4"/>
  <c r="H28" i="7"/>
  <c r="BC13" i="7"/>
  <c r="R55" i="4"/>
  <c r="Q44" i="4"/>
  <c r="R46" i="4" s="1"/>
  <c r="R43" i="4"/>
  <c r="U250" i="4"/>
  <c r="M175" i="12"/>
  <c r="S280" i="4"/>
  <c r="M188" i="12"/>
  <c r="L129" i="12"/>
  <c r="R129" i="12" s="1"/>
  <c r="F142" i="12" s="1"/>
  <c r="L142" i="12"/>
  <c r="L25" i="10"/>
  <c r="G39" i="6" s="1"/>
  <c r="M25" i="10"/>
  <c r="H39" i="6" s="1"/>
  <c r="AN276" i="10"/>
  <c r="V272" i="10" s="1"/>
  <c r="AL275" i="10"/>
  <c r="W28" i="9"/>
  <c r="Z28" i="9"/>
  <c r="Q96" i="4"/>
  <c r="Q98" i="4" s="1"/>
  <c r="R100" i="4" s="1"/>
  <c r="R95" i="4"/>
  <c r="H40" i="12"/>
  <c r="N26" i="12"/>
  <c r="T26" i="12" s="1"/>
  <c r="T139" i="4"/>
  <c r="AF12" i="4"/>
  <c r="T26" i="10"/>
  <c r="AT18" i="10" s="1"/>
  <c r="V251" i="10"/>
  <c r="V257" i="10"/>
  <c r="V254" i="10"/>
  <c r="V260" i="10"/>
  <c r="I253" i="4"/>
  <c r="S56" i="9"/>
  <c r="S54" i="9"/>
  <c r="Z40" i="9"/>
  <c r="H64" i="7"/>
  <c r="BC48" i="7"/>
  <c r="I59" i="6"/>
  <c r="J45" i="10"/>
  <c r="E59" i="6" s="1"/>
  <c r="K45" i="10"/>
  <c r="F59" i="6" s="1"/>
  <c r="S259" i="4"/>
  <c r="S273" i="4"/>
  <c r="S162" i="12"/>
  <c r="K58" i="1"/>
  <c r="L77" i="6" s="1"/>
  <c r="AG39" i="4"/>
  <c r="AG43" i="4" s="1"/>
  <c r="G117" i="3"/>
  <c r="G125" i="3" s="1"/>
  <c r="G79" i="3"/>
  <c r="G87" i="3" s="1"/>
  <c r="G98" i="3"/>
  <c r="N38" i="3"/>
  <c r="M79" i="3"/>
  <c r="N79" i="3" s="1"/>
  <c r="L176" i="6"/>
  <c r="O45" i="10"/>
  <c r="J59" i="6" s="1"/>
  <c r="G39" i="1"/>
  <c r="N44" i="10"/>
  <c r="AV278" i="10"/>
  <c r="V263" i="10"/>
  <c r="AF49" i="4"/>
  <c r="K176" i="1"/>
  <c r="M166" i="6"/>
  <c r="M175" i="6" s="1"/>
  <c r="CG26" i="10"/>
  <c r="CG23" i="10"/>
  <c r="CG21" i="10"/>
  <c r="CG24" i="10"/>
  <c r="CG22" i="10"/>
  <c r="CR26" i="10"/>
  <c r="CR21" i="10"/>
  <c r="CR24" i="10"/>
  <c r="CR25" i="10"/>
  <c r="CR23" i="10"/>
  <c r="DH24" i="10"/>
  <c r="EL24" i="10"/>
  <c r="BU24" i="10"/>
  <c r="DX24" i="10"/>
  <c r="EJ24" i="10"/>
  <c r="BB24" i="10"/>
  <c r="AV24" i="10"/>
  <c r="BY24" i="10"/>
  <c r="CK24" i="10"/>
  <c r="BJ24" i="10"/>
  <c r="CD24" i="10"/>
  <c r="BI24" i="10"/>
  <c r="AW24" i="10"/>
  <c r="CN24" i="10"/>
  <c r="BN24" i="10"/>
  <c r="BH24" i="10"/>
  <c r="AR24" i="10"/>
  <c r="DT24" i="10"/>
  <c r="EI24" i="10"/>
  <c r="BX24" i="10"/>
  <c r="BL24" i="10"/>
  <c r="AZ24" i="10"/>
  <c r="CI24" i="10"/>
  <c r="DD24" i="10"/>
  <c r="DP24" i="10"/>
  <c r="EB24" i="10"/>
  <c r="EN24" i="10"/>
  <c r="AS24" i="10"/>
  <c r="EM24" i="10"/>
  <c r="CP24" i="10"/>
  <c r="CF24" i="10"/>
  <c r="BZ24" i="10"/>
  <c r="BT24" i="10"/>
  <c r="BS24" i="10"/>
  <c r="CM24" i="10"/>
  <c r="CL24" i="10"/>
  <c r="BV24" i="10"/>
  <c r="BA24" i="10"/>
  <c r="DB24" i="10"/>
  <c r="DK24" i="10"/>
  <c r="DW24" i="10"/>
  <c r="DI24" i="10"/>
  <c r="DO24" i="10"/>
  <c r="CT24" i="10"/>
  <c r="CY24" i="10"/>
  <c r="BM24" i="10"/>
  <c r="DC24" i="10"/>
  <c r="DG24" i="10"/>
  <c r="DS24" i="10"/>
  <c r="EE24" i="10"/>
  <c r="CV24" i="10"/>
  <c r="BC24" i="10"/>
  <c r="CJ24" i="10"/>
  <c r="CC24" i="10"/>
  <c r="BW24" i="10"/>
  <c r="CS24" i="10"/>
  <c r="AT24" i="10"/>
  <c r="CO24" i="10"/>
  <c r="BG24" i="10"/>
  <c r="M26" i="10"/>
  <c r="H40" i="6" s="1"/>
  <c r="AF48" i="10"/>
  <c r="BD22" i="10" s="1"/>
  <c r="M45" i="10"/>
  <c r="H59" i="6" s="1"/>
  <c r="G40" i="1"/>
  <c r="F56" i="3"/>
  <c r="G207" i="3"/>
  <c r="AH83" i="3"/>
  <c r="AH43" i="3"/>
  <c r="P47" i="4"/>
  <c r="P20" i="4"/>
  <c r="W19" i="9"/>
  <c r="Z19" i="9"/>
  <c r="G270" i="3"/>
  <c r="G262" i="3"/>
  <c r="G266" i="3"/>
  <c r="G267" i="3"/>
  <c r="G263" i="3"/>
  <c r="G269" i="3" s="1"/>
  <c r="G264" i="3"/>
  <c r="G265" i="3"/>
  <c r="G121" i="3"/>
  <c r="F64" i="3" s="1"/>
  <c r="F55" i="3"/>
  <c r="G126" i="3"/>
  <c r="G210" i="3"/>
  <c r="G101" i="3"/>
  <c r="G192" i="3"/>
  <c r="G197" i="3" s="1"/>
  <c r="G305" i="3"/>
  <c r="BF47" i="7"/>
  <c r="G79" i="7" s="1"/>
  <c r="Z13" i="9"/>
  <c r="W13" i="9"/>
  <c r="W16" i="7"/>
  <c r="BF12" i="7" s="1"/>
  <c r="G44" i="7" s="1"/>
  <c r="G172" i="3"/>
  <c r="F61" i="3" s="1"/>
  <c r="G177" i="3"/>
  <c r="F66" i="3" s="1"/>
  <c r="G173" i="3"/>
  <c r="F62" i="3" s="1"/>
  <c r="G174" i="3"/>
  <c r="G176" i="3"/>
  <c r="F65" i="3" s="1"/>
  <c r="G250" i="3"/>
  <c r="G142" i="3"/>
  <c r="G160" i="3"/>
  <c r="G161" i="3" s="1"/>
  <c r="G214" i="3"/>
  <c r="G232" i="3"/>
  <c r="G233" i="3" s="1"/>
  <c r="G286" i="3"/>
  <c r="G287" i="3" s="1"/>
  <c r="G196" i="3"/>
  <c r="T250" i="4"/>
  <c r="G88" i="6"/>
  <c r="W12" i="9"/>
  <c r="Z12" i="9"/>
  <c r="S44" i="9" s="1"/>
  <c r="S45" i="9"/>
  <c r="W17" i="9"/>
  <c r="Z17" i="9"/>
  <c r="Q71" i="4"/>
  <c r="R73" i="4" s="1"/>
  <c r="Q76" i="4"/>
  <c r="R154" i="12"/>
  <c r="R141" i="12"/>
  <c r="F154" i="12" s="1"/>
  <c r="L154" i="12" s="1"/>
  <c r="CH26" i="10"/>
  <c r="CH20" i="10"/>
  <c r="CH24" i="10"/>
  <c r="CH22" i="10"/>
  <c r="CH23" i="10"/>
  <c r="J43" i="10"/>
  <c r="E57" i="6" s="1"/>
  <c r="Q31" i="12"/>
  <c r="S38" i="12"/>
  <c r="G38" i="1"/>
  <c r="R241" i="4"/>
  <c r="AB279" i="10"/>
  <c r="AG280" i="10" s="1"/>
  <c r="AG279" i="10" s="1"/>
  <c r="AB281" i="10"/>
  <c r="AG282" i="10" s="1"/>
  <c r="AG281" i="10" s="1"/>
  <c r="T259" i="4"/>
  <c r="T260" i="4" s="1"/>
  <c r="V260" i="4" s="1"/>
  <c r="Q20" i="4"/>
  <c r="U45" i="7"/>
  <c r="H65" i="7" s="1"/>
  <c r="G243" i="3"/>
  <c r="G251" i="3" s="1"/>
  <c r="W31" i="9"/>
  <c r="W273" i="4"/>
  <c r="Z36" i="9"/>
  <c r="W36" i="9"/>
  <c r="V261" i="10" l="1"/>
  <c r="Y261" i="10" s="1"/>
  <c r="V252" i="10"/>
  <c r="Y252" i="10" s="1"/>
  <c r="V258" i="10"/>
  <c r="Y258" i="10" s="1"/>
  <c r="V255" i="10"/>
  <c r="Y255" i="10" s="1"/>
  <c r="T262" i="4"/>
  <c r="AB252" i="10" s="1"/>
  <c r="EB15" i="4"/>
  <c r="T125" i="4"/>
  <c r="Z24" i="10"/>
  <c r="Z27" i="10"/>
  <c r="Z29" i="10" s="1"/>
  <c r="Z31" i="10" s="1"/>
  <c r="AB21" i="10"/>
  <c r="AE21" i="10" s="1"/>
  <c r="AF21" i="10" s="1"/>
  <c r="AR26" i="10" s="1"/>
  <c r="F58" i="12"/>
  <c r="L44" i="12"/>
  <c r="R44" i="12" s="1"/>
  <c r="G133" i="6"/>
  <c r="O134" i="6"/>
  <c r="M133" i="6"/>
  <c r="T240" i="4"/>
  <c r="T119" i="4"/>
  <c r="AE257" i="10"/>
  <c r="AF257" i="10" s="1"/>
  <c r="ER22" i="10" s="1"/>
  <c r="AB257" i="10"/>
  <c r="AE258" i="10"/>
  <c r="AF258" i="10" s="1"/>
  <c r="W259" i="10"/>
  <c r="T44" i="4"/>
  <c r="T204" i="4"/>
  <c r="AH40" i="3"/>
  <c r="AH39" i="3"/>
  <c r="AH44" i="3"/>
  <c r="AH41" i="3"/>
  <c r="AH42" i="3"/>
  <c r="AH38" i="3"/>
  <c r="W253" i="10"/>
  <c r="F155" i="12"/>
  <c r="R142" i="12"/>
  <c r="L155" i="12" s="1"/>
  <c r="R155" i="12"/>
  <c r="K40" i="10"/>
  <c r="F54" i="6" s="1"/>
  <c r="M40" i="10"/>
  <c r="H54" i="6" s="1"/>
  <c r="I54" i="6"/>
  <c r="L40" i="10"/>
  <c r="G54" i="6" s="1"/>
  <c r="J40" i="10"/>
  <c r="E54" i="6" s="1"/>
  <c r="F180" i="12"/>
  <c r="L180" i="12" s="1"/>
  <c r="R180" i="12" s="1"/>
  <c r="F193" i="12" s="1"/>
  <c r="F167" i="12"/>
  <c r="L167" i="12" s="1"/>
  <c r="R167" i="12" s="1"/>
  <c r="F67" i="3"/>
  <c r="AH79" i="3"/>
  <c r="AH81" i="3"/>
  <c r="AH82" i="3"/>
  <c r="AH78" i="3"/>
  <c r="AH80" i="3"/>
  <c r="AH84" i="3"/>
  <c r="AB263" i="10"/>
  <c r="W264" i="10"/>
  <c r="AE263" i="10"/>
  <c r="AF263" i="10" s="1"/>
  <c r="ET24" i="10" s="1"/>
  <c r="T98" i="4"/>
  <c r="T53" i="4"/>
  <c r="T98" i="10"/>
  <c r="BZ18" i="10" s="1"/>
  <c r="BL12" i="4"/>
  <c r="S41" i="12"/>
  <c r="M41" i="12"/>
  <c r="G55" i="12"/>
  <c r="P55" i="9"/>
  <c r="P57" i="9"/>
  <c r="L43" i="9"/>
  <c r="T94" i="4"/>
  <c r="L46" i="10"/>
  <c r="G60" i="6" s="1"/>
  <c r="J46" i="10"/>
  <c r="E60" i="6" s="1"/>
  <c r="M46" i="10"/>
  <c r="H60" i="6" s="1"/>
  <c r="K46" i="10"/>
  <c r="F60" i="6" s="1"/>
  <c r="I60" i="6"/>
  <c r="S267" i="4"/>
  <c r="Q22" i="4"/>
  <c r="R21" i="4"/>
  <c r="Q78" i="4"/>
  <c r="R77" i="4"/>
  <c r="R122" i="4"/>
  <c r="N64" i="3"/>
  <c r="N65" i="3"/>
  <c r="BE12" i="7"/>
  <c r="X15" i="3"/>
  <c r="D45" i="7"/>
  <c r="BD12" i="7"/>
  <c r="BC12" i="7"/>
  <c r="AV282" i="10"/>
  <c r="O48" i="10" s="1"/>
  <c r="J62" i="6" s="1"/>
  <c r="G110" i="4"/>
  <c r="H101" i="4"/>
  <c r="H179" i="1"/>
  <c r="T42" i="4"/>
  <c r="F63" i="3"/>
  <c r="K59" i="1"/>
  <c r="L78" i="6" s="1"/>
  <c r="AG48" i="4"/>
  <c r="AG47" i="4" s="1"/>
  <c r="T71" i="4"/>
  <c r="N24" i="3"/>
  <c r="T96" i="4"/>
  <c r="R128" i="4"/>
  <c r="M131" i="4"/>
  <c r="O154" i="6"/>
  <c r="M153" i="6"/>
  <c r="G153" i="6"/>
  <c r="P119" i="4"/>
  <c r="P121" i="4" s="1"/>
  <c r="P123" i="4" s="1"/>
  <c r="P125" i="4" s="1"/>
  <c r="P22" i="4"/>
  <c r="P24" i="4" s="1"/>
  <c r="P26" i="4" s="1"/>
  <c r="W256" i="10"/>
  <c r="S13" i="4"/>
  <c r="AE19" i="10"/>
  <c r="AF19" i="10" s="1"/>
  <c r="AQ26" i="10" s="1"/>
  <c r="P74" i="4"/>
  <c r="P76" i="4" s="1"/>
  <c r="P78" i="4" s="1"/>
  <c r="P80" i="4" s="1"/>
  <c r="P49" i="4"/>
  <c r="P51" i="4" s="1"/>
  <c r="P53" i="4" s="1"/>
  <c r="N40" i="12"/>
  <c r="T40" i="12" s="1"/>
  <c r="H54" i="12"/>
  <c r="U260" i="4"/>
  <c r="I148" i="12"/>
  <c r="I135" i="12"/>
  <c r="U135" i="12"/>
  <c r="O135" i="12"/>
  <c r="I11" i="12"/>
  <c r="I136" i="12"/>
  <c r="G215" i="3"/>
  <c r="O291" i="4"/>
  <c r="S291" i="4" s="1"/>
  <c r="G106" i="3"/>
  <c r="F60" i="3"/>
  <c r="AL288" i="10"/>
  <c r="R7" i="10" s="1"/>
  <c r="AK275" i="10"/>
  <c r="AM275" i="10"/>
  <c r="AM288" i="10" s="1"/>
  <c r="S7" i="10" s="1"/>
  <c r="CK27" i="4"/>
  <c r="CL29" i="4"/>
  <c r="CK26" i="4"/>
  <c r="R45" i="12"/>
  <c r="L45" i="12"/>
  <c r="F59" i="12"/>
  <c r="T89" i="4"/>
  <c r="O105" i="6"/>
  <c r="G104" i="6"/>
  <c r="T60" i="4"/>
  <c r="G179" i="3"/>
  <c r="BC47" i="7"/>
  <c r="D79" i="7" s="1"/>
  <c r="BD47" i="7"/>
  <c r="E79" i="7" s="1"/>
  <c r="D80" i="7"/>
  <c r="BE47" i="7"/>
  <c r="F79" i="7" s="1"/>
  <c r="L44" i="10"/>
  <c r="G58" i="6" s="1"/>
  <c r="I58" i="6"/>
  <c r="J44" i="10"/>
  <c r="E58" i="6" s="1"/>
  <c r="M44" i="10"/>
  <c r="H58" i="6" s="1"/>
  <c r="K44" i="10"/>
  <c r="F58" i="6" s="1"/>
  <c r="AB260" i="10"/>
  <c r="W262" i="10"/>
  <c r="AE261" i="10"/>
  <c r="AF261" i="10" s="1"/>
  <c r="AE260" i="10"/>
  <c r="AF260" i="10" s="1"/>
  <c r="ES20" i="10" s="1"/>
  <c r="R124" i="4"/>
  <c r="R29" i="4"/>
  <c r="M32" i="4"/>
  <c r="AF282" i="10"/>
  <c r="AF281" i="10" s="1"/>
  <c r="AE283" i="10"/>
  <c r="T87" i="4"/>
  <c r="N54" i="12" l="1"/>
  <c r="T54" i="12" s="1"/>
  <c r="H68" i="12"/>
  <c r="AF284" i="10"/>
  <c r="AF283" i="10" s="1"/>
  <c r="AE285" i="10"/>
  <c r="AF286" i="10" s="1"/>
  <c r="AF285" i="10" s="1"/>
  <c r="G119" i="4"/>
  <c r="H110" i="4"/>
  <c r="EQ23" i="10"/>
  <c r="EQ22" i="10"/>
  <c r="EQ24" i="10"/>
  <c r="EQ26" i="10"/>
  <c r="EQ25" i="10"/>
  <c r="T107" i="10"/>
  <c r="CD18" i="10" s="1"/>
  <c r="BP12" i="4"/>
  <c r="O56" i="9"/>
  <c r="P56" i="9"/>
  <c r="X20" i="3" s="1"/>
  <c r="O17" i="3" s="1"/>
  <c r="F72" i="12"/>
  <c r="L58" i="12"/>
  <c r="R58" i="12" s="1"/>
  <c r="M34" i="4"/>
  <c r="R31" i="4"/>
  <c r="D44" i="7"/>
  <c r="X14" i="3"/>
  <c r="F68" i="3"/>
  <c r="Y14" i="3"/>
  <c r="E44" i="7"/>
  <c r="R79" i="4"/>
  <c r="Q80" i="4"/>
  <c r="R82" i="4" s="1"/>
  <c r="F181" i="12"/>
  <c r="L168" i="12"/>
  <c r="F168" i="12"/>
  <c r="R168" i="12" s="1"/>
  <c r="Z33" i="10"/>
  <c r="Z36" i="10"/>
  <c r="Z38" i="10" s="1"/>
  <c r="Z40" i="10" s="1"/>
  <c r="ER21" i="10"/>
  <c r="ER20" i="10"/>
  <c r="ER25" i="10"/>
  <c r="ER23" i="10"/>
  <c r="ER24" i="10"/>
  <c r="ER26" i="10"/>
  <c r="O136" i="12"/>
  <c r="U136" i="12" s="1"/>
  <c r="I149" i="12" s="1"/>
  <c r="O149" i="12"/>
  <c r="N63" i="3"/>
  <c r="N68" i="3" s="1"/>
  <c r="R66" i="3"/>
  <c r="N66" i="3"/>
  <c r="O11" i="12"/>
  <c r="U11" i="12" s="1"/>
  <c r="I25" i="12"/>
  <c r="T121" i="4"/>
  <c r="T76" i="4"/>
  <c r="T123" i="4"/>
  <c r="S246" i="4"/>
  <c r="AC20" i="4"/>
  <c r="R20" i="4"/>
  <c r="T20" i="4"/>
  <c r="EP23" i="10"/>
  <c r="EP25" i="10"/>
  <c r="EP26" i="10"/>
  <c r="EW26" i="10" s="1"/>
  <c r="EP24" i="10"/>
  <c r="EW24" i="10" s="1"/>
  <c r="EP22" i="10"/>
  <c r="EW22" i="10" s="1"/>
  <c r="O54" i="9"/>
  <c r="Q54" i="9"/>
  <c r="Y19" i="3" s="1"/>
  <c r="P16" i="3" s="1"/>
  <c r="P54" i="9"/>
  <c r="X19" i="3" s="1"/>
  <c r="O16" i="3" s="1"/>
  <c r="L59" i="12"/>
  <c r="R59" i="12" s="1"/>
  <c r="F73" i="12"/>
  <c r="G69" i="12"/>
  <c r="M55" i="12"/>
  <c r="S55" i="12"/>
  <c r="CL27" i="4"/>
  <c r="CL26" i="4"/>
  <c r="CM29" i="4"/>
  <c r="O155" i="6"/>
  <c r="M154" i="6"/>
  <c r="G154" i="6"/>
  <c r="Q24" i="4"/>
  <c r="R23" i="4"/>
  <c r="G134" i="6"/>
  <c r="O135" i="6"/>
  <c r="M134" i="6"/>
  <c r="ES25" i="10"/>
  <c r="ES21" i="10"/>
  <c r="ES26" i="10"/>
  <c r="ES24" i="10"/>
  <c r="ES22" i="10"/>
  <c r="ES23" i="10"/>
  <c r="O106" i="6"/>
  <c r="G105" i="6"/>
  <c r="M105" i="6"/>
  <c r="E66" i="1"/>
  <c r="G85" i="6" s="1"/>
  <c r="S298" i="4"/>
  <c r="W259" i="4"/>
  <c r="U259" i="4"/>
  <c r="R130" i="4"/>
  <c r="M133" i="4"/>
  <c r="F44" i="7"/>
  <c r="Z14" i="3"/>
  <c r="T268" i="4"/>
  <c r="M148" i="12"/>
  <c r="S266" i="4"/>
  <c r="V267" i="4"/>
  <c r="O156" i="6" l="1"/>
  <c r="G155" i="6"/>
  <c r="M155" i="6"/>
  <c r="CM27" i="4"/>
  <c r="CN29" i="4"/>
  <c r="CM26" i="4"/>
  <c r="N16" i="3"/>
  <c r="N23" i="3" s="1"/>
  <c r="T80" i="4"/>
  <c r="M39" i="4"/>
  <c r="M37" i="4"/>
  <c r="R35" i="4" s="1"/>
  <c r="R33" i="4"/>
  <c r="BT12" i="4"/>
  <c r="T116" i="10"/>
  <c r="CH18" i="10" s="1"/>
  <c r="EW23" i="10"/>
  <c r="L72" i="12"/>
  <c r="R72" i="12" s="1"/>
  <c r="F86" i="12"/>
  <c r="G135" i="6"/>
  <c r="O136" i="6"/>
  <c r="M135" i="6"/>
  <c r="EW25" i="10"/>
  <c r="T269" i="4"/>
  <c r="AB255" i="10" s="1"/>
  <c r="EC15" i="4"/>
  <c r="EI15" i="4" s="1"/>
  <c r="V259" i="4"/>
  <c r="U261" i="4"/>
  <c r="AB251" i="10" s="1"/>
  <c r="R22" i="4"/>
  <c r="T22" i="4"/>
  <c r="R54" i="9"/>
  <c r="Z19" i="3" s="1"/>
  <c r="Q16" i="3" s="1"/>
  <c r="U162" i="12"/>
  <c r="U149" i="12"/>
  <c r="I162" i="12" s="1"/>
  <c r="O162" i="12" s="1"/>
  <c r="Z42" i="10"/>
  <c r="Z45" i="10"/>
  <c r="Z47" i="10" s="1"/>
  <c r="Z49" i="10" s="1"/>
  <c r="R181" i="12"/>
  <c r="L181" i="12"/>
  <c r="F194" i="12" s="1"/>
  <c r="R132" i="4"/>
  <c r="M138" i="4"/>
  <c r="M136" i="4"/>
  <c r="R134" i="4" s="1"/>
  <c r="G106" i="6"/>
  <c r="O107" i="6"/>
  <c r="M106" i="6"/>
  <c r="T78" i="4"/>
  <c r="G128" i="4"/>
  <c r="H119" i="4"/>
  <c r="U268" i="4"/>
  <c r="AB254" i="10" s="1"/>
  <c r="AE254" i="10" s="1"/>
  <c r="AF254" i="10" s="1"/>
  <c r="EQ20" i="10" s="1"/>
  <c r="V266" i="4"/>
  <c r="EC14" i="4" s="1"/>
  <c r="R25" i="4"/>
  <c r="Q26" i="4"/>
  <c r="R28" i="4" s="1"/>
  <c r="N70" i="3"/>
  <c r="N72" i="3" s="1"/>
  <c r="N73" i="3" s="1"/>
  <c r="N29" i="3"/>
  <c r="R56" i="9"/>
  <c r="Z20" i="3" s="1"/>
  <c r="Q17" i="3" s="1"/>
  <c r="N17" i="3" s="1"/>
  <c r="N68" i="12"/>
  <c r="T68" i="12" s="1"/>
  <c r="H82" i="12"/>
  <c r="M69" i="12"/>
  <c r="S69" i="12" s="1"/>
  <c r="G83" i="12"/>
  <c r="I39" i="12"/>
  <c r="O25" i="12"/>
  <c r="U25" i="12" s="1"/>
  <c r="L73" i="12"/>
  <c r="R73" i="12" s="1"/>
  <c r="F87" i="12"/>
  <c r="Q56" i="9"/>
  <c r="Y20" i="3" s="1"/>
  <c r="P17" i="3" s="1"/>
  <c r="N74" i="3" l="1"/>
  <c r="N50" i="3"/>
  <c r="R24" i="4"/>
  <c r="T24" i="4"/>
  <c r="Z54" i="10"/>
  <c r="Z56" i="10" s="1"/>
  <c r="Z58" i="10" s="1"/>
  <c r="Z51" i="10"/>
  <c r="L86" i="12"/>
  <c r="R86" i="12" s="1"/>
  <c r="F100" i="12"/>
  <c r="M41" i="4"/>
  <c r="R38" i="4"/>
  <c r="G137" i="4"/>
  <c r="H128" i="4"/>
  <c r="N25" i="3"/>
  <c r="N22" i="3"/>
  <c r="R25" i="3"/>
  <c r="CN27" i="4"/>
  <c r="CO29" i="4"/>
  <c r="CN26" i="4"/>
  <c r="G97" i="12"/>
  <c r="M83" i="12"/>
  <c r="S83" i="12" s="1"/>
  <c r="O108" i="6"/>
  <c r="G107" i="6"/>
  <c r="M107" i="6"/>
  <c r="H96" i="12"/>
  <c r="N82" i="12"/>
  <c r="T82" i="12" s="1"/>
  <c r="EB14" i="4"/>
  <c r="V287" i="4"/>
  <c r="AB21" i="4"/>
  <c r="AF21" i="4" s="1"/>
  <c r="AF28" i="4" s="1"/>
  <c r="O39" i="12"/>
  <c r="U39" i="12" s="1"/>
  <c r="I53" i="12"/>
  <c r="R26" i="4"/>
  <c r="T26" i="4"/>
  <c r="G136" i="6"/>
  <c r="O137" i="6"/>
  <c r="M136" i="6"/>
  <c r="F101" i="12"/>
  <c r="L87" i="12"/>
  <c r="R87" i="12" s="1"/>
  <c r="T125" i="10"/>
  <c r="CL18" i="10" s="1"/>
  <c r="BX12" i="4"/>
  <c r="M140" i="4"/>
  <c r="R137" i="4"/>
  <c r="I188" i="12"/>
  <c r="O188" i="12" s="1"/>
  <c r="U188" i="12" s="1"/>
  <c r="I201" i="12" s="1"/>
  <c r="I175" i="12"/>
  <c r="O175" i="12" s="1"/>
  <c r="U175" i="12" s="1"/>
  <c r="O157" i="6"/>
  <c r="M156" i="6"/>
  <c r="G156" i="6"/>
  <c r="Z63" i="10" l="1"/>
  <c r="Z65" i="10" s="1"/>
  <c r="Z67" i="10" s="1"/>
  <c r="Z60" i="10"/>
  <c r="G111" i="12"/>
  <c r="M97" i="12"/>
  <c r="S97" i="12" s="1"/>
  <c r="G146" i="4"/>
  <c r="H137" i="4"/>
  <c r="V14" i="10"/>
  <c r="K8" i="4"/>
  <c r="H127" i="1" s="1"/>
  <c r="CB12" i="4"/>
  <c r="T134" i="10"/>
  <c r="CP18" i="10" s="1"/>
  <c r="CO26" i="4"/>
  <c r="CP29" i="4"/>
  <c r="CO27" i="4"/>
  <c r="M43" i="4"/>
  <c r="R40" i="4"/>
  <c r="L101" i="12"/>
  <c r="R101" i="12" s="1"/>
  <c r="F115" i="12"/>
  <c r="L115" i="12" s="1"/>
  <c r="M142" i="4"/>
  <c r="R139" i="4"/>
  <c r="H110" i="12"/>
  <c r="N96" i="12"/>
  <c r="T96" i="12" s="1"/>
  <c r="L100" i="12"/>
  <c r="R100" i="12" s="1"/>
  <c r="F114" i="12"/>
  <c r="L114" i="12" s="1"/>
  <c r="R114" i="12" s="1"/>
  <c r="EI14" i="4"/>
  <c r="EI22" i="4" s="1"/>
  <c r="EG14" i="4"/>
  <c r="G157" i="6"/>
  <c r="O158" i="6"/>
  <c r="M157" i="6"/>
  <c r="I67" i="12"/>
  <c r="O53" i="12"/>
  <c r="U53" i="12" s="1"/>
  <c r="AF80" i="3"/>
  <c r="G45" i="3"/>
  <c r="M137" i="6"/>
  <c r="O138" i="6"/>
  <c r="G137" i="6"/>
  <c r="M108" i="6"/>
  <c r="G108" i="6"/>
  <c r="O109" i="6"/>
  <c r="G155" i="4" l="1"/>
  <c r="H146" i="4"/>
  <c r="T143" i="10"/>
  <c r="CT18" i="10" s="1"/>
  <c r="CF12" i="4"/>
  <c r="H124" i="12"/>
  <c r="N124" i="12" s="1"/>
  <c r="N110" i="12"/>
  <c r="T110" i="12" s="1"/>
  <c r="CP27" i="4"/>
  <c r="CQ29" i="4"/>
  <c r="CP26" i="4"/>
  <c r="L72" i="1"/>
  <c r="M91" i="6"/>
  <c r="AF82" i="3"/>
  <c r="AF84" i="3"/>
  <c r="AF79" i="3"/>
  <c r="AF83" i="3"/>
  <c r="AF81" i="3"/>
  <c r="AF78" i="3"/>
  <c r="AI78" i="3" s="1"/>
  <c r="AJ78" i="3" s="1"/>
  <c r="O110" i="6"/>
  <c r="G109" i="6"/>
  <c r="M109" i="6"/>
  <c r="G125" i="12"/>
  <c r="M125" i="12" s="1"/>
  <c r="M111" i="12"/>
  <c r="S111" i="12" s="1"/>
  <c r="I81" i="12"/>
  <c r="O67" i="12"/>
  <c r="U67" i="12" s="1"/>
  <c r="M158" i="6"/>
  <c r="G158" i="6"/>
  <c r="O159" i="6"/>
  <c r="G138" i="6"/>
  <c r="M138" i="6"/>
  <c r="M139" i="6" s="1"/>
  <c r="R141" i="4"/>
  <c r="M147" i="4"/>
  <c r="M145" i="4"/>
  <c r="R143" i="4" s="1"/>
  <c r="M48" i="4"/>
  <c r="M46" i="4"/>
  <c r="R44" i="4" s="1"/>
  <c r="R42" i="4"/>
  <c r="K35" i="1"/>
  <c r="K42" i="1" s="1"/>
  <c r="H123" i="1" s="1"/>
  <c r="EG22" i="4"/>
  <c r="Z72" i="10"/>
  <c r="Z74" i="10" s="1"/>
  <c r="Z69" i="10"/>
  <c r="CR29" i="4" l="1"/>
  <c r="CQ26" i="4"/>
  <c r="CQ27" i="4"/>
  <c r="O81" i="12"/>
  <c r="U81" i="12" s="1"/>
  <c r="I95" i="12"/>
  <c r="H129" i="1"/>
  <c r="Y10" i="3"/>
  <c r="N13" i="3" s="1"/>
  <c r="N27" i="3" s="1"/>
  <c r="N31" i="3" s="1"/>
  <c r="N32" i="3" s="1"/>
  <c r="Z253" i="10"/>
  <c r="Z76" i="10"/>
  <c r="M149" i="4"/>
  <c r="R146" i="4"/>
  <c r="O111" i="6"/>
  <c r="M110" i="6"/>
  <c r="G110" i="6"/>
  <c r="T152" i="10"/>
  <c r="CX18" i="10" s="1"/>
  <c r="CJ12" i="4"/>
  <c r="G159" i="6"/>
  <c r="M159" i="6"/>
  <c r="M160" i="6" s="1"/>
  <c r="J178" i="6" s="1"/>
  <c r="R47" i="4"/>
  <c r="M50" i="4"/>
  <c r="G164" i="4"/>
  <c r="H155" i="4"/>
  <c r="N9" i="3" l="1"/>
  <c r="AF40" i="3" s="1"/>
  <c r="N33" i="3"/>
  <c r="H135" i="1"/>
  <c r="G41" i="1"/>
  <c r="T161" i="10"/>
  <c r="DB18" i="10" s="1"/>
  <c r="CN12" i="4"/>
  <c r="H164" i="4"/>
  <c r="G173" i="4"/>
  <c r="O95" i="12"/>
  <c r="U95" i="12" s="1"/>
  <c r="I109" i="12"/>
  <c r="R49" i="4"/>
  <c r="M52" i="4"/>
  <c r="G111" i="6"/>
  <c r="M111" i="6"/>
  <c r="O112" i="6"/>
  <c r="Z256" i="10"/>
  <c r="AE252" i="10"/>
  <c r="AF252" i="10" s="1"/>
  <c r="EP21" i="10" s="1"/>
  <c r="AE251" i="10"/>
  <c r="AF251" i="10" s="1"/>
  <c r="EP20" i="10" s="1"/>
  <c r="M151" i="4"/>
  <c r="R148" i="4"/>
  <c r="Z78" i="10"/>
  <c r="Z81" i="10"/>
  <c r="Z83" i="10" s="1"/>
  <c r="Z85" i="10" s="1"/>
  <c r="CS29" i="4"/>
  <c r="CR27" i="4"/>
  <c r="CR26" i="4"/>
  <c r="Z90" i="10" l="1"/>
  <c r="Z92" i="10" s="1"/>
  <c r="Z94" i="10" s="1"/>
  <c r="Z87" i="10"/>
  <c r="T170" i="10"/>
  <c r="DF18" i="10" s="1"/>
  <c r="CR12" i="4"/>
  <c r="H173" i="4"/>
  <c r="G182" i="4"/>
  <c r="Z259" i="10"/>
  <c r="Z262" i="10" s="1"/>
  <c r="Z264" i="10" s="1"/>
  <c r="AE255" i="10"/>
  <c r="AF255" i="10" s="1"/>
  <c r="EQ21" i="10" s="1"/>
  <c r="EW21" i="10" s="1"/>
  <c r="O113" i="6"/>
  <c r="G112" i="6"/>
  <c r="M112" i="6"/>
  <c r="M156" i="4"/>
  <c r="R150" i="4"/>
  <c r="M154" i="4"/>
  <c r="R152" i="4" s="1"/>
  <c r="M57" i="4"/>
  <c r="M55" i="4"/>
  <c r="R53" i="4" s="1"/>
  <c r="R51" i="4"/>
  <c r="H189" i="1"/>
  <c r="G189" i="1"/>
  <c r="H14" i="6" s="1"/>
  <c r="H137" i="1"/>
  <c r="CT29" i="4"/>
  <c r="CS27" i="4"/>
  <c r="CS26" i="4"/>
  <c r="EW20" i="10"/>
  <c r="AO20" i="10"/>
  <c r="EU20" i="10"/>
  <c r="EU28" i="10" s="1"/>
  <c r="O109" i="12"/>
  <c r="U109" i="12" s="1"/>
  <c r="I123" i="12"/>
  <c r="O123" i="12" s="1"/>
  <c r="AF41" i="3"/>
  <c r="AF44" i="3"/>
  <c r="AF42" i="3"/>
  <c r="AF39" i="3"/>
  <c r="AF43" i="3"/>
  <c r="AF38" i="3"/>
  <c r="AI38" i="3" s="1"/>
  <c r="AJ38" i="3" s="1"/>
  <c r="H182" i="4" l="1"/>
  <c r="G191" i="4"/>
  <c r="CV12" i="4"/>
  <c r="T179" i="10"/>
  <c r="DJ18" i="10" s="1"/>
  <c r="R56" i="4"/>
  <c r="M59" i="4"/>
  <c r="CU29" i="4"/>
  <c r="CT26" i="4"/>
  <c r="CT27" i="4"/>
  <c r="G191" i="1"/>
  <c r="H16" i="6" s="1"/>
  <c r="H191" i="1"/>
  <c r="M158" i="4"/>
  <c r="R155" i="4"/>
  <c r="I189" i="1"/>
  <c r="J14" i="6" s="1"/>
  <c r="I14" i="6"/>
  <c r="EW28" i="10"/>
  <c r="AO28" i="10"/>
  <c r="O21" i="10"/>
  <c r="J35" i="6" s="1"/>
  <c r="AN20" i="10"/>
  <c r="G113" i="6"/>
  <c r="O114" i="6"/>
  <c r="M113" i="6"/>
  <c r="Z99" i="10"/>
  <c r="Z101" i="10" s="1"/>
  <c r="Z103" i="10" s="1"/>
  <c r="Z96" i="10"/>
  <c r="CU27" i="4" l="1"/>
  <c r="CV29" i="4"/>
  <c r="CU26" i="4"/>
  <c r="R58" i="4"/>
  <c r="M61" i="4"/>
  <c r="M160" i="4"/>
  <c r="R157" i="4"/>
  <c r="M114" i="6"/>
  <c r="G114" i="6"/>
  <c r="O115" i="6"/>
  <c r="I16" i="6"/>
  <c r="I191" i="1"/>
  <c r="J16" i="6" s="1"/>
  <c r="Z105" i="10"/>
  <c r="Z108" i="10"/>
  <c r="Z110" i="10" s="1"/>
  <c r="Z112" i="10" s="1"/>
  <c r="G200" i="4"/>
  <c r="H191" i="4"/>
  <c r="AN28" i="10"/>
  <c r="N21" i="10"/>
  <c r="S6" i="10"/>
  <c r="O29" i="10"/>
  <c r="J43" i="6" s="1"/>
  <c r="T188" i="10"/>
  <c r="DN18" i="10" s="1"/>
  <c r="CZ12" i="4"/>
  <c r="Z117" i="10" l="1"/>
  <c r="Z119" i="10" s="1"/>
  <c r="Z121" i="10" s="1"/>
  <c r="Z114" i="10"/>
  <c r="R159" i="4"/>
  <c r="M165" i="4"/>
  <c r="M163" i="4"/>
  <c r="R161" i="4" s="1"/>
  <c r="M66" i="4"/>
  <c r="M64" i="4"/>
  <c r="R62" i="4" s="1"/>
  <c r="R60" i="4"/>
  <c r="T197" i="10"/>
  <c r="DR18" i="10" s="1"/>
  <c r="DD12" i="4"/>
  <c r="H200" i="4"/>
  <c r="G209" i="4"/>
  <c r="K21" i="10"/>
  <c r="F35" i="6" s="1"/>
  <c r="J21" i="10"/>
  <c r="E35" i="6" s="1"/>
  <c r="I35" i="6"/>
  <c r="M21" i="10"/>
  <c r="H35" i="6" s="1"/>
  <c r="L21" i="10"/>
  <c r="G35" i="6" s="1"/>
  <c r="O116" i="6"/>
  <c r="G115" i="6"/>
  <c r="M115" i="6"/>
  <c r="CV27" i="4"/>
  <c r="CV26" i="4"/>
  <c r="CW29" i="4"/>
  <c r="R6" i="10"/>
  <c r="N29" i="10"/>
  <c r="I43" i="6" s="1"/>
  <c r="R65" i="4" l="1"/>
  <c r="M68" i="4"/>
  <c r="H209" i="4"/>
  <c r="G218" i="4"/>
  <c r="M167" i="4"/>
  <c r="R164" i="4"/>
  <c r="T206" i="10"/>
  <c r="DV18" i="10" s="1"/>
  <c r="DH12" i="4"/>
  <c r="CX29" i="4"/>
  <c r="CW26" i="4"/>
  <c r="CW27" i="4"/>
  <c r="G116" i="6"/>
  <c r="O117" i="6"/>
  <c r="M116" i="6"/>
  <c r="Z126" i="10"/>
  <c r="Z128" i="10" s="1"/>
  <c r="Z130" i="10" s="1"/>
  <c r="Z123" i="10"/>
  <c r="Z225" i="10"/>
  <c r="Z227" i="10" s="1"/>
  <c r="Z229" i="10" s="1"/>
  <c r="Z132" i="10" l="1"/>
  <c r="Z135" i="10"/>
  <c r="Z137" i="10" s="1"/>
  <c r="Z139" i="10" s="1"/>
  <c r="M117" i="6"/>
  <c r="G117" i="6"/>
  <c r="O118" i="6"/>
  <c r="H218" i="4"/>
  <c r="G227" i="4"/>
  <c r="T215" i="10"/>
  <c r="DZ18" i="10" s="1"/>
  <c r="DL12" i="4"/>
  <c r="R166" i="4"/>
  <c r="M169" i="4"/>
  <c r="M70" i="4"/>
  <c r="R67" i="4"/>
  <c r="Z234" i="10"/>
  <c r="Z236" i="10" s="1"/>
  <c r="Z238" i="10" s="1"/>
  <c r="Z231" i="10"/>
  <c r="CX27" i="4"/>
  <c r="CY29" i="4"/>
  <c r="CX26" i="4"/>
  <c r="G118" i="6" l="1"/>
  <c r="M118" i="6"/>
  <c r="O119" i="6"/>
  <c r="R69" i="4"/>
  <c r="M73" i="4"/>
  <c r="R71" i="4" s="1"/>
  <c r="M75" i="4"/>
  <c r="T224" i="10"/>
  <c r="ED18" i="10" s="1"/>
  <c r="DP12" i="4"/>
  <c r="Z240" i="10"/>
  <c r="Z243" i="10"/>
  <c r="Z245" i="10" s="1"/>
  <c r="Z247" i="10" s="1"/>
  <c r="Z249" i="10" s="1"/>
  <c r="Z141" i="10"/>
  <c r="Z144" i="10"/>
  <c r="Z146" i="10" s="1"/>
  <c r="Z148" i="10" s="1"/>
  <c r="H227" i="4"/>
  <c r="G236" i="4"/>
  <c r="M174" i="4"/>
  <c r="R168" i="4"/>
  <c r="M172" i="4"/>
  <c r="R170" i="4" s="1"/>
  <c r="CZ29" i="4"/>
  <c r="CY27" i="4"/>
  <c r="CY26" i="4"/>
  <c r="M176" i="4" l="1"/>
  <c r="R173" i="4"/>
  <c r="T233" i="10"/>
  <c r="EH18" i="10" s="1"/>
  <c r="DT12" i="4"/>
  <c r="R74" i="4"/>
  <c r="M77" i="4"/>
  <c r="Z150" i="10"/>
  <c r="Z153" i="10"/>
  <c r="Z155" i="10" s="1"/>
  <c r="Z157" i="10" s="1"/>
  <c r="O120" i="6"/>
  <c r="G119" i="6"/>
  <c r="M119" i="6"/>
  <c r="H236" i="4"/>
  <c r="G259" i="4"/>
  <c r="G266" i="4" s="1"/>
  <c r="G273" i="4" s="1"/>
  <c r="G280" i="4" s="1"/>
  <c r="CZ27" i="4"/>
  <c r="DA29" i="4"/>
  <c r="CZ26" i="4"/>
  <c r="Z162" i="10" l="1"/>
  <c r="Z164" i="10" s="1"/>
  <c r="Z166" i="10" s="1"/>
  <c r="Z159" i="10"/>
  <c r="M79" i="4"/>
  <c r="R76" i="4"/>
  <c r="DA26" i="4"/>
  <c r="DA27" i="4"/>
  <c r="DB29" i="4"/>
  <c r="DX12" i="4"/>
  <c r="T242" i="10"/>
  <c r="EL18" i="10" s="1"/>
  <c r="G120" i="6"/>
  <c r="O121" i="6"/>
  <c r="M120" i="6"/>
  <c r="M178" i="4"/>
  <c r="R175" i="4"/>
  <c r="DB27" i="4" l="1"/>
  <c r="DB26" i="4"/>
  <c r="DC29" i="4"/>
  <c r="R177" i="4"/>
  <c r="M181" i="4"/>
  <c r="R179" i="4" s="1"/>
  <c r="M183" i="4"/>
  <c r="G121" i="6"/>
  <c r="M121" i="6"/>
  <c r="O122" i="6"/>
  <c r="M82" i="4"/>
  <c r="R80" i="4" s="1"/>
  <c r="M84" i="4"/>
  <c r="R78" i="4"/>
  <c r="Z171" i="10"/>
  <c r="Z173" i="10" s="1"/>
  <c r="Z175" i="10" s="1"/>
  <c r="Z168" i="10"/>
  <c r="Z180" i="10" l="1"/>
  <c r="Z182" i="10" s="1"/>
  <c r="Z184" i="10" s="1"/>
  <c r="Z177" i="10"/>
  <c r="M86" i="4"/>
  <c r="R83" i="4"/>
  <c r="DC26" i="4"/>
  <c r="DD29" i="4"/>
  <c r="DC27" i="4"/>
  <c r="R182" i="4"/>
  <c r="M185" i="4"/>
  <c r="M122" i="6"/>
  <c r="M123" i="6" s="1"/>
  <c r="J142" i="6" s="1"/>
  <c r="L180" i="6" s="1"/>
  <c r="G122" i="6"/>
  <c r="R85" i="4" l="1"/>
  <c r="M88" i="4"/>
  <c r="DE29" i="4"/>
  <c r="DD26" i="4"/>
  <c r="DD27" i="4"/>
  <c r="M187" i="4"/>
  <c r="R184" i="4"/>
  <c r="Z189" i="10"/>
  <c r="Z191" i="10" s="1"/>
  <c r="Z193" i="10" s="1"/>
  <c r="Z186" i="10"/>
  <c r="M190" i="4" l="1"/>
  <c r="R188" i="4" s="1"/>
  <c r="M192" i="4"/>
  <c r="R186" i="4"/>
  <c r="DF29" i="4"/>
  <c r="DE26" i="4"/>
  <c r="DE27" i="4"/>
  <c r="Z195" i="10"/>
  <c r="Z198" i="10"/>
  <c r="Z200" i="10" s="1"/>
  <c r="Z202" i="10" s="1"/>
  <c r="M91" i="4"/>
  <c r="R89" i="4" s="1"/>
  <c r="M93" i="4"/>
  <c r="R87" i="4"/>
  <c r="Z207" i="10" l="1"/>
  <c r="Z209" i="10" s="1"/>
  <c r="Z211" i="10" s="1"/>
  <c r="Z204" i="10"/>
  <c r="DF26" i="4"/>
  <c r="DG29" i="4"/>
  <c r="DF27" i="4"/>
  <c r="M95" i="4"/>
  <c r="R92" i="4"/>
  <c r="M194" i="4"/>
  <c r="R191" i="4"/>
  <c r="M196" i="4" l="1"/>
  <c r="R193" i="4"/>
  <c r="M97" i="4"/>
  <c r="R94" i="4"/>
  <c r="DG26" i="4"/>
  <c r="DH29" i="4"/>
  <c r="DG27" i="4"/>
  <c r="Z213" i="10"/>
  <c r="Z216" i="10"/>
  <c r="Z218" i="10" s="1"/>
  <c r="Z220" i="10" s="1"/>
  <c r="Z222" i="10" s="1"/>
  <c r="DH27" i="4" l="1"/>
  <c r="DI29" i="4"/>
  <c r="DH26" i="4"/>
  <c r="M100" i="4"/>
  <c r="R98" i="4" s="1"/>
  <c r="M102" i="4"/>
  <c r="R96" i="4"/>
  <c r="R195" i="4"/>
  <c r="M201" i="4"/>
  <c r="M199" i="4"/>
  <c r="R197" i="4" s="1"/>
  <c r="DI26" i="4" l="1"/>
  <c r="DJ29" i="4"/>
  <c r="DI27" i="4"/>
  <c r="M203" i="4"/>
  <c r="R200" i="4"/>
  <c r="R101" i="4"/>
  <c r="M104" i="4"/>
  <c r="M205" i="4" l="1"/>
  <c r="R202" i="4"/>
  <c r="DJ27" i="4"/>
  <c r="DJ26" i="4"/>
  <c r="DK29" i="4"/>
  <c r="M106" i="4"/>
  <c r="R103" i="4"/>
  <c r="M109" i="4" l="1"/>
  <c r="R107" i="4" s="1"/>
  <c r="R105" i="4"/>
  <c r="M111" i="4"/>
  <c r="DK27" i="4"/>
  <c r="DL29" i="4"/>
  <c r="DK26" i="4"/>
  <c r="M208" i="4"/>
  <c r="R206" i="4" s="1"/>
  <c r="M210" i="4"/>
  <c r="R204" i="4"/>
  <c r="R209" i="4" l="1"/>
  <c r="M212" i="4"/>
  <c r="M113" i="4"/>
  <c r="R110" i="4"/>
  <c r="DM29" i="4"/>
  <c r="DL26" i="4"/>
  <c r="DL27" i="4"/>
  <c r="R112" i="4" l="1"/>
  <c r="M115" i="4"/>
  <c r="DN29" i="4"/>
  <c r="DM26" i="4"/>
  <c r="DM27" i="4"/>
  <c r="R211" i="4"/>
  <c r="M214" i="4"/>
  <c r="M219" i="4" l="1"/>
  <c r="M217" i="4"/>
  <c r="R215" i="4" s="1"/>
  <c r="R213" i="4"/>
  <c r="DN26" i="4"/>
  <c r="DN27" i="4"/>
  <c r="DO29" i="4"/>
  <c r="M120" i="4"/>
  <c r="M118" i="4"/>
  <c r="R116" i="4" s="1"/>
  <c r="R114" i="4"/>
  <c r="M122" i="4" l="1"/>
  <c r="R119" i="4"/>
  <c r="DO26" i="4"/>
  <c r="DO27" i="4"/>
  <c r="DP29" i="4"/>
  <c r="R218" i="4"/>
  <c r="M221" i="4"/>
  <c r="M223" i="4" l="1"/>
  <c r="R220" i="4"/>
  <c r="DQ29" i="4"/>
  <c r="DP26" i="4"/>
  <c r="DP27" i="4"/>
  <c r="M124" i="4"/>
  <c r="R121" i="4"/>
  <c r="M127" i="4" l="1"/>
  <c r="R125" i="4" s="1"/>
  <c r="R123" i="4"/>
  <c r="DQ27" i="4"/>
  <c r="DQ26" i="4"/>
  <c r="DR29" i="4"/>
  <c r="R222" i="4"/>
  <c r="M226" i="4"/>
  <c r="R224" i="4" s="1"/>
  <c r="M228" i="4"/>
  <c r="M230" i="4" l="1"/>
  <c r="R227" i="4"/>
  <c r="DR27" i="4"/>
  <c r="DR26" i="4"/>
  <c r="DS29" i="4"/>
  <c r="DT29" i="4" l="1"/>
  <c r="DS27" i="4"/>
  <c r="DS26" i="4"/>
  <c r="M232" i="4"/>
  <c r="R229" i="4"/>
  <c r="R231" i="4" l="1"/>
  <c r="M235" i="4"/>
  <c r="R233" i="4" s="1"/>
  <c r="M237" i="4"/>
  <c r="DT26" i="4"/>
  <c r="DT27" i="4"/>
  <c r="DU29" i="4"/>
  <c r="DV29" i="4" l="1"/>
  <c r="DU26" i="4"/>
  <c r="DU27" i="4"/>
  <c r="M239" i="4"/>
  <c r="R236" i="4"/>
  <c r="M241" i="4" l="1"/>
  <c r="R238" i="4"/>
  <c r="DV26" i="4"/>
  <c r="DV27" i="4"/>
  <c r="DW29" i="4"/>
  <c r="DW27" i="4" l="1"/>
  <c r="DW26" i="4"/>
  <c r="DX29" i="4"/>
  <c r="M244" i="4"/>
  <c r="R242" i="4" s="1"/>
  <c r="R240" i="4"/>
  <c r="DY29" i="4" l="1"/>
  <c r="DX26" i="4"/>
  <c r="DX27" i="4"/>
  <c r="DY27" i="4" l="1"/>
  <c r="DZ29" i="4"/>
  <c r="DY26" i="4"/>
  <c r="DZ26" i="4" l="1"/>
  <c r="DZ27" i="4"/>
  <c r="EA29" i="4"/>
  <c r="EA27" i="4" l="1"/>
  <c r="EA26" i="4"/>
</calcChain>
</file>

<file path=xl/sharedStrings.xml><?xml version="1.0" encoding="utf-8"?>
<sst xmlns="http://schemas.openxmlformats.org/spreadsheetml/2006/main" count="4802" uniqueCount="1636">
  <si>
    <t>Descrição do bloco:</t>
  </si>
  <si>
    <t>Victor Barros Pedreira Ferreira (VMordekai)</t>
  </si>
  <si>
    <t>Atualizada em:</t>
  </si>
  <si>
    <t>BETA</t>
  </si>
  <si>
    <t>e-mail: vmordekai@hotmail.com. Tel &amp; Whatssap: (41) 99758-4893</t>
  </si>
  <si>
    <t>VERSÃO</t>
  </si>
  <si>
    <t>Leitura dos dados</t>
  </si>
  <si>
    <t>Supondo Dados de Operação Ao Mês do Revendedor</t>
  </si>
  <si>
    <t>Dias úteis</t>
  </si>
  <si>
    <t>valores fixos (escritos pelo usuário)</t>
  </si>
  <si>
    <t>A B C</t>
  </si>
  <si>
    <t>valores calculados ou dependentes de outra célula</t>
  </si>
  <si>
    <t>T1</t>
  </si>
  <si>
    <t>PRECIFICAÇÃO</t>
  </si>
  <si>
    <t>Preço de Venda</t>
  </si>
  <si>
    <t>Notas e observações</t>
  </si>
  <si>
    <t>Metas</t>
  </si>
  <si>
    <t>Arranjo da Produção</t>
  </si>
  <si>
    <t>Despesas Físicas</t>
  </si>
  <si>
    <t>Neutras</t>
  </si>
  <si>
    <t>Orçamentos da Produção /Unidade</t>
  </si>
  <si>
    <t>Correto</t>
  </si>
  <si>
    <t>Margem de Contribuição (MC)</t>
  </si>
  <si>
    <t>PROCESSOS</t>
  </si>
  <si>
    <t>Incorreto</t>
  </si>
  <si>
    <t>Custo de produção/ Unidade</t>
  </si>
  <si>
    <t>Controles de cálculos, números livres, encerramento de tabela ou parte</t>
  </si>
  <si>
    <t>Tempo de Produção (em horas) /Unidade</t>
  </si>
  <si>
    <t>RELÓGIO</t>
  </si>
  <si>
    <t xml:space="preserve">Segundos </t>
  </si>
  <si>
    <t>h</t>
  </si>
  <si>
    <t>min</t>
  </si>
  <si>
    <t>seg</t>
  </si>
  <si>
    <t>Destaques livres ou estéticos</t>
  </si>
  <si>
    <t>Cores diversas</t>
  </si>
  <si>
    <t>¹Operação Principal</t>
  </si>
  <si>
    <t>Costura</t>
  </si>
  <si>
    <t>²Operação Secundária</t>
  </si>
  <si>
    <t>Auxiliar</t>
  </si>
  <si>
    <t>Subtotal</t>
  </si>
  <si>
    <t>³Tempo improdutivo (funcionário/dia)</t>
  </si>
  <si>
    <t>Funcionários</t>
  </si>
  <si>
    <t>Estatísticas da Produção</t>
  </si>
  <si>
    <t>Quantidade</t>
  </si>
  <si>
    <t>Capacidade Efetiva desse produto (%)</t>
  </si>
  <si>
    <t>Média salarial mensal bruta</t>
  </si>
  <si>
    <t>Quantidade produzida por mês</t>
  </si>
  <si>
    <t>Outros</t>
  </si>
  <si>
    <t>Mês de referência:</t>
  </si>
  <si>
    <t>(mês)</t>
  </si>
  <si>
    <t>Produção/dia</t>
  </si>
  <si>
    <t>PRODUÇÃO DE LOTE</t>
  </si>
  <si>
    <t>Última atualização</t>
  </si>
  <si>
    <t>(data)</t>
  </si>
  <si>
    <t>Carrinhos de abastecimento/dia</t>
  </si>
  <si>
    <t>TEMPO PARA FAZER</t>
  </si>
  <si>
    <t>Unidades</t>
  </si>
  <si>
    <t>Outras Despesas ou Investimentos</t>
  </si>
  <si>
    <t>Total de produtos recolhidos por Carrinhos</t>
  </si>
  <si>
    <t>TOTAL</t>
  </si>
  <si>
    <t>DIAS</t>
  </si>
  <si>
    <t>SIM</t>
  </si>
  <si>
    <t>Dias úteis de Produção</t>
  </si>
  <si>
    <t>publicidade e propaganda</t>
  </si>
  <si>
    <t>Custos (Insumos, Matéria-Prima)</t>
  </si>
  <si>
    <t>Empréstimos e Taxas</t>
  </si>
  <si>
    <t>*Despesas Físicas</t>
  </si>
  <si>
    <t>CELULAR</t>
  </si>
  <si>
    <t>Despesas com Funcionários</t>
  </si>
  <si>
    <t>Outras Despesas</t>
  </si>
  <si>
    <t>Dados gerais da empresa</t>
  </si>
  <si>
    <t>Despesa Total</t>
  </si>
  <si>
    <t>Montante</t>
  </si>
  <si>
    <t>Receita Mensal</t>
  </si>
  <si>
    <t>Dias úteis/mês em operação</t>
  </si>
  <si>
    <t>Parâmetros do Revendedor</t>
  </si>
  <si>
    <t>OPERAÇÃO</t>
  </si>
  <si>
    <t>Utilização da Capacidade (%)</t>
  </si>
  <si>
    <t>Funcionarios</t>
  </si>
  <si>
    <t>Preço de venda direto e sugestão de revenda</t>
  </si>
  <si>
    <r>
      <rPr>
        <sz val="11"/>
        <color rgb="FFC00000"/>
        <rFont val="Calibri"/>
        <family val="2"/>
      </rPr>
      <t>└</t>
    </r>
    <r>
      <rPr>
        <sz val="11"/>
        <color rgb="FFC00000"/>
        <rFont val="Calibri"/>
        <family val="2"/>
        <scheme val="minor"/>
      </rPr>
      <t>Tolerância da Capacidade (%)</t>
    </r>
  </si>
  <si>
    <t>Operador Principal</t>
  </si>
  <si>
    <t>Ao Mês</t>
  </si>
  <si>
    <t>Vendas por dia</t>
  </si>
  <si>
    <t>MCAE*</t>
  </si>
  <si>
    <t>s</t>
  </si>
  <si>
    <t>Preços</t>
  </si>
  <si>
    <t>fator (%)</t>
  </si>
  <si>
    <t>Valor (R$)</t>
  </si>
  <si>
    <t>Quant.</t>
  </si>
  <si>
    <t>Lucro Desejado (%)</t>
  </si>
  <si>
    <t>Carga horária por funcionário/dia</t>
  </si>
  <si>
    <t>Preço sugerido para revenda</t>
  </si>
  <si>
    <t>*MCAE - Margem de Contribuição para Ações Estratégicas</t>
  </si>
  <si>
    <t>Quantidade de Costureiras (os)</t>
  </si>
  <si>
    <t>fatores</t>
  </si>
  <si>
    <t>(-) Impostos s/Vendas</t>
  </si>
  <si>
    <t>(-) Custo das Mercadorias Vendidas</t>
  </si>
  <si>
    <t>¹ Operação deve estar com margem de tolerância</t>
  </si>
  <si>
    <t>(-) Despesas Variáveis</t>
  </si>
  <si>
    <t>Salário Mínimo Vigente</t>
  </si>
  <si>
    <t>² Não determina a Produção OU a Operação que pode ser terceirizada</t>
  </si>
  <si>
    <t>(=) Margem de Contribuição (Final)</t>
  </si>
  <si>
    <t>Total</t>
  </si>
  <si>
    <t>³ Paradas programadas e não programadas, exemplo: 30 min e 15 min, respectivamente</t>
  </si>
  <si>
    <t>(-) Despesas Fixas</t>
  </si>
  <si>
    <t xml:space="preserve"> Valor</t>
  </si>
  <si>
    <t>%</t>
  </si>
  <si>
    <t>* Despesas estimadas na cidade de Curitiba, Paraná.</t>
  </si>
  <si>
    <t>(=) Lucro</t>
  </si>
  <si>
    <t>expediente de trabalho*</t>
  </si>
  <si>
    <t>fonte:</t>
  </si>
  <si>
    <t xml:space="preserve"> http://revistapegn.globo.com/Revista/Common/0,,EMI91389-17198,00-COMO+CALCULAR+A+MARGEM+DE+LUCRO+DE+UM+PRODUTO.html</t>
  </si>
  <si>
    <t xml:space="preserve"> funcionarios, quantidade </t>
  </si>
  <si>
    <t>Salário Bruto Médio</t>
  </si>
  <si>
    <t>Vale Transporte</t>
  </si>
  <si>
    <t>Outro Benefícios</t>
  </si>
  <si>
    <t>T2</t>
  </si>
  <si>
    <t>Vale Refeição | Alimentação</t>
  </si>
  <si>
    <t>Plano de Saúde</t>
  </si>
  <si>
    <t>Desconto Vale Transporte</t>
  </si>
  <si>
    <t>FGTS</t>
  </si>
  <si>
    <t>13º Salário</t>
  </si>
  <si>
    <t>13º Salário - FGTS</t>
  </si>
  <si>
    <t>Férias</t>
  </si>
  <si>
    <t xml:space="preserve">segundos </t>
  </si>
  <si>
    <t>1/3 Férias</t>
  </si>
  <si>
    <t>Férias - FGTS</t>
  </si>
  <si>
    <t xml:space="preserve">*Depende da categoria | Vide o final da tabela </t>
  </si>
  <si>
    <t>Operação Principal</t>
  </si>
  <si>
    <t>Costureir@</t>
  </si>
  <si>
    <t>Expediente de trabalho</t>
  </si>
  <si>
    <t xml:space="preserve">Funcionários, quantidade </t>
  </si>
  <si>
    <t>Salário Bruto</t>
  </si>
  <si>
    <t>Referência Salário Mínimo (%)</t>
  </si>
  <si>
    <t xml:space="preserve"> </t>
  </si>
  <si>
    <t>Operação Secundária</t>
  </si>
  <si>
    <t>Aux. de Costura | Cortador (a)</t>
  </si>
  <si>
    <t>³ Paradas programadas e não programadas, 30 min e 15 min, respectivamente</t>
  </si>
  <si>
    <t>Outros Profissionais, Cargos &amp; Funções</t>
  </si>
  <si>
    <t>referências de salários, ver NOTA</t>
  </si>
  <si>
    <t>Desenhista de Moda</t>
  </si>
  <si>
    <t>Estagiários</t>
  </si>
  <si>
    <t>Assistente de Compras</t>
  </si>
  <si>
    <t>Coordenador de pedidos e Entradas</t>
  </si>
  <si>
    <t>Secretária Geral | Auxiliar Administrativo</t>
  </si>
  <si>
    <t>Auxiliar de Produção | Passadeiro (a)</t>
  </si>
  <si>
    <t>Auxiliar de Logística</t>
  </si>
  <si>
    <t>Extra: Exemplo, Pró-Labore</t>
  </si>
  <si>
    <t>Aluguel</t>
  </si>
  <si>
    <t>m²</t>
  </si>
  <si>
    <t>Eletricidade</t>
  </si>
  <si>
    <t>Telefonia</t>
  </si>
  <si>
    <t>Seguro</t>
  </si>
  <si>
    <t>Publicidade e Propaganda</t>
  </si>
  <si>
    <t>(nome da despesa)</t>
  </si>
  <si>
    <t>Outros critérios a serem avaliados</t>
  </si>
  <si>
    <t>Nome</t>
  </si>
  <si>
    <t>Valor</t>
  </si>
  <si>
    <t>observação</t>
  </si>
  <si>
    <t>Salário Mínimo 2020</t>
  </si>
  <si>
    <t>1008*</t>
  </si>
  <si>
    <t>Salário Mínimo Previsto 2019</t>
  </si>
  <si>
    <t>1006*</t>
  </si>
  <si>
    <t>Salário Mínimo 2018</t>
  </si>
  <si>
    <t>969*</t>
  </si>
  <si>
    <t>Passagem de Ônibus</t>
  </si>
  <si>
    <t>Ida e Volta</t>
  </si>
  <si>
    <t>Notas</t>
  </si>
  <si>
    <t xml:space="preserve">média salarial pelo site: </t>
  </si>
  <si>
    <t>https://www.trabalhabrasil.com.br/media-salarial</t>
  </si>
  <si>
    <t>Norteamento</t>
  </si>
  <si>
    <t>*Para cálculos pariativo de despesas com funcionpários</t>
  </si>
  <si>
    <t>*Essa é a base de relação salarial proposta pelo site https://www.fpag.com.br/calculos_trabalhistas/custo_funcionario</t>
  </si>
  <si>
    <t>Versão da Planilha</t>
  </si>
  <si>
    <t>Modelista</t>
  </si>
  <si>
    <t>Victor Ferreira</t>
  </si>
  <si>
    <t>By Victor Ferreira</t>
  </si>
  <si>
    <t>Dados:</t>
  </si>
  <si>
    <t>DESCRIÇÃO GERAL</t>
  </si>
  <si>
    <t>DIMENSÕES (cm)</t>
  </si>
  <si>
    <t>OBSERVAÇÕES ADICIONAIS</t>
  </si>
  <si>
    <t>Base</t>
  </si>
  <si>
    <t xml:space="preserve">Margem </t>
  </si>
  <si>
    <t>Alça</t>
  </si>
  <si>
    <t>Alça Dupla</t>
  </si>
  <si>
    <t>Alça Largura</t>
  </si>
  <si>
    <t>Vivo</t>
  </si>
  <si>
    <t>Entretela</t>
  </si>
  <si>
    <t>NÃO</t>
  </si>
  <si>
    <t>TECIDOS</t>
  </si>
  <si>
    <t>PLANILHAS REVISADAS?</t>
  </si>
  <si>
    <t>MODELAGEM</t>
  </si>
  <si>
    <t>TIPO DE ORÇAMENTO POR:</t>
  </si>
  <si>
    <t>ENFESTO</t>
  </si>
  <si>
    <t>Descrição</t>
  </si>
  <si>
    <t>TIPO</t>
  </si>
  <si>
    <t>FORNECEDOR</t>
  </si>
  <si>
    <t>QUANTIDADE*</t>
  </si>
  <si>
    <t>Largura (cm)</t>
  </si>
  <si>
    <t>Consumo</t>
  </si>
  <si>
    <t>TIPO DE ORÇAMENTO DE TECIDOS POR:</t>
  </si>
  <si>
    <t>Tec. Principal</t>
  </si>
  <si>
    <t>MOLDES</t>
  </si>
  <si>
    <t>Tipos</t>
  </si>
  <si>
    <t>Recomendação</t>
  </si>
  <si>
    <t>Características</t>
  </si>
  <si>
    <t>INDIVIDUAL</t>
  </si>
  <si>
    <t>Máximo de aproveitamento</t>
  </si>
  <si>
    <t>Considera moldes CORTADOS individualmente</t>
  </si>
  <si>
    <t>LOTE OU EXCLUSIVO</t>
  </si>
  <si>
    <t>Aproveitamento limitado pelo LOTE</t>
  </si>
  <si>
    <t>Considera consumo total do material</t>
  </si>
  <si>
    <t>MISTO</t>
  </si>
  <si>
    <t>CONDICIONAL</t>
  </si>
  <si>
    <t>Varia por material empregado</t>
  </si>
  <si>
    <t>Características mistas</t>
  </si>
  <si>
    <r>
      <t xml:space="preserve">*QUANTIDADE: </t>
    </r>
    <r>
      <rPr>
        <b/>
        <sz val="11"/>
        <rFont val="Calibri"/>
        <family val="2"/>
        <scheme val="minor"/>
      </rPr>
      <t>peças fechadas</t>
    </r>
    <r>
      <rPr>
        <sz val="11"/>
        <rFont val="Calibri"/>
        <family val="2"/>
        <scheme val="minor"/>
      </rPr>
      <t xml:space="preserve"> ou </t>
    </r>
    <r>
      <rPr>
        <b/>
        <sz val="11"/>
        <rFont val="Calibri"/>
        <family val="2"/>
        <scheme val="minor"/>
      </rPr>
      <t>metro</t>
    </r>
    <r>
      <rPr>
        <sz val="11"/>
        <rFont val="Calibri"/>
        <family val="2"/>
        <scheme val="minor"/>
      </rPr>
      <t xml:space="preserve"> por ENFESTO</t>
    </r>
  </si>
  <si>
    <t>AVIAMENTOS</t>
  </si>
  <si>
    <t>Quant*</t>
  </si>
  <si>
    <t>Caneta Mágica</t>
  </si>
  <si>
    <t>Fio de costura</t>
  </si>
  <si>
    <t xml:space="preserve">  </t>
  </si>
  <si>
    <r>
      <t>*Medidas em</t>
    </r>
    <r>
      <rPr>
        <b/>
        <sz val="11"/>
        <color theme="1"/>
        <rFont val="Calibri"/>
        <family val="2"/>
        <scheme val="minor"/>
      </rPr>
      <t xml:space="preserve"> metro</t>
    </r>
    <r>
      <rPr>
        <sz val="11"/>
        <color theme="1"/>
        <rFont val="Calibri"/>
        <family val="2"/>
        <scheme val="minor"/>
      </rPr>
      <t xml:space="preserve"> ou em quantidade escalar de peças</t>
    </r>
  </si>
  <si>
    <t>EMBALAGENS (DE PRODUÇÃO)</t>
  </si>
  <si>
    <t>QUANTIDADE DE PEÇAS NA MESMA EMBALAGEM:</t>
  </si>
  <si>
    <t>Individual</t>
  </si>
  <si>
    <t>Data</t>
  </si>
  <si>
    <t>Nota</t>
  </si>
  <si>
    <t>PREÇO FINAL</t>
  </si>
  <si>
    <t>Conclusão</t>
  </si>
  <si>
    <t>DESCONTO (%)</t>
  </si>
  <si>
    <t>QUANTIDADE</t>
  </si>
  <si>
    <t>BASE</t>
  </si>
  <si>
    <t>LOTE</t>
  </si>
  <si>
    <t>UNITÁTIO</t>
  </si>
  <si>
    <t>CONSUMO DE TECIDO POR MOLDE</t>
  </si>
  <si>
    <t>ENCOMENDA</t>
  </si>
  <si>
    <t>MÍNIMO IDEAL</t>
  </si>
  <si>
    <t>TECIDO</t>
  </si>
  <si>
    <t>MOLDE</t>
  </si>
  <si>
    <t>Tipo</t>
  </si>
  <si>
    <t>TECIDO TOTAL</t>
  </si>
  <si>
    <t>Comprimento</t>
  </si>
  <si>
    <t>Largura</t>
  </si>
  <si>
    <t>Máximo</t>
  </si>
  <si>
    <t>LOTE MÍNIMO</t>
  </si>
  <si>
    <t>Molde</t>
  </si>
  <si>
    <t>CÁLCULO DE CONSUMO</t>
  </si>
  <si>
    <t>LISTA DE TECIDOS</t>
  </si>
  <si>
    <t>Moldes Consumo</t>
  </si>
  <si>
    <t>Soma Total</t>
  </si>
  <si>
    <t>Legendas</t>
  </si>
  <si>
    <t>No rótulo do PROCESSO, escolha as opções  para sinalizar uso do quadro</t>
  </si>
  <si>
    <t>Escreva os FORNECEDORES nos quadros de Materiais com LETRAS MAIÚSCULAS. Escrever materiais iniciando com letras MAIÚSCULAS.</t>
  </si>
  <si>
    <t>Todas as medidas devem estar em centímetros (cm).</t>
  </si>
  <si>
    <t>CONSUMO TOTAL</t>
  </si>
  <si>
    <t>DIMENSÕES (cm) e Parâmetros</t>
  </si>
  <si>
    <t>Determinando tecido para o VIVO</t>
  </si>
  <si>
    <t>Quant</t>
  </si>
  <si>
    <t>Book</t>
  </si>
  <si>
    <t>VIVO POR MOLDE DA BASE (cm):</t>
  </si>
  <si>
    <t>QUANTIDADE DE MOLDES POR PEÇA</t>
  </si>
  <si>
    <t>LOTE (ENCOMENDA)</t>
  </si>
  <si>
    <t>Margem_2</t>
  </si>
  <si>
    <t>LARGURA DO VIVO (cm)</t>
  </si>
  <si>
    <t>Margem_3</t>
  </si>
  <si>
    <t>-</t>
  </si>
  <si>
    <t>LARGURA DO TECIDO (cm)</t>
  </si>
  <si>
    <t>LOGO, RENDE EM FITAS</t>
  </si>
  <si>
    <t>COMPR. TECIDO NECESSÁRIO (m)</t>
  </si>
  <si>
    <t>*Adicionado +1cm de MARGEM por PEÇA</t>
  </si>
  <si>
    <t>TIPO DE ORÇAMENTO DE TECIDOS</t>
  </si>
  <si>
    <t>m</t>
  </si>
  <si>
    <t>R$</t>
  </si>
  <si>
    <t>Considera moldes individualmente</t>
  </si>
  <si>
    <t>Aproveitamento limitado</t>
  </si>
  <si>
    <t>RESUMO</t>
  </si>
  <si>
    <t>CONSUMO DE TECIDO POR MOLDES</t>
  </si>
  <si>
    <t>METRO NECESSÁRIO</t>
  </si>
  <si>
    <t>MARGEM ENFESTO</t>
  </si>
  <si>
    <t>MATERIAL</t>
  </si>
  <si>
    <t>(m)</t>
  </si>
  <si>
    <t>(R$)</t>
  </si>
  <si>
    <t>Metros</t>
  </si>
  <si>
    <t>CONSUMO DE TECIDO POR ENFESTO</t>
  </si>
  <si>
    <t>Tamanho Mesa (m)</t>
  </si>
  <si>
    <t>CUSTOS</t>
  </si>
  <si>
    <t>ENCAIXES</t>
  </si>
  <si>
    <t>Comprimento (cm)</t>
  </si>
  <si>
    <t>Tamanho Mesa (em Metro)</t>
  </si>
  <si>
    <t>Máximo COMPRIMENTO</t>
  </si>
  <si>
    <t>Máximo Largura</t>
  </si>
  <si>
    <t>QUANT. Folhas</t>
  </si>
  <si>
    <t>Unidades a COMPLETAR</t>
  </si>
  <si>
    <t>METROS</t>
  </si>
  <si>
    <t>Arranjo pro PROCESSOS OU MISTO</t>
  </si>
  <si>
    <t>OPERAÇÃO PRINCIPAL</t>
  </si>
  <si>
    <t>NOTAS</t>
  </si>
  <si>
    <t>DATA</t>
  </si>
  <si>
    <t>A</t>
  </si>
  <si>
    <t>ATIVO</t>
  </si>
  <si>
    <t>Pilotista</t>
  </si>
  <si>
    <t>Tempo (min)</t>
  </si>
  <si>
    <t>B</t>
  </si>
  <si>
    <t>NOTA</t>
  </si>
  <si>
    <t>Corte</t>
  </si>
  <si>
    <t>C</t>
  </si>
  <si>
    <t>D</t>
  </si>
  <si>
    <t>E</t>
  </si>
  <si>
    <t>Tempo Total (h)</t>
  </si>
  <si>
    <t>Total Processos</t>
  </si>
  <si>
    <t>F</t>
  </si>
  <si>
    <t>Hora</t>
  </si>
  <si>
    <t>Min</t>
  </si>
  <si>
    <t>Seg</t>
  </si>
  <si>
    <t>G</t>
  </si>
  <si>
    <t>Sub Processos</t>
  </si>
  <si>
    <t>H</t>
  </si>
  <si>
    <t>Operação</t>
  </si>
  <si>
    <t>Segundos</t>
  </si>
  <si>
    <t>I</t>
  </si>
  <si>
    <t>J</t>
  </si>
  <si>
    <t>K</t>
  </si>
  <si>
    <t>Pesponto</t>
  </si>
  <si>
    <t>L</t>
  </si>
  <si>
    <t>Escreva as MÁQUINAS no quadro de descrição das atividade com LETRAS MAIÚSCULAS.</t>
  </si>
  <si>
    <t>M</t>
  </si>
  <si>
    <t>Responsáveis pelas células</t>
  </si>
  <si>
    <t>Status</t>
  </si>
  <si>
    <t>Célula</t>
  </si>
  <si>
    <t>NOME</t>
  </si>
  <si>
    <t>RETA</t>
  </si>
  <si>
    <t>OPERAÇÃO SECUNDÁRIA</t>
  </si>
  <si>
    <t>Legenda</t>
  </si>
  <si>
    <t>In put</t>
  </si>
  <si>
    <t>out put</t>
  </si>
  <si>
    <t xml:space="preserve">Revisão </t>
  </si>
  <si>
    <t>Limpeza</t>
  </si>
  <si>
    <t>Arranjo CELULAR</t>
  </si>
  <si>
    <t>ETAPA</t>
  </si>
  <si>
    <t>Processo</t>
  </si>
  <si>
    <t>Início</t>
  </si>
  <si>
    <t>Término</t>
  </si>
  <si>
    <t xml:space="preserve">Data </t>
  </si>
  <si>
    <t>Observação</t>
  </si>
  <si>
    <t>PARÂMETROS DE CÁLCULO</t>
  </si>
  <si>
    <t>TEMPO IDEAL</t>
  </si>
  <si>
    <t>PRINCIPAL</t>
  </si>
  <si>
    <t>SECUNDÁRIA</t>
  </si>
  <si>
    <t>Tipo de Operação</t>
  </si>
  <si>
    <t>TOTAL PROCESSOS</t>
  </si>
  <si>
    <t>Pausas Programadas</t>
  </si>
  <si>
    <t>Tempo Total por Processos</t>
  </si>
  <si>
    <t>Tempo Total (Início - Término)</t>
  </si>
  <si>
    <t>Dias</t>
  </si>
  <si>
    <t>Estoque</t>
  </si>
  <si>
    <t>Tipos de Materiais</t>
  </si>
  <si>
    <t>Tipo do Material</t>
  </si>
  <si>
    <t>Cores &amp; Textura</t>
  </si>
  <si>
    <t>Preço unitário</t>
  </si>
  <si>
    <t>Descontinuado?</t>
  </si>
  <si>
    <t>Observações (NOTAS)</t>
  </si>
  <si>
    <t>Níquel</t>
  </si>
  <si>
    <t>Diversos</t>
  </si>
  <si>
    <t/>
  </si>
  <si>
    <t>CONDIÇÃO</t>
  </si>
  <si>
    <t>EXEMPLO "ARRANJO POR PROCESSOS"</t>
  </si>
  <si>
    <t>PRECIFICAÇÃO POR PROCESSOS?</t>
  </si>
  <si>
    <t>ATENÇÃO: VERSÃO BETA = PRECIFICAÇÃO POR PROCESSOS! Se você estiver usando essas planilhas, entre em contato para dicas, sugestões ou atualizações. Versão nas descrições.</t>
  </si>
  <si>
    <t>Mínimo sugerido (LOTE IDEAL):</t>
  </si>
  <si>
    <t>Quantidade a Ser Produzida (LOTE REAL):</t>
  </si>
  <si>
    <t>Consumo de Material:</t>
  </si>
  <si>
    <t>MARKUP - Fator Multiplicador:</t>
  </si>
  <si>
    <t>Observações</t>
  </si>
  <si>
    <t>PRÉVIA</t>
  </si>
  <si>
    <t>VALOR (R$/m)</t>
  </si>
  <si>
    <t>MATERIAL:</t>
  </si>
  <si>
    <t>COMPRIMENTO TOTAL DE VIVO (cm)*</t>
  </si>
  <si>
    <t>VIVO PRONTO:</t>
  </si>
  <si>
    <t>OUTROS AVIAMENTOS</t>
  </si>
  <si>
    <t>ADICIONAR TECIDO AO ORÇAMENTO?</t>
  </si>
  <si>
    <t>Custos</t>
  </si>
  <si>
    <t>ACRÉSCIMOS FINAIS &amp; EXPEDIÇÃO</t>
  </si>
  <si>
    <t>DESCRIÇÃO</t>
  </si>
  <si>
    <t>CORREIOS</t>
  </si>
  <si>
    <t>CAIXA DE PAPELÃO</t>
  </si>
  <si>
    <t>30H x 40B x 25L</t>
  </si>
  <si>
    <t>PAC: CWB-PR/BH-MG</t>
  </si>
  <si>
    <t>Nº</t>
  </si>
  <si>
    <t>Quant (m)*</t>
  </si>
  <si>
    <t>Consumo*</t>
  </si>
  <si>
    <t>*Valores (em azul) definidos na planilha de MODELAGEM</t>
  </si>
  <si>
    <t>CÓPIA PARA EXPORTAÇÃO - CONSUMO DE MATERIAIS: Planilha de ENFESTO</t>
  </si>
  <si>
    <t>Alternativas (CLIQUE NO BOTÃO). Ex. "SIM" ou "NÃO"</t>
  </si>
  <si>
    <t>TEMPO (min)</t>
  </si>
  <si>
    <t>Maria Florentina</t>
  </si>
  <si>
    <t>Zé Pedro</t>
  </si>
  <si>
    <t>MÁQUINA(s)*</t>
  </si>
  <si>
    <t>*MANUAL = Feito Manualmente (ex. serviços auxiliares como limpeza)</t>
  </si>
  <si>
    <t>*MANUAL = Feito Manualmente (ex. costura com agulha e linha)</t>
  </si>
  <si>
    <t>ALÇA PRONTA:</t>
  </si>
  <si>
    <t>VIVO</t>
  </si>
  <si>
    <t>Largura e Dimensões</t>
  </si>
  <si>
    <t>30mm</t>
  </si>
  <si>
    <t>22mm</t>
  </si>
  <si>
    <t>LARGURA</t>
  </si>
  <si>
    <t>Alça de mão</t>
  </si>
  <si>
    <t>Alça pronta</t>
  </si>
  <si>
    <t>Largura Final</t>
  </si>
  <si>
    <t>ALÇA Equivalente</t>
  </si>
  <si>
    <t>ALÇAS</t>
  </si>
  <si>
    <t>ALÇA PRONTA Equivalente</t>
  </si>
  <si>
    <t>METRAGEM</t>
  </si>
  <si>
    <t>CONSUMO ALÇAS</t>
  </si>
  <si>
    <t>METRAGEM TOTAL</t>
  </si>
  <si>
    <t>Valor Base + Acréscimos finais</t>
  </si>
  <si>
    <t>Valor Base</t>
  </si>
  <si>
    <t>ALÇAS Soma Total</t>
  </si>
  <si>
    <t>Consumo**</t>
  </si>
  <si>
    <t>Tricoline Poa</t>
  </si>
  <si>
    <t>Entretela 100</t>
  </si>
  <si>
    <t>Oxford</t>
  </si>
  <si>
    <t>Soft Color</t>
  </si>
  <si>
    <t>Flotter</t>
  </si>
  <si>
    <t>Papel Seda</t>
  </si>
  <si>
    <t>GELSON</t>
  </si>
  <si>
    <t>FANE</t>
  </si>
  <si>
    <t>SINTETICO SÃO LUIZ</t>
  </si>
  <si>
    <t>BRUSQUE</t>
  </si>
  <si>
    <t>NSC</t>
  </si>
  <si>
    <t>20cm</t>
  </si>
  <si>
    <t>25cm</t>
  </si>
  <si>
    <t>30cm</t>
  </si>
  <si>
    <t>40cm</t>
  </si>
  <si>
    <t>45cm</t>
  </si>
  <si>
    <t>50cm</t>
  </si>
  <si>
    <t>55cm</t>
  </si>
  <si>
    <t>60cm</t>
  </si>
  <si>
    <t>7,5cm</t>
  </si>
  <si>
    <t>5cm</t>
  </si>
  <si>
    <t>Dourado</t>
  </si>
  <si>
    <t>Color</t>
  </si>
  <si>
    <t>Preços da planilha AVIAMENTOS:</t>
  </si>
  <si>
    <t>Valor Automático</t>
  </si>
  <si>
    <r>
      <t>*Medidas em</t>
    </r>
    <r>
      <rPr>
        <b/>
        <sz val="12"/>
        <color rgb="FF00B050"/>
        <rFont val="Calibri"/>
        <family val="2"/>
        <scheme val="minor"/>
      </rPr>
      <t xml:space="preserve"> metro</t>
    </r>
    <r>
      <rPr>
        <sz val="12"/>
        <color rgb="FF00B050"/>
        <rFont val="Calibri"/>
        <family val="2"/>
        <scheme val="minor"/>
      </rPr>
      <t xml:space="preserve"> ou em quantidade escalar de peças</t>
    </r>
  </si>
  <si>
    <t>CUSTOS SUBTOTAL INDIVIDUAL:</t>
  </si>
  <si>
    <t>TOTAL DE ACRÉSCIMOS FINAIS:</t>
  </si>
  <si>
    <t>ACRÉSCIMOS FINAIS</t>
  </si>
  <si>
    <t>LOGÍSTICA</t>
  </si>
  <si>
    <t>Transfer-sublimação</t>
  </si>
  <si>
    <t>Hot stamping</t>
  </si>
  <si>
    <t>Serigrafia - Silk Screen</t>
  </si>
  <si>
    <t>Bordado</t>
  </si>
  <si>
    <t>Prata</t>
  </si>
  <si>
    <t>Zíper embutido</t>
  </si>
  <si>
    <t>Eli</t>
  </si>
  <si>
    <t>Eli &amp; Victor</t>
  </si>
  <si>
    <t>Victor &amp; Eli</t>
  </si>
  <si>
    <t>Débora</t>
  </si>
  <si>
    <t>A - BOLSO EMBUTIDO
1.1 Zíper embutido, 1.2 Fechamento Forro</t>
  </si>
  <si>
    <t>B - BOLSO LATERAL
6.1 Bolso lateral Dobra costura, 6.2 Bolso lateral costura na Lateral</t>
  </si>
  <si>
    <t>C - ALÇA
8.0 0.4 - vinco ferro dobras, 8.1 Alça de Ombro, 8.2 Alça de Mão</t>
  </si>
  <si>
    <t>Fechamento Interno Bolso</t>
  </si>
  <si>
    <t>Bolso lateral pesponto dobra</t>
  </si>
  <si>
    <t>Bolso lateral Costura</t>
  </si>
  <si>
    <t>Alça de Ombro Pesponto</t>
  </si>
  <si>
    <t>D - FORRO
1 A - Bolso embutido forro, 2 Corpo Forro e Fundo, 3 Fechamento Lateral forro</t>
  </si>
  <si>
    <t>E - EXTERNO
4.0 0.4 - vinco ferro dobras, 5 Corpo Externo e Fundo, 6 B - Bolso lateral, 7 Fechamento Lateral externo</t>
  </si>
  <si>
    <t>RETA, BRAÇO</t>
  </si>
  <si>
    <t>Pesponto de união fundo e corpo</t>
  </si>
  <si>
    <t>fechamento Lateral</t>
  </si>
  <si>
    <t>Pesponto de rebatimento</t>
  </si>
  <si>
    <t>Junção ALÇAS com E</t>
  </si>
  <si>
    <t>SET UP - 10 Embutindo FORRO ao EXTERNO</t>
  </si>
  <si>
    <t>Pesponto de Fechamento</t>
  </si>
  <si>
    <t>Persponto de Rebatimento</t>
  </si>
  <si>
    <t>Victor ferreira</t>
  </si>
  <si>
    <t>FERRO</t>
  </si>
  <si>
    <t>B - BOLSO LATERAL               FERRO,  In put, Out put, Limpeza, MANUALMENTE</t>
  </si>
  <si>
    <t>A - BOLSO EMBUTIDO         In put, Out put MANUALMENTE</t>
  </si>
  <si>
    <t>C - ALÇA
IN PUT/ OUT PUT</t>
  </si>
  <si>
    <t>Colocar botão ímã</t>
  </si>
  <si>
    <t>pesponto de rebatimento</t>
  </si>
  <si>
    <t>G - BOTÃO ÍMÃ
1 Colocar botão ímã, 2 Pesponto de fechamento, 3 pesponto de rebatimento</t>
  </si>
  <si>
    <t>F - FECHAMENTO FINAL 
9 C &amp; G - Junção ALÇAS &amp; ÍMÃ com E, 10 Embutindo FORRO ao EXTERNO, 11 Pesponto de fechamento de 10, 12 Pesponto de rebatimento ALÇAS de 9</t>
  </si>
  <si>
    <t>D - FORRO
IN PUT/ OUT PUT</t>
  </si>
  <si>
    <t>E - EXTERNO
IN PUT/ OUT PUT</t>
  </si>
  <si>
    <t>G - BOTÃO ÍMÃ
1 Colocar botão ímã, IN PUT/ OUT PUT</t>
  </si>
  <si>
    <t>F - FECHAMENTO FINAL 
Revisão, IN PUT/ OUT PUT</t>
  </si>
  <si>
    <t>H - LIMPEZA, REVISÃO &amp; FERRO</t>
  </si>
  <si>
    <t>MANUAL</t>
  </si>
  <si>
    <t>CÓPIA PARA EXPORTAÇÃO - PREÇO: Planilha de Precificação</t>
  </si>
  <si>
    <t>ROMA PLÁSTICOS</t>
  </si>
  <si>
    <t>ATACADÃO DA SOLA</t>
  </si>
  <si>
    <t xml:space="preserve">Preto </t>
  </si>
  <si>
    <t>Cadarço CA 25mm 50m (Preto)</t>
  </si>
  <si>
    <t>Cadarço CA 30mm 50m (Preto)</t>
  </si>
  <si>
    <t>Cardaço CTF 10mm 250m (Preto)</t>
  </si>
  <si>
    <t>Preto</t>
  </si>
  <si>
    <t>Cardaço CTF 20mm 50m (Preto)</t>
  </si>
  <si>
    <t>Cardaço Misto CANF 20mm 50m (Preto)</t>
  </si>
  <si>
    <t>Cardaço Misto CANF 25mm 50m (Preto)</t>
  </si>
  <si>
    <t>Cardaço Misto CANF 30mm (Preto) 50m</t>
  </si>
  <si>
    <t>Elástico HC 20mm 25m (Preto)</t>
  </si>
  <si>
    <t>Elástico HC 6mm 100m (Preto)</t>
  </si>
  <si>
    <t>Velcro 50mm x 25m (Preto) "Coats Correntes"</t>
  </si>
  <si>
    <t>Ouro Velho</t>
  </si>
  <si>
    <t>Botão de Pressão N.100 BAXMANN (Níquel)</t>
  </si>
  <si>
    <t>Botão de Pressão N.80  EBERLE (Ouro Velho)</t>
  </si>
  <si>
    <t>Botão de Pressão N.80 (Loja Altero) (Níquel C/ Verniz)</t>
  </si>
  <si>
    <t>Botão de Pressão N.80 (Loja Altero) (Ouro Velho C/ Verniz)</t>
  </si>
  <si>
    <t>Botão de Pressão N.80 BAXMANN (Níquel)</t>
  </si>
  <si>
    <t>ARMARINHO NODARI</t>
  </si>
  <si>
    <t>Níquel Grafite</t>
  </si>
  <si>
    <t>Ouro</t>
  </si>
  <si>
    <t>Preto/ Níquel</t>
  </si>
  <si>
    <t>Fivela de Cinto ("mordedor") (Ouro Velho) + Ponteira</t>
  </si>
  <si>
    <t>Fivela Especial 25mm (Níquel C/Verniz)</t>
  </si>
  <si>
    <t>Fivela Especial 30mm (Níquel C/Verniz)</t>
  </si>
  <si>
    <t xml:space="preserve">Fivela Quadrada 2,5/20mm (Niquel) </t>
  </si>
  <si>
    <t>Fivela Quadrada 4,5/20mm (Niquel) (OXIDANDO)</t>
  </si>
  <si>
    <t xml:space="preserve">Fivela Retângulo 2,5/22mm (Niquel) </t>
  </si>
  <si>
    <t xml:space="preserve">Fivela Retângulo 2,5/25mm (Niquel) </t>
  </si>
  <si>
    <t xml:space="preserve">Fivela Retângulo 2,5/30mm (Níquel) </t>
  </si>
  <si>
    <t xml:space="preserve">Fivela Retângulo 2/15mm (Niquel) </t>
  </si>
  <si>
    <t xml:space="preserve">Fivela Retângulo 3,5/32mm (Niquel) </t>
  </si>
  <si>
    <t xml:space="preserve">Fivela Retrô 15mm (Ouro Velho) </t>
  </si>
  <si>
    <t>Ilhós N.1 11mm (Ouro Velho) + Arruela</t>
  </si>
  <si>
    <t>Ilhós N.45 9mm (Níquel) + Arruela</t>
  </si>
  <si>
    <t>Ilhós N.45 9mm (Preto) + Arruela</t>
  </si>
  <si>
    <t>Ilhós N.50 8,5mm (Ouro Velho)</t>
  </si>
  <si>
    <t>Ilhós N.50 8,5mm (Ouro) + Arruela</t>
  </si>
  <si>
    <t>Ilhós N.54 4,5mm (Níquel)</t>
  </si>
  <si>
    <t>Ilhós N.54 4,5mm (Ouro Velho)</t>
  </si>
  <si>
    <t>Ilhós N.54 4,5mm (Preto)</t>
  </si>
  <si>
    <t>Ilhós, Arruela N.54 4,5mm (Níquel)</t>
  </si>
  <si>
    <t>Ilhós, Arruela N.54 4,5mm (Ouro Velho)</t>
  </si>
  <si>
    <t>Meia Argola  4/29mm C/ Solda (Níquel)</t>
  </si>
  <si>
    <t>Meia Argola 2,2/25mm (Níquel)</t>
  </si>
  <si>
    <t>Meia Argola 3/30mm C/Solda (Ouro Velho)</t>
  </si>
  <si>
    <t>Grafite</t>
  </si>
  <si>
    <t xml:space="preserve">Mosquetão 5030 Giratório (Ouro Velho)  </t>
  </si>
  <si>
    <t xml:space="preserve">Mosquetão 5030 Simples (Níquel)  </t>
  </si>
  <si>
    <t>Mosquetão Bala 1044/8 10mm (Níquel)</t>
  </si>
  <si>
    <t>Passador Especial 24mm (Níquel Velho)</t>
  </si>
  <si>
    <t>Rebite N.1 (5,5mm) (Níquel) (macho e fêmea)</t>
  </si>
  <si>
    <t>Rebite N.1 (5,5mm) (Ouro Velho) (macho e fêmea)</t>
  </si>
  <si>
    <t>CASA DO SAPATEIRO (Curitiba)</t>
  </si>
  <si>
    <t>Spik Base Círculo (Ouro Velho)</t>
  </si>
  <si>
    <t>Spik Base Quadrada (Níquel)</t>
  </si>
  <si>
    <t>Spik Base Quadrada (Ouro Velho)</t>
  </si>
  <si>
    <t>Laranja</t>
  </si>
  <si>
    <t>Fecho Nylon 25mm (Preto)</t>
  </si>
  <si>
    <t>Fecho Nylon 30mm (Preto)</t>
  </si>
  <si>
    <t>Fecho Nylon Balão 30mm (Branco)</t>
  </si>
  <si>
    <t>Branco</t>
  </si>
  <si>
    <t>Fecho Nylon Balão 30mm (Preto)</t>
  </si>
  <si>
    <t>Fecho Nylon Vazado 25mm (Preto)</t>
  </si>
  <si>
    <t>Fecho Nylon Vazado 30mm (Preto) (1000)</t>
  </si>
  <si>
    <t>Mosquetão Especial 25mm (Preto) (Com mola de metal)</t>
  </si>
  <si>
    <t>Mosquetão Nylon 25mm (Preto) (1000)</t>
  </si>
  <si>
    <t>Mosquetão Nylon Giratório 40mm (Preto)</t>
  </si>
  <si>
    <t xml:space="preserve">Passador Castelinho Nylon 40mm (Preto) </t>
  </si>
  <si>
    <t>Passador Nylon 20 mm Quadrado (Preto)</t>
  </si>
  <si>
    <t>Passador Nylon 20 mm Redondo (Preto)</t>
  </si>
  <si>
    <t>Passador Nylon 25 mm Preto Castelinho</t>
  </si>
  <si>
    <t>Passador Nylon 25mm Castelinho (Marrom)</t>
  </si>
  <si>
    <t>Marrom</t>
  </si>
  <si>
    <t>Passador Nylon 30 mm (Preto)</t>
  </si>
  <si>
    <t>Passador Nylon 30mm Curvo 130GRP "Castelinho" (Preto)</t>
  </si>
  <si>
    <t>Passador Nylon 40mm (Preto)</t>
  </si>
  <si>
    <t>Ponteira de Fio (Nylon) (Furo com 4mm) (Preto)</t>
  </si>
  <si>
    <t>OUTROS</t>
  </si>
  <si>
    <t>Vermelho</t>
  </si>
  <si>
    <t>Fita Crepe 24mm 50m</t>
  </si>
  <si>
    <t>Espuma PACK Normal 4mm</t>
  </si>
  <si>
    <t>Espuma PACK Normal 8mm</t>
  </si>
  <si>
    <t>Neoprene NEOPLEX 3mm (Preto)</t>
  </si>
  <si>
    <t>Alfinetes</t>
  </si>
  <si>
    <t>Cola TEKBOND (Adesivo Instantâneo 793)  20g</t>
  </si>
  <si>
    <t>Gis D'água</t>
  </si>
  <si>
    <t>Isqueiro BIC (Grande)</t>
  </si>
  <si>
    <t>Matriz Botão de Pressão N.100 (1002/100 FN - 0.2)</t>
  </si>
  <si>
    <t>Matriz Botão de Pressão N.80 (Níquel)</t>
  </si>
  <si>
    <t>Matriz Ilhós N.0</t>
  </si>
  <si>
    <t>Matriz Ilhós N.1</t>
  </si>
  <si>
    <t>Matriz Ilhós N.45</t>
  </si>
  <si>
    <t>Matriz Ilhós N.50</t>
  </si>
  <si>
    <t xml:space="preserve">Matriz Ilhós N.54 </t>
  </si>
  <si>
    <t>Matriz Rebite N.1</t>
  </si>
  <si>
    <t>Lona Algodão Verde Militar Encerado</t>
  </si>
  <si>
    <t>Verde Militar Encerado</t>
  </si>
  <si>
    <t>Tela Spacer MESH SHAPE (Preto)</t>
  </si>
  <si>
    <t>Nylon 300D Chicago (Cinza Chumbo)</t>
  </si>
  <si>
    <t>Cinza Chumbo</t>
  </si>
  <si>
    <t>Nylon Amassado (Preto)</t>
  </si>
  <si>
    <t>Poliéster 1680d ULY (Prata)</t>
  </si>
  <si>
    <t>Poliéster 1680d ULY (Preto)</t>
  </si>
  <si>
    <t>Poliéster 300/300 (Branco) 2 Mãos de Resina</t>
  </si>
  <si>
    <t>Poliéster 300/300 (Preto) 2 Mãos de Resina</t>
  </si>
  <si>
    <t xml:space="preserve">Poliéster 600 RIP-SOP (Verde Exército Rajado) </t>
  </si>
  <si>
    <t>Verde Militar Rajado</t>
  </si>
  <si>
    <t>Poliéster RIP-SOP PEQUENO (Preto)</t>
  </si>
  <si>
    <t>Non Woven 120 (preto) (1,40x200)</t>
  </si>
  <si>
    <t>Alça CHIQUE 30mm</t>
  </si>
  <si>
    <t>Cores</t>
  </si>
  <si>
    <t>Cadarço CA 30mm 50m (Color)</t>
  </si>
  <si>
    <t xml:space="preserve">Velcro 25mm x 25m (Preto ou Branco) (IMPORTADO) </t>
  </si>
  <si>
    <t>Preto e Branco</t>
  </si>
  <si>
    <t>Velcro 25mm x 25m COATS (Preto)</t>
  </si>
  <si>
    <t>Data do último ORÇAMENTO DO FORNECEDOR</t>
  </si>
  <si>
    <t>Preto/ Branco</t>
  </si>
  <si>
    <t>Cardaço CBR 30mm (Preto/ Branco) 50m</t>
  </si>
  <si>
    <t>Preto/Branco</t>
  </si>
  <si>
    <t>Cardaço CBR 30mm (Color) 50m</t>
  </si>
  <si>
    <t>Cardaço CBR 25mm (Color) 50m</t>
  </si>
  <si>
    <t>Cardaço CBR 25mm (Preto/ Branco) 50m</t>
  </si>
  <si>
    <t>Cardaço CBR 40mm (Preto/ Branco) 50m</t>
  </si>
  <si>
    <t>Cardaço CBR 40mm (Color) 50m</t>
  </si>
  <si>
    <t>Alça CHIQUE 40mm</t>
  </si>
  <si>
    <t>Cadarço CA 40mm 50m (Preto)</t>
  </si>
  <si>
    <t>Preços da planilha AVIAMENTOS</t>
  </si>
  <si>
    <t>Data de Orçamento do FORNECEDOR</t>
  </si>
  <si>
    <t>CATEX</t>
  </si>
  <si>
    <t>Tecido Tricoline Poa Largo</t>
  </si>
  <si>
    <t>Entretela 80</t>
  </si>
  <si>
    <t>Entretela Para Bordado</t>
  </si>
  <si>
    <t>KARIPLASTIC</t>
  </si>
  <si>
    <t>Plástico Translúcido</t>
  </si>
  <si>
    <t>Plástico Leitoso Branco</t>
  </si>
  <si>
    <t>Tresse Palha Algodão com Palha</t>
  </si>
  <si>
    <t>Twide Dots Poe</t>
  </si>
  <si>
    <t>Twide Dots Poa Preto</t>
  </si>
  <si>
    <t>Forro Microfibra</t>
  </si>
  <si>
    <t>Vies Boneon 22mm x 20m</t>
  </si>
  <si>
    <t>Alça ANNA B 30mm</t>
  </si>
  <si>
    <t>ROMA/ SP</t>
  </si>
  <si>
    <t>Elástico Branco  30mm</t>
  </si>
  <si>
    <t xml:space="preserve">Ziper Nylon (pacote) 20mm </t>
  </si>
  <si>
    <t xml:space="preserve">Ziper Nylon (pacote) 25mm </t>
  </si>
  <si>
    <t xml:space="preserve">Ziper Nylon (pacote) 30mm </t>
  </si>
  <si>
    <t xml:space="preserve">Ziper Nylon (pacote) 40mm </t>
  </si>
  <si>
    <t xml:space="preserve">Ziper Nylon (pacote) 45mm </t>
  </si>
  <si>
    <t xml:space="preserve">Ziper Nylon (pacote) 50mm </t>
  </si>
  <si>
    <t xml:space="preserve">Ziper Nylon (pacote) 55mm </t>
  </si>
  <si>
    <t xml:space="preserve">Ziper Nylon (pacote) 60mm </t>
  </si>
  <si>
    <t>5mm</t>
  </si>
  <si>
    <t>Argola 28mm</t>
  </si>
  <si>
    <t>Zíper Pronto Metal 18cm</t>
  </si>
  <si>
    <t>18cm</t>
  </si>
  <si>
    <t>Zíper Pronto Metal 25cm</t>
  </si>
  <si>
    <t>Zíper Pronto Metal 30cm</t>
  </si>
  <si>
    <t>Zíper Pronto Metal 60cm</t>
  </si>
  <si>
    <t>Cartão Agradecimento ANNA B</t>
  </si>
  <si>
    <t>Cola Spray</t>
  </si>
  <si>
    <t>Onix</t>
  </si>
  <si>
    <t>n.6</t>
  </si>
  <si>
    <t>Transparente</t>
  </si>
  <si>
    <t>Prazo Máximo</t>
  </si>
  <si>
    <t>Fase Inicial</t>
  </si>
  <si>
    <t>Desenvolvimento</t>
  </si>
  <si>
    <t>Limite</t>
  </si>
  <si>
    <t>Dead Line</t>
  </si>
  <si>
    <t>LEGENDA</t>
  </si>
  <si>
    <t>Silicone</t>
  </si>
  <si>
    <t>Validade do Orçamento</t>
  </si>
  <si>
    <t>STATUS</t>
  </si>
  <si>
    <t>(HOJE - PRAZO)</t>
  </si>
  <si>
    <t>Data FORNECEDOR</t>
  </si>
  <si>
    <t>Sem seguro</t>
  </si>
  <si>
    <t>Data FORNECENOR</t>
  </si>
  <si>
    <t>Nome Alça</t>
  </si>
  <si>
    <t>40mm</t>
  </si>
  <si>
    <t>20mm</t>
  </si>
  <si>
    <t>25mm</t>
  </si>
  <si>
    <t>10mm</t>
  </si>
  <si>
    <t>Largura do TECIDO</t>
  </si>
  <si>
    <t>16mm</t>
  </si>
  <si>
    <t>Cru</t>
  </si>
  <si>
    <t>Cadarço Sarjado (Preto) Algodão 16mm x 50m</t>
  </si>
  <si>
    <t>Cadarço Sarjado (Cru) Algodão 16mm x 50m</t>
  </si>
  <si>
    <t>CONSUMO DE MATERIAL POR MOLDE</t>
  </si>
  <si>
    <t>¹ Margens já inclusas no cálculo na planilha MODELAGEM</t>
  </si>
  <si>
    <t>¹</t>
  </si>
  <si>
    <t>Moldes ALÇAS</t>
  </si>
  <si>
    <t>Passador Metal 30mm</t>
  </si>
  <si>
    <t>Botão Ímã ALTERO 20mm (Prata)</t>
  </si>
  <si>
    <t>Botão Ímã ALTERO 20mm (Dourado)</t>
  </si>
  <si>
    <t>Botão Ímã ALTERO 20mm (Grafite)</t>
  </si>
  <si>
    <t>Botão ímã ROMA PLÁSTICO M (18mm) (Níquel/ Ouro Velho)</t>
  </si>
  <si>
    <t>Argola 42mm (Dourado)</t>
  </si>
  <si>
    <t>Argola 42mm (Prata)</t>
  </si>
  <si>
    <t>Carrapeta Parafuso 10mm (Dourado)</t>
  </si>
  <si>
    <t>Carrapeta Parafuso 10mm (Prata)</t>
  </si>
  <si>
    <t>Carrapeta Parafuso 10mm (grafite)</t>
  </si>
  <si>
    <t>Meia Argola 20mm (Dourado)</t>
  </si>
  <si>
    <t>Meia Argola 20mm (Prata)</t>
  </si>
  <si>
    <t>Meia Argola 30mm (Dourado)</t>
  </si>
  <si>
    <t>Meia Argola 30mm (Prata)</t>
  </si>
  <si>
    <t xml:space="preserve">PARTE: </t>
  </si>
  <si>
    <t xml:space="preserve">CORTAR: </t>
  </si>
  <si>
    <t>D (cm):</t>
  </si>
  <si>
    <t>DATA:</t>
  </si>
  <si>
    <t>Ilhós, Arruela N.3</t>
  </si>
  <si>
    <t>N.3</t>
  </si>
  <si>
    <t>Rebite N.1 (5,5mm)</t>
  </si>
  <si>
    <t>N.1</t>
  </si>
  <si>
    <t>/</t>
  </si>
  <si>
    <t>Quantidade de Moldes</t>
  </si>
  <si>
    <t>Quantidade de Cortes</t>
  </si>
  <si>
    <t>CORTES</t>
  </si>
  <si>
    <t xml:space="preserve"> ' ' </t>
  </si>
  <si>
    <t>ALÇA:</t>
  </si>
  <si>
    <t>ou</t>
  </si>
  <si>
    <t>MOLDES GERAIS</t>
  </si>
  <si>
    <t>VOLUNTÁRIOS</t>
  </si>
  <si>
    <t>Forro</t>
  </si>
  <si>
    <t>Cadarço CA 30mm (Rami)</t>
  </si>
  <si>
    <t>Material Secundário III</t>
  </si>
  <si>
    <t>Cadarço CA 25mm (Rami)</t>
  </si>
  <si>
    <t>Rami</t>
  </si>
  <si>
    <t>Tec. Externo</t>
  </si>
  <si>
    <t>MODELISTA:</t>
  </si>
  <si>
    <t>Obs</t>
  </si>
  <si>
    <t>OBS:</t>
  </si>
  <si>
    <t>REGIME</t>
  </si>
  <si>
    <t>PJ</t>
  </si>
  <si>
    <t>CLT</t>
  </si>
  <si>
    <t>Estilísta Consultor  | Autônomo</t>
  </si>
  <si>
    <t>Gerente de Produção &amp; Logística</t>
  </si>
  <si>
    <t>Vendedor Marketing (Externo &amp; Interno)</t>
  </si>
  <si>
    <t>REGIME CONTRATUAL</t>
  </si>
  <si>
    <t>TAXA</t>
  </si>
  <si>
    <t>Condicional</t>
  </si>
  <si>
    <t>UTILIZAÇÃO</t>
  </si>
  <si>
    <t>CUSTO DE UTILIZAÇÃO</t>
  </si>
  <si>
    <t>Impostos Totais</t>
  </si>
  <si>
    <t>MARK-UP</t>
  </si>
  <si>
    <t>MARK-UP POR PROCESSOS (HORA-OPERAÇÃO)</t>
  </si>
  <si>
    <t>¹Principal</t>
  </si>
  <si>
    <t>²Secundária</t>
  </si>
  <si>
    <t>³Pausa programadas (funcionário/dia)</t>
  </si>
  <si>
    <t>DADOS GERAIS DA REFERÊNCIA</t>
  </si>
  <si>
    <t>Água</t>
  </si>
  <si>
    <t>Telefonia e Internet</t>
  </si>
  <si>
    <t>Quant. de unidades/ RISCO</t>
  </si>
  <si>
    <t>Consumo (m)/ UNIDADE</t>
  </si>
  <si>
    <t>TOTAL (m)</t>
  </si>
  <si>
    <t>TOTAL (R$)</t>
  </si>
  <si>
    <t>Obs.</t>
  </si>
  <si>
    <t>Para se utilizar do ENFESTO com a eficiência planejada, liste os moldes que foram posicionados em cada tecido, de forma clara e ordenada, para poder ser replicado.</t>
  </si>
  <si>
    <t>FICHA DE ENFESTO &amp; CORTE</t>
  </si>
  <si>
    <t>EX.: No ENFESTO 1 foi posicionado moldes 1,2,6, alinhando posições de fio e maximizando aproveitamento.</t>
  </si>
  <si>
    <t>CONSUMO</t>
  </si>
  <si>
    <t>5% de uma caneta por peça</t>
  </si>
  <si>
    <t>VALOR</t>
  </si>
  <si>
    <t>Meia argola 20mm (Grafite)</t>
  </si>
  <si>
    <t>Mosquetão 25mm (Dourado) - CH177-25</t>
  </si>
  <si>
    <t>Mosquetão 25mm (Prata) - AA5629-25</t>
  </si>
  <si>
    <t>Mosquetão 25mm (Prata) - CH177-25</t>
  </si>
  <si>
    <t>Mosquetão 30mm (Dourado) - CH177-30</t>
  </si>
  <si>
    <t>Mosquetão 30mm (Prata) - AA5629-30</t>
  </si>
  <si>
    <t>Mosquetão 30mm (Prata) - CH177-30</t>
  </si>
  <si>
    <t>Quant. LOTE</t>
  </si>
  <si>
    <t>CUSTOS SUBTOTAL LOTE:</t>
  </si>
  <si>
    <t>Custo TOTAL do LOTE:</t>
  </si>
  <si>
    <t>Disponível em ESTOQUE</t>
  </si>
  <si>
    <t>Tec. Vivo</t>
  </si>
  <si>
    <t>Olhete</t>
  </si>
  <si>
    <t>Fole + Fundo</t>
  </si>
  <si>
    <t>Fole Zíper</t>
  </si>
  <si>
    <t>União moldes</t>
  </si>
  <si>
    <t>Pesponto Zíper</t>
  </si>
  <si>
    <t>Pesponto fechamento forro</t>
  </si>
  <si>
    <t>Preparo</t>
  </si>
  <si>
    <t>Fechamento Vivo</t>
  </si>
  <si>
    <t>Junção Fole zíper + olhetes</t>
  </si>
  <si>
    <t>Pesponto Vivo na base</t>
  </si>
  <si>
    <t>Junção Fole superior + Fundo</t>
  </si>
  <si>
    <t>Fole Superior + Olhete</t>
  </si>
  <si>
    <t>Fechamento:</t>
  </si>
  <si>
    <t>Junção Fole + Bases</t>
  </si>
  <si>
    <t>Acabamento</t>
  </si>
  <si>
    <t>Viés</t>
  </si>
  <si>
    <t>Fechamento viés</t>
  </si>
  <si>
    <t>Revisão</t>
  </si>
  <si>
    <t>Revião e Limpeza</t>
  </si>
  <si>
    <t>Picking e packing</t>
  </si>
  <si>
    <t>Expedição</t>
  </si>
  <si>
    <t>FRENTE 1</t>
  </si>
  <si>
    <t>FRENTE 2</t>
  </si>
  <si>
    <t>FRENTE 3</t>
  </si>
  <si>
    <t>Packing</t>
  </si>
  <si>
    <t>Encaixe, risco, enfesto,</t>
  </si>
  <si>
    <t>Separação</t>
  </si>
  <si>
    <t>Ferro: Olhete</t>
  </si>
  <si>
    <t>Ferro: Acabamento Vivo</t>
  </si>
  <si>
    <t>Compra</t>
  </si>
  <si>
    <t>Orçamento e Requisição</t>
  </si>
  <si>
    <t>FRENTE 4</t>
  </si>
  <si>
    <t>Entretelagem</t>
  </si>
  <si>
    <t>Prensa</t>
  </si>
  <si>
    <t>Matriz</t>
  </si>
  <si>
    <t>TEMPO</t>
  </si>
  <si>
    <t>Refilamento</t>
  </si>
  <si>
    <t>Manual: refilar excesso</t>
  </si>
  <si>
    <t>UNIDADE</t>
  </si>
  <si>
    <t>Bolso Interno</t>
  </si>
  <si>
    <t>41mm</t>
  </si>
  <si>
    <t>Mosquetão 20mm (Dourado) FIM249-20 INJ</t>
  </si>
  <si>
    <t>Mosquetão 20mm (Grafite) FIM249-20 INJ</t>
  </si>
  <si>
    <t>Mosquetão 20mm (Níquel) FIM249-20 INJ</t>
  </si>
  <si>
    <t>Espaguete Vivo</t>
  </si>
  <si>
    <t>3mm</t>
  </si>
  <si>
    <t>Informação</t>
  </si>
  <si>
    <t>ALÇA</t>
  </si>
  <si>
    <t>Cordão Algodão São José 5mm 50m</t>
  </si>
  <si>
    <t>Elástico TEKLA 20mm (Branco) (Rolo 25m)</t>
  </si>
  <si>
    <t>Elástico TEKLA 20mm (Preto) (Rolo 25m)</t>
  </si>
  <si>
    <t>Elástico TEKLA 25mm (Branco) (Rolo 25m)</t>
  </si>
  <si>
    <t>Elástico TEKLA 25mm (Preto) (Rolo 25m)</t>
  </si>
  <si>
    <t>Meia argora 41mm (Dourado) AR41-42 (5mm)</t>
  </si>
  <si>
    <t>Meia argora 41mm (Prata) AR41-42 (5mm)</t>
  </si>
  <si>
    <t>CORPO</t>
  </si>
  <si>
    <t>Ordem</t>
  </si>
  <si>
    <t>CÓD. do FORNECEDOR</t>
  </si>
  <si>
    <t>Outras Características</t>
  </si>
  <si>
    <t>ID do Material</t>
  </si>
  <si>
    <t>ID de Referência</t>
  </si>
  <si>
    <t>LISTA COMPACTA</t>
  </si>
  <si>
    <t>Nº Conforme entrada</t>
  </si>
  <si>
    <t>ACE</t>
  </si>
  <si>
    <t>Acessórios para confecção</t>
  </si>
  <si>
    <t>Etiquetas, tags, etiquetas de composição, entre outros.</t>
  </si>
  <si>
    <t>EST</t>
  </si>
  <si>
    <t>Acessórios para estamparia</t>
  </si>
  <si>
    <t>Telas de serigrafia, quadros, tintas para tecido, entre outros.</t>
  </si>
  <si>
    <t>MET</t>
  </si>
  <si>
    <t>Aviamentos de metal</t>
  </si>
  <si>
    <t>Mosquetões, passadores, ilhós, botões de pressão, entre outros.</t>
  </si>
  <si>
    <t>NYL</t>
  </si>
  <si>
    <t>Aviamentos de nylon</t>
  </si>
  <si>
    <t>Mosquetões, fechos, passadores e reguladores, entre outros.</t>
  </si>
  <si>
    <t>PLA</t>
  </si>
  <si>
    <t>Aviamentos de plástico</t>
  </si>
  <si>
    <t>AVI</t>
  </si>
  <si>
    <t>Aviamentos diversos</t>
  </si>
  <si>
    <t>Botões, elásticos, rendas, fitas (não têxteis), entre outros.</t>
  </si>
  <si>
    <t>CAC</t>
  </si>
  <si>
    <t>Cadarços e cordas</t>
  </si>
  <si>
    <t>Cadarços e cordas para alças, estruturação de vivo; fitas, laços e enfeites, compostos por fibras entrelaçadas</t>
  </si>
  <si>
    <t>COU</t>
  </si>
  <si>
    <t>Couros e sintéticos</t>
  </si>
  <si>
    <t>Peles, couro sintético, camurça, corvin, entre outros.</t>
  </si>
  <si>
    <t>SEG</t>
  </si>
  <si>
    <t>Equipamentos de segurança</t>
  </si>
  <si>
    <t>Luvas, máscaras, óculos de proteção, entre outros.</t>
  </si>
  <si>
    <t>FER</t>
  </si>
  <si>
    <t>Ferramentas e maquinários</t>
  </si>
  <si>
    <t>Tesouras, agulhas, alfinetes, máquinas de costura, entre outros.</t>
  </si>
  <si>
    <t>FIB</t>
  </si>
  <si>
    <t>Fibras e enchimentos</t>
  </si>
  <si>
    <t>Espumas, plumas, manta acrílica, entre outros.</t>
  </si>
  <si>
    <t>LIN</t>
  </si>
  <si>
    <t>Linhas</t>
  </si>
  <si>
    <t xml:space="preserve">De costura comuns, como linhas de poliéster e algodão ou nylon, linhas especiais e fios. </t>
  </si>
  <si>
    <t>MAL</t>
  </si>
  <si>
    <t>Malhas</t>
  </si>
  <si>
    <t>Malhas diversas, malha fria, malha com elastano, outras.</t>
  </si>
  <si>
    <t>PAP</t>
  </si>
  <si>
    <t>Papéis e embalagens</t>
  </si>
  <si>
    <t>Etiquetas adesivas, sacolas, caixas, fitas adesivas, entre outros.</t>
  </si>
  <si>
    <t>PEP</t>
  </si>
  <si>
    <t>Peças prontas</t>
  </si>
  <si>
    <t>Alças de bolsas, fechos, meia-argola, entre outros.</t>
  </si>
  <si>
    <t>QUI</t>
  </si>
  <si>
    <t>Produtos químicos</t>
  </si>
  <si>
    <t>Tintas, corantes, fixadores, colas, solventes, entre outros.</t>
  </si>
  <si>
    <t>TEE</t>
  </si>
  <si>
    <t>Tecidos especiais</t>
  </si>
  <si>
    <t>Veludo, telas, organza, tule, renda, entre outros.</t>
  </si>
  <si>
    <t>TEP</t>
  </si>
  <si>
    <t>Tecidos planos</t>
  </si>
  <si>
    <t>Tecidos planos diversos, incluindo impermeáveis, lisos e estampados.</t>
  </si>
  <si>
    <t>28mm</t>
  </si>
  <si>
    <t>TNT</t>
  </si>
  <si>
    <t>TNT e Afins</t>
  </si>
  <si>
    <t xml:space="preserve">TNT e Afins, como Napas, Plásticos, Fibras. </t>
  </si>
  <si>
    <t>ZIP</t>
  </si>
  <si>
    <t>Zíperes</t>
  </si>
  <si>
    <t>Zíperes, cursores e componentes de zíper.</t>
  </si>
  <si>
    <t>DIV</t>
  </si>
  <si>
    <t>Outros materiais e acessórios não inclusos nessa lista</t>
  </si>
  <si>
    <t>42mm</t>
  </si>
  <si>
    <t>SARJA MICROFIBRA</t>
  </si>
  <si>
    <t>R$13,90/M</t>
  </si>
  <si>
    <t>Embalagem Plastica</t>
  </si>
  <si>
    <t>Etiqueta Adesiva LAÇO</t>
  </si>
  <si>
    <t>Etiqueta Composição</t>
  </si>
  <si>
    <t>BRASILUSA</t>
  </si>
  <si>
    <t>Sinalização</t>
  </si>
  <si>
    <t>ID do MATERIAL</t>
  </si>
  <si>
    <t>REFERÊNCIA</t>
  </si>
  <si>
    <t>LEGENDA DE PRAZOS</t>
  </si>
  <si>
    <t>INFORMAÇÕES ADICIONAIS</t>
  </si>
  <si>
    <t>Base (B - Vista Frontal)</t>
  </si>
  <si>
    <t>Altura (H - Altura máxima)</t>
  </si>
  <si>
    <t>×</t>
  </si>
  <si>
    <t>Material Secundário V</t>
  </si>
  <si>
    <t>7 (NOVO)</t>
  </si>
  <si>
    <t>MATERIAL Principal</t>
  </si>
  <si>
    <t>MATERIAL Auxiliar</t>
  </si>
  <si>
    <t>=SE('REF. NOME + N'!E62="SIM";0;SE((M259=X14); V259+SE(H259="SIM";SE((P259=X14);SOMA(V260:V263); 0)); SE(H259="SIM";SE((P259=X14);SOMA(V260:V263); 0))))</t>
  </si>
  <si>
    <t>Material auxiliar</t>
  </si>
  <si>
    <t>sw</t>
  </si>
  <si>
    <t>Largura (L - Vista Lateral)</t>
  </si>
  <si>
    <t>(Outro parâmetro)</t>
  </si>
  <si>
    <t>Tela OU Cristal</t>
  </si>
  <si>
    <t>ALÇA COSTA</t>
  </si>
  <si>
    <t>ALÇA FOLE</t>
  </si>
  <si>
    <t>Tela Mosqueteiro</t>
  </si>
  <si>
    <t>Aquablock</t>
  </si>
  <si>
    <t>Couro</t>
  </si>
  <si>
    <t>Couro Legítimo Fly</t>
  </si>
  <si>
    <t>Estrutura</t>
  </si>
  <si>
    <t>Placa Plástica</t>
  </si>
  <si>
    <t>Reforço</t>
  </si>
  <si>
    <t>TNT 120</t>
  </si>
  <si>
    <t>Suede</t>
  </si>
  <si>
    <t>2023.17.3 000</t>
  </si>
  <si>
    <t>NOME + Nº</t>
  </si>
  <si>
    <t>VMORDEKAI</t>
  </si>
  <si>
    <t>IN0068</t>
  </si>
  <si>
    <t>IN0067</t>
  </si>
  <si>
    <t>IN0235</t>
  </si>
  <si>
    <t>Alça de Mala Plástico (Preto)</t>
  </si>
  <si>
    <t>IN0021</t>
  </si>
  <si>
    <t>Alça Flexível Plástico 08/41 (Preto) (250)</t>
  </si>
  <si>
    <t>IN0244</t>
  </si>
  <si>
    <t>IN0245</t>
  </si>
  <si>
    <t>Alicate Artesanato</t>
  </si>
  <si>
    <t>IN0231</t>
  </si>
  <si>
    <t>ALTERO</t>
  </si>
  <si>
    <t>IN0090</t>
  </si>
  <si>
    <t>Argola 3/25mm (Ouro Velho)</t>
  </si>
  <si>
    <t>IN0091</t>
  </si>
  <si>
    <t>Argola 3/30mm (Ouro Velho)</t>
  </si>
  <si>
    <t>IN0092</t>
  </si>
  <si>
    <t>Argola 4/25mm (Níquel)</t>
  </si>
  <si>
    <t>IN0232</t>
  </si>
  <si>
    <t>IN0233</t>
  </si>
  <si>
    <t>IN0093</t>
  </si>
  <si>
    <t>Argola Chaveiro Comum (Níquel)</t>
  </si>
  <si>
    <t>IN0234</t>
  </si>
  <si>
    <t>Argola Redonda</t>
  </si>
  <si>
    <t>IN0302</t>
  </si>
  <si>
    <t>IN0096</t>
  </si>
  <si>
    <t>IN0097</t>
  </si>
  <si>
    <t>IN0098</t>
  </si>
  <si>
    <t>IN0099</t>
  </si>
  <si>
    <t>IN0100</t>
  </si>
  <si>
    <t>IN0222</t>
  </si>
  <si>
    <t>IN0227</t>
  </si>
  <si>
    <t>IN0221</t>
  </si>
  <si>
    <t>IN0103</t>
  </si>
  <si>
    <t>Botão ímã ROMA PLÁSTICO M (14mm) (Dourado/ Ouro Velho)</t>
  </si>
  <si>
    <t>Dourado/ Ouro Velho</t>
  </si>
  <si>
    <t>IN0102</t>
  </si>
  <si>
    <t>Níquel/ Ouro Velho</t>
  </si>
  <si>
    <t>IN0104</t>
  </si>
  <si>
    <t>Botão ímã ROMA PLÁSTICO P (14mm) (Níquel)</t>
  </si>
  <si>
    <t>IN0105</t>
  </si>
  <si>
    <t>Botão Rebite (Níquel Velho) 45mm</t>
  </si>
  <si>
    <t>IN0106</t>
  </si>
  <si>
    <t>Botão Rebite (Ouro Velho) 45mm</t>
  </si>
  <si>
    <t>IN0069</t>
  </si>
  <si>
    <t>Cadarço CA 20mm 50m (Preto)</t>
  </si>
  <si>
    <t>IN0307</t>
  </si>
  <si>
    <t>IN0070</t>
  </si>
  <si>
    <t>IN0306</t>
  </si>
  <si>
    <t>IN0071</t>
  </si>
  <si>
    <t>IN0072</t>
  </si>
  <si>
    <t>IN0108</t>
  </si>
  <si>
    <t>IN0147</t>
  </si>
  <si>
    <t>IN0001</t>
  </si>
  <si>
    <t>IN0246</t>
  </si>
  <si>
    <t>IN0094</t>
  </si>
  <si>
    <t>IN0095</t>
  </si>
  <si>
    <t>IN0085</t>
  </si>
  <si>
    <t>IN0082</t>
  </si>
  <si>
    <t>IN0107</t>
  </si>
  <si>
    <t>IN0101</t>
  </si>
  <si>
    <t>IN0073</t>
  </si>
  <si>
    <t>IN0074</t>
  </si>
  <si>
    <t>IN0075</t>
  </si>
  <si>
    <t>IN0076</t>
  </si>
  <si>
    <t>IN0077</t>
  </si>
  <si>
    <t>IN0228</t>
  </si>
  <si>
    <t>IN0230</t>
  </si>
  <si>
    <t>IN0229</t>
  </si>
  <si>
    <t>IN0219</t>
  </si>
  <si>
    <t>Chaveiro</t>
  </si>
  <si>
    <t>IN0301</t>
  </si>
  <si>
    <t>IN0247</t>
  </si>
  <si>
    <t>IN0248</t>
  </si>
  <si>
    <t>Corda (Diverso)</t>
  </si>
  <si>
    <t>IN0078</t>
  </si>
  <si>
    <t>Cordão 20m 4/1 (Azul Marinho)</t>
  </si>
  <si>
    <t>Azul Marinho</t>
  </si>
  <si>
    <t>IN0041</t>
  </si>
  <si>
    <t>ARMARINHO VOLUNTÁRIOS</t>
  </si>
  <si>
    <t>Cordão 5mm Polinho polipropileno "rabo de rato" (Color)</t>
  </si>
  <si>
    <t>IN0079</t>
  </si>
  <si>
    <t>Cordao Algodao São José 50m</t>
  </si>
  <si>
    <t>IN0261</t>
  </si>
  <si>
    <t>Cordão para vivo</t>
  </si>
  <si>
    <t>IN0263</t>
  </si>
  <si>
    <t>Cordura 500 (Azul Marinho) 2 Mãos de Resina</t>
  </si>
  <si>
    <t>IN0289</t>
  </si>
  <si>
    <t>Cordura 500 (Vermelho) 2 Mãos de Resina</t>
  </si>
  <si>
    <t>IN0288</t>
  </si>
  <si>
    <t>Corrente Bolsas</t>
  </si>
  <si>
    <t>IN0051</t>
  </si>
  <si>
    <t>Corrente Dourada Bolsas</t>
  </si>
  <si>
    <t>IN0062</t>
  </si>
  <si>
    <t>Cursor 06 YKK</t>
  </si>
  <si>
    <t>n.6 YKK</t>
  </si>
  <si>
    <t>IN0061</t>
  </si>
  <si>
    <t>Cursor Especial Canoa</t>
  </si>
  <si>
    <t>n.6 CANOA</t>
  </si>
  <si>
    <t>IN0109</t>
  </si>
  <si>
    <t>Cursor Simples</t>
  </si>
  <si>
    <t>n.6 IMPORTADO</t>
  </si>
  <si>
    <t>IN0111</t>
  </si>
  <si>
    <t>Cursor Ziper 04 (Níquel)</t>
  </si>
  <si>
    <t>n.4 IMPORTADO</t>
  </si>
  <si>
    <t>IN0112</t>
  </si>
  <si>
    <t>Cursor Ziper 06 FZP (Dourado/ Ouro Velho)</t>
  </si>
  <si>
    <t>n.6 FZP</t>
  </si>
  <si>
    <t>IN0114</t>
  </si>
  <si>
    <t>Cursor Ziper 06 FZP (Preto/ Níquel)</t>
  </si>
  <si>
    <t>IN0115</t>
  </si>
  <si>
    <t>Cursor Ziper 08 FZP (Preto)</t>
  </si>
  <si>
    <t>n.8 FZP</t>
  </si>
  <si>
    <t>IN0116</t>
  </si>
  <si>
    <t>Cursor Ziper Pingente 06 Diversos (Color)</t>
  </si>
  <si>
    <t>n.6 DIVERSOS</t>
  </si>
  <si>
    <t>IN0049</t>
  </si>
  <si>
    <t>Cursor Ziper Pingente 06 Gota (Color)</t>
  </si>
  <si>
    <t>n.6 GOTA</t>
  </si>
  <si>
    <t>IN0080</t>
  </si>
  <si>
    <t>IN0081</t>
  </si>
  <si>
    <t>IN0300</t>
  </si>
  <si>
    <t>IN0344</t>
  </si>
  <si>
    <t>IN0345</t>
  </si>
  <si>
    <t>IN0346</t>
  </si>
  <si>
    <t>IN0347</t>
  </si>
  <si>
    <t>IN0117</t>
  </si>
  <si>
    <t>Embalagem</t>
  </si>
  <si>
    <t>IN0011</t>
  </si>
  <si>
    <t>Enfeite Rebite (Niquel C/ Verniz)</t>
  </si>
  <si>
    <t>IN0012</t>
  </si>
  <si>
    <t>IN0013</t>
  </si>
  <si>
    <t>IN0240</t>
  </si>
  <si>
    <t>IN0320</t>
  </si>
  <si>
    <t>IN0241</t>
  </si>
  <si>
    <t>Espuma PACK C/ Alumínio 2mm</t>
  </si>
  <si>
    <t>IN0242</t>
  </si>
  <si>
    <t>IN0295</t>
  </si>
  <si>
    <t>IN0296</t>
  </si>
  <si>
    <t>CENTRAL UP</t>
  </si>
  <si>
    <t>IN0118</t>
  </si>
  <si>
    <t>BRUNO</t>
  </si>
  <si>
    <t>Etiqueta VMORDEKAI</t>
  </si>
  <si>
    <t>IN0022</t>
  </si>
  <si>
    <t>Fecho Curvo 10mm (preto)</t>
  </si>
  <si>
    <t>IN0197</t>
  </si>
  <si>
    <t>Fecho de Mola (Furo Duplo C/4mm) (Níquel)</t>
  </si>
  <si>
    <t>IN0023</t>
  </si>
  <si>
    <t>Fecho de Mola (Furo Duplo C/5mm) (Branco)</t>
  </si>
  <si>
    <t>IN0198</t>
  </si>
  <si>
    <t>Fecho de Mola (Furo Duplo C/5mm) (Laranja)</t>
  </si>
  <si>
    <t>IN0199</t>
  </si>
  <si>
    <t>Fecho de Mola (Furo Duplo C/5mm) (Lilás)</t>
  </si>
  <si>
    <t>Lilás</t>
  </si>
  <si>
    <t>IN0200</t>
  </si>
  <si>
    <t>Fecho de Mola (Furo Duplo C/5mm) (Preto)</t>
  </si>
  <si>
    <t>IN0002</t>
  </si>
  <si>
    <t>IN0119</t>
  </si>
  <si>
    <t>Fecho de Mola (Furo Duplo C/5mm) (Rosa)</t>
  </si>
  <si>
    <t>Rosa</t>
  </si>
  <si>
    <t>IN0120</t>
  </si>
  <si>
    <t>Fecho de Mola (Furo Único C/4mm) (Níquel Grafite)</t>
  </si>
  <si>
    <t>IN0121</t>
  </si>
  <si>
    <t>Fecho de Mola (Furo Único C/4mm) (Níquel)</t>
  </si>
  <si>
    <t>IN0201</t>
  </si>
  <si>
    <t>Fecho de Mola (Furo Único C/4mm) (Ouro Velho)</t>
  </si>
  <si>
    <t>Ouro Velhor</t>
  </si>
  <si>
    <t>IN0202</t>
  </si>
  <si>
    <t>IN0203</t>
  </si>
  <si>
    <t>IN0204</t>
  </si>
  <si>
    <t>IN0205</t>
  </si>
  <si>
    <t>IN0206</t>
  </si>
  <si>
    <t>IN0048</t>
  </si>
  <si>
    <t>IN0003</t>
  </si>
  <si>
    <t xml:space="preserve">Fecho Plástico 101/20mm (preto) "Redondo" </t>
  </si>
  <si>
    <t>IN0299</t>
  </si>
  <si>
    <t>Fecho Plástico 117/20 Curvo (Preto) (1000)</t>
  </si>
  <si>
    <t>IN0045</t>
  </si>
  <si>
    <t>Fecho Plástico Balão 25mm (Preto)</t>
  </si>
  <si>
    <t>IN0297</t>
  </si>
  <si>
    <t>Fecho Plástico Balão 30mm (Preto)</t>
  </si>
  <si>
    <t>IN0043</t>
  </si>
  <si>
    <t>Fecho Plástico Balão 40mm (Preto)</t>
  </si>
  <si>
    <t>IN0044</t>
  </si>
  <si>
    <t>Fecho Plástico Comum 30mm (Preto)</t>
  </si>
  <si>
    <t>IN0122</t>
  </si>
  <si>
    <t>Fecho Plástico Especial 25mm (Preto) ("Tic-tac" no estilo que a FABRIKETA vendia)</t>
  </si>
  <si>
    <t>IN0047</t>
  </si>
  <si>
    <t>Fecho Plástico Especial 40mm (Preto)</t>
  </si>
  <si>
    <t>IN0259</t>
  </si>
  <si>
    <t>Fecho Transparente Mala Baby 25mm</t>
  </si>
  <si>
    <t>IN0239</t>
  </si>
  <si>
    <t>IN0042</t>
  </si>
  <si>
    <t>IN0123</t>
  </si>
  <si>
    <t>IN0124</t>
  </si>
  <si>
    <t>IN0125</t>
  </si>
  <si>
    <t>IN0126</t>
  </si>
  <si>
    <t>IN0127</t>
  </si>
  <si>
    <t>IN0128</t>
  </si>
  <si>
    <t>IN0129</t>
  </si>
  <si>
    <t>IN0130</t>
  </si>
  <si>
    <t>IN0131</t>
  </si>
  <si>
    <t>IN0132</t>
  </si>
  <si>
    <t>IN0133</t>
  </si>
  <si>
    <t xml:space="preserve">Fivela Retângulo 4/30mm (Ouro Velho) </t>
  </si>
  <si>
    <t>IN0134</t>
  </si>
  <si>
    <t xml:space="preserve">Fivela Retângulo 5/30mm (Níquel) </t>
  </si>
  <si>
    <t>IN0135</t>
  </si>
  <si>
    <t>IN0030</t>
  </si>
  <si>
    <t xml:space="preserve">Fivela Retrô 25mm (Ouro Velho) </t>
  </si>
  <si>
    <t>IN0038</t>
  </si>
  <si>
    <t>IN0249</t>
  </si>
  <si>
    <t>IN0260</t>
  </si>
  <si>
    <t>Gancho Pequeno (Preto) (Furo C/ 7mm)</t>
  </si>
  <si>
    <t>7mm</t>
  </si>
  <si>
    <t>IN0083</t>
  </si>
  <si>
    <t>IN0084</t>
  </si>
  <si>
    <t>Gorgurão Viés HXS 22mm 100m (Color)</t>
  </si>
  <si>
    <t>IN0303</t>
  </si>
  <si>
    <t>Gorgurão Viés HXS 22mm 100m (Preto ou Braco)</t>
  </si>
  <si>
    <t>IN0136</t>
  </si>
  <si>
    <t>IN0137</t>
  </si>
  <si>
    <t>IN0138</t>
  </si>
  <si>
    <t>IN0139</t>
  </si>
  <si>
    <t>IN0140</t>
  </si>
  <si>
    <t>IN0141</t>
  </si>
  <si>
    <t>IN0142</t>
  </si>
  <si>
    <t>IN0143</t>
  </si>
  <si>
    <t>IN0040</t>
  </si>
  <si>
    <t>IN0172</t>
  </si>
  <si>
    <t>Ilhós Para Cortina 40mm (Marrom)</t>
  </si>
  <si>
    <t>IN0144</t>
  </si>
  <si>
    <t>IN0145</t>
  </si>
  <si>
    <t>IN0146</t>
  </si>
  <si>
    <t>IN0250</t>
  </si>
  <si>
    <t>Infeite Especial Pulseira/Bolsa (Ouro Velho)</t>
  </si>
  <si>
    <t>IN0046</t>
  </si>
  <si>
    <t>IN0251</t>
  </si>
  <si>
    <t>IN0252</t>
  </si>
  <si>
    <t>IN0253</t>
  </si>
  <si>
    <t>IN0254</t>
  </si>
  <si>
    <t>IN0255</t>
  </si>
  <si>
    <t>IN0256</t>
  </si>
  <si>
    <t>IN0257</t>
  </si>
  <si>
    <t>IN0258</t>
  </si>
  <si>
    <t>IN0148</t>
  </si>
  <si>
    <t>IN0149</t>
  </si>
  <si>
    <t>IN0150</t>
  </si>
  <si>
    <t>Meia Argola 11mm (Níquel C/ Verniz)</t>
  </si>
  <si>
    <t>IN0151</t>
  </si>
  <si>
    <t>Meia Argola 11mm (Níquel Grafite C/ Verniz)</t>
  </si>
  <si>
    <t>IN0152</t>
  </si>
  <si>
    <t>Meia Argola 11mm (Ouro C/ Verniz)</t>
  </si>
  <si>
    <t>IN0153</t>
  </si>
  <si>
    <t>Meia Argola 11mm (Ouro Velho C/ Verniz)</t>
  </si>
  <si>
    <t>IN0154</t>
  </si>
  <si>
    <t>Meia Argola 11mm (Preto C/ Verniz)</t>
  </si>
  <si>
    <t>IN0155</t>
  </si>
  <si>
    <t>IN0113</t>
  </si>
  <si>
    <t>IN0110</t>
  </si>
  <si>
    <t>IN0156</t>
  </si>
  <si>
    <t>IN0157</t>
  </si>
  <si>
    <t>IN0158</t>
  </si>
  <si>
    <t>Meia Argola 3/30mm S/Solda (Ouro C/ Verniz)</t>
  </si>
  <si>
    <t>IN0159</t>
  </si>
  <si>
    <t>Meia Argola 3/40mm S/Solda (Níquel Velho)</t>
  </si>
  <si>
    <t>IN0066</t>
  </si>
  <si>
    <t>IN0236</t>
  </si>
  <si>
    <t>IN0226</t>
  </si>
  <si>
    <t>Meia Argola 410/30mm (Preto) (1000)</t>
  </si>
  <si>
    <t>IN0315</t>
  </si>
  <si>
    <t>IN0316</t>
  </si>
  <si>
    <t>IN0317</t>
  </si>
  <si>
    <t>IN0319</t>
  </si>
  <si>
    <t>IN0318</t>
  </si>
  <si>
    <t>IN0313</t>
  </si>
  <si>
    <t>Mosquetão 25mm (Dourado) - AA6629-25</t>
  </si>
  <si>
    <t>IN0311</t>
  </si>
  <si>
    <t>IN0314</t>
  </si>
  <si>
    <t>IN0312</t>
  </si>
  <si>
    <t>IN0287</t>
  </si>
  <si>
    <t>Mosquetão 30mm (Dourado) - AA6629-30</t>
  </si>
  <si>
    <t>IN0309</t>
  </si>
  <si>
    <t>IN0160</t>
  </si>
  <si>
    <t>IN0310</t>
  </si>
  <si>
    <t>IN0161</t>
  </si>
  <si>
    <t>IN0162</t>
  </si>
  <si>
    <t>IN0207</t>
  </si>
  <si>
    <t>IN0343</t>
  </si>
  <si>
    <t>IN0321</t>
  </si>
  <si>
    <t>Mosquetão Especial 25mm (Preto)</t>
  </si>
  <si>
    <t>IN0163</t>
  </si>
  <si>
    <t>IN0164</t>
  </si>
  <si>
    <t>Mosquetão Especial 30mm (Ouro Velho)</t>
  </si>
  <si>
    <t>IN0165</t>
  </si>
  <si>
    <t>Mosquetão Giratório Especial 20mm (Níquel C/ Verniz)</t>
  </si>
  <si>
    <t>IN0166</t>
  </si>
  <si>
    <t>Mosquetão Giratório Especial 30mm (Níquel C/ Verniz)</t>
  </si>
  <si>
    <t>IN0167</t>
  </si>
  <si>
    <t>Mosquetão Giratório Especial 30mm (Ouro C/ Verniz)</t>
  </si>
  <si>
    <t>IN0168</t>
  </si>
  <si>
    <t>Mosquetão Giratório Especial 40mm (Níquel) (Com agarrador pequeno) MOSTRUÁRIO</t>
  </si>
  <si>
    <t>IN0169</t>
  </si>
  <si>
    <t>Mosquetão Giratório Especial G 10mm (Níquel C/ Verniz)</t>
  </si>
  <si>
    <t>IN0170</t>
  </si>
  <si>
    <t>Mosquetão Giratório Especial P 10mm (Ouro C/ Verniz)</t>
  </si>
  <si>
    <t>IN0208</t>
  </si>
  <si>
    <t>Mosquetão Giratório Especial P 10mm (Ouro Velho C/ Verniz)</t>
  </si>
  <si>
    <t>IN0322</t>
  </si>
  <si>
    <t>Mosquetão Giratório Plástico 20mm (Preto)</t>
  </si>
  <si>
    <t>IN0209</t>
  </si>
  <si>
    <t>IN0171</t>
  </si>
  <si>
    <t>IN0342</t>
  </si>
  <si>
    <t>Mosquetão Plástico 10mm (Preto)</t>
  </si>
  <si>
    <t>IN0323</t>
  </si>
  <si>
    <t>Mosquetão Plástico Giratório 603/30 (Preto) (1000)</t>
  </si>
  <si>
    <t>IN0243</t>
  </si>
  <si>
    <t>Mosquetão Simples (Níquel)</t>
  </si>
  <si>
    <t>IN0324</t>
  </si>
  <si>
    <t>Mosquetão Simples Para Cortinas (Branco) (estilo box de banheiro)</t>
  </si>
  <si>
    <t>IN0285</t>
  </si>
  <si>
    <t>IN0264</t>
  </si>
  <si>
    <t>TNT, Napas, Plásticos, Fibras (e Afins)</t>
  </si>
  <si>
    <t>IN0265</t>
  </si>
  <si>
    <t>IN0266</t>
  </si>
  <si>
    <t>Nylon 300D Chicago (Jeans) 2 Mãos de Resina</t>
  </si>
  <si>
    <t>Jeans</t>
  </si>
  <si>
    <t>IN0267</t>
  </si>
  <si>
    <t>Nylon 300D Chicago (Marrom Café) 2 Mãos de Resina</t>
  </si>
  <si>
    <t>Marrom café</t>
  </si>
  <si>
    <t>IN0268</t>
  </si>
  <si>
    <t>Nylon Amassado (Amarelo)</t>
  </si>
  <si>
    <t>Amarelo</t>
  </si>
  <si>
    <t>IN0269</t>
  </si>
  <si>
    <t>Nylon Amassado (Azul)</t>
  </si>
  <si>
    <t>Azul Royal</t>
  </si>
  <si>
    <t>IN0270</t>
  </si>
  <si>
    <t>Nylon Amassado (Lilás)</t>
  </si>
  <si>
    <t>IN0271</t>
  </si>
  <si>
    <t>IN0272</t>
  </si>
  <si>
    <t>Nylon Amassado (Rosa Pink)</t>
  </si>
  <si>
    <t>Rosa Pink</t>
  </si>
  <si>
    <t>IN0273</t>
  </si>
  <si>
    <t>Nylon Amassado (Verde)</t>
  </si>
  <si>
    <t>Verde</t>
  </si>
  <si>
    <t>IN0274</t>
  </si>
  <si>
    <t>Nylon Amassado (Vermelho)</t>
  </si>
  <si>
    <t>IN0275</t>
  </si>
  <si>
    <t>Nylon Paraquedas (Azul Royal)</t>
  </si>
  <si>
    <t>IN0276</t>
  </si>
  <si>
    <t>Nylon Paraquedas 210 (Preto)</t>
  </si>
  <si>
    <t>IN0014</t>
  </si>
  <si>
    <t>Nylon Paraquedas 210 (Vermelho)</t>
  </si>
  <si>
    <t>IN0015</t>
  </si>
  <si>
    <t>Nylon Paraquedas Normal</t>
  </si>
  <si>
    <t>IN0016</t>
  </si>
  <si>
    <t>Nylon Paraquedas Resinado</t>
  </si>
  <si>
    <t>IN0220</t>
  </si>
  <si>
    <t>Nylon Paraquedas Resinado Grosso</t>
  </si>
  <si>
    <t>IN0017</t>
  </si>
  <si>
    <t>ARMARINHO OSÓRIO Ltda</t>
  </si>
  <si>
    <t>IN0298</t>
  </si>
  <si>
    <t>IN0173</t>
  </si>
  <si>
    <t>Passador 15mm (Níquel)</t>
  </si>
  <si>
    <t>IN0174</t>
  </si>
  <si>
    <t>Passador 20mm (Níquel)</t>
  </si>
  <si>
    <t>IN0175</t>
  </si>
  <si>
    <t>Passador 3/29mm (Níquel) (Retângulo Amplo)</t>
  </si>
  <si>
    <t>IN0176</t>
  </si>
  <si>
    <t>Passador 3/29mm (Níquel) (Retângulo mais Fechado)</t>
  </si>
  <si>
    <t>IN0177</t>
  </si>
  <si>
    <t>Passador 3/30mm (Ouro C/ Verniz)</t>
  </si>
  <si>
    <t>IN0178</t>
  </si>
  <si>
    <t>Passador 30mm (Ouro)</t>
  </si>
  <si>
    <t>IN0179</t>
  </si>
  <si>
    <t>Passador 37mm (Níquel)</t>
  </si>
  <si>
    <t>IN0210</t>
  </si>
  <si>
    <t>Passador 4,5/25mm (Ouro) (AMOSTRA, DESGASTE POR USO)</t>
  </si>
  <si>
    <t>IN0180</t>
  </si>
  <si>
    <t>IN0294</t>
  </si>
  <si>
    <t>IN0211</t>
  </si>
  <si>
    <t>IN0212</t>
  </si>
  <si>
    <t>IN0213</t>
  </si>
  <si>
    <t>IN0214</t>
  </si>
  <si>
    <t>IN0215</t>
  </si>
  <si>
    <t>IN0216</t>
  </si>
  <si>
    <t>IN0217</t>
  </si>
  <si>
    <t>IN0304</t>
  </si>
  <si>
    <t>IN0325</t>
  </si>
  <si>
    <t>Passador Plástico 200/20 (Preto) Redondo</t>
  </si>
  <si>
    <t>IN0326</t>
  </si>
  <si>
    <t>Passador Plástico 200/30mm Castelinho (Preto)</t>
  </si>
  <si>
    <t>IN0327</t>
  </si>
  <si>
    <t>Passador Plástico 202/30mm (Preto)</t>
  </si>
  <si>
    <t>IN0328</t>
  </si>
  <si>
    <t>Passador Plástico 25mm (Branco)</t>
  </si>
  <si>
    <t>IN0329</t>
  </si>
  <si>
    <t>Passador Plástico 25mm (Preto) (1000)</t>
  </si>
  <si>
    <t>IN0330</t>
  </si>
  <si>
    <t>Passador Plástico 25mm Castelinho (Transparente)</t>
  </si>
  <si>
    <t>IN0181</t>
  </si>
  <si>
    <t>Passador Plástico 30mm</t>
  </si>
  <si>
    <t>IN0331</t>
  </si>
  <si>
    <t>Passador Plástico 30mm (Branco)</t>
  </si>
  <si>
    <t>IN0332</t>
  </si>
  <si>
    <t>Passador Plástico 30mm (Transparente)</t>
  </si>
  <si>
    <t>IN0182</t>
  </si>
  <si>
    <t>Pé de bolsa</t>
  </si>
  <si>
    <t>IN0286</t>
  </si>
  <si>
    <t>Pingente Diverso</t>
  </si>
  <si>
    <t>IN0333</t>
  </si>
  <si>
    <t>Plaqueta "SPIKE" Plástico 409/41 C/ Detalhes (Preto) (1000) "Prova de Atrito"</t>
  </si>
  <si>
    <t>IN0334</t>
  </si>
  <si>
    <t>Plaqueta Circular "furo" Fone de Ouvido (Preto)</t>
  </si>
  <si>
    <t>IN0335</t>
  </si>
  <si>
    <t>Plaqueta de Embalagem (Laranja) INSIGHT</t>
  </si>
  <si>
    <t>IN0336</t>
  </si>
  <si>
    <t>Plaqueta de Embalagem (Preto)</t>
  </si>
  <si>
    <t>IN0337</t>
  </si>
  <si>
    <t>Plaqueta Gota "furo" Fone de Ouvido (Preto)</t>
  </si>
  <si>
    <t>IN0025</t>
  </si>
  <si>
    <t>TNT (Napas, Plásticos, Fibras)</t>
  </si>
  <si>
    <t>Plástico Cristal (Cristal) 040 "Para telas de tablets"</t>
  </si>
  <si>
    <t>Cristal</t>
  </si>
  <si>
    <t>IN0026</t>
  </si>
  <si>
    <t>Plástico Crystal 20</t>
  </si>
  <si>
    <t>IN0035</t>
  </si>
  <si>
    <t>Plástico Crystal 30</t>
  </si>
  <si>
    <t>IN0027</t>
  </si>
  <si>
    <t>PEGAZA</t>
  </si>
  <si>
    <t>Plástico Crystal 40</t>
  </si>
  <si>
    <t>IN0024</t>
  </si>
  <si>
    <t>IN0277</t>
  </si>
  <si>
    <t>IN0278</t>
  </si>
  <si>
    <t>IN0279</t>
  </si>
  <si>
    <t>IN0280</t>
  </si>
  <si>
    <t>Poliéster 1680d ULY (Vermelho)</t>
  </si>
  <si>
    <t>IN0281</t>
  </si>
  <si>
    <t>IN0282</t>
  </si>
  <si>
    <t>Poliéster 300/300 (Laranja) 2 Mãos de Resina</t>
  </si>
  <si>
    <t>IN0283</t>
  </si>
  <si>
    <t>IN0284</t>
  </si>
  <si>
    <t>IN0218</t>
  </si>
  <si>
    <t>IN0033</t>
  </si>
  <si>
    <t>IN0338</t>
  </si>
  <si>
    <t>Ponteira de Fio (Plástico) (Furo com 5mm) (Preto) (Dobrável)</t>
  </si>
  <si>
    <t>IN0034</t>
  </si>
  <si>
    <t>IN0183</t>
  </si>
  <si>
    <t>IN0184</t>
  </si>
  <si>
    <t>Quadro 15mm (Níquel)</t>
  </si>
  <si>
    <t>IN0185</t>
  </si>
  <si>
    <t>Quadro 20mm (Níquel)</t>
  </si>
  <si>
    <t>IN0186</t>
  </si>
  <si>
    <t>Quadro 25mm (Níquel)</t>
  </si>
  <si>
    <t>IN0187</t>
  </si>
  <si>
    <t>Quadro 28mm (Ouro)</t>
  </si>
  <si>
    <t>IN0188</t>
  </si>
  <si>
    <t>Quadro 4,5/15mm (Níquel) OXIDANDO</t>
  </si>
  <si>
    <t>IN0189</t>
  </si>
  <si>
    <t>Quadro 40mm (Níquel)</t>
  </si>
  <si>
    <t>IN0190</t>
  </si>
  <si>
    <t>Quadro 50mm (Níquel Velho)</t>
  </si>
  <si>
    <t>IN0191</t>
  </si>
  <si>
    <t>Quadro Especial 20mm (Níquel) (OXIDANDO)</t>
  </si>
  <si>
    <t>IN0305</t>
  </si>
  <si>
    <t>Quadro Especial 20mm (Ouro Velho)</t>
  </si>
  <si>
    <t>IN0192</t>
  </si>
  <si>
    <t>IN0193</t>
  </si>
  <si>
    <t>IN0237</t>
  </si>
  <si>
    <t>IN0018</t>
  </si>
  <si>
    <t>IN0028</t>
  </si>
  <si>
    <t>IN0194</t>
  </si>
  <si>
    <t>IN0195</t>
  </si>
  <si>
    <t>IN0196</t>
  </si>
  <si>
    <t>IN0063</t>
  </si>
  <si>
    <t>IN0339</t>
  </si>
  <si>
    <t>Spikes Pés de Malas Plástico (Preto)</t>
  </si>
  <si>
    <t>IN0064</t>
  </si>
  <si>
    <t>Tassel 7,5cm</t>
  </si>
  <si>
    <t>IN0007</t>
  </si>
  <si>
    <t>Tassel Duplo 5cm</t>
  </si>
  <si>
    <t>IN0006</t>
  </si>
  <si>
    <t>PARANATEX</t>
  </si>
  <si>
    <t>Tecido Brim Delfe</t>
  </si>
  <si>
    <t>IN0004</t>
  </si>
  <si>
    <t>Tecido Brim Mediterre</t>
  </si>
  <si>
    <t>IN0005</t>
  </si>
  <si>
    <t>Tecido Brim Santorine</t>
  </si>
  <si>
    <t>IN0008</t>
  </si>
  <si>
    <t>Tecido Brim Santorine Colorido</t>
  </si>
  <si>
    <t>IN0020</t>
  </si>
  <si>
    <t>IN0262</t>
  </si>
  <si>
    <t>IN0019</t>
  </si>
  <si>
    <t>IN0037</t>
  </si>
  <si>
    <t>Telam Voley</t>
  </si>
  <si>
    <t>IN0036</t>
  </si>
  <si>
    <t>TNT 100</t>
  </si>
  <si>
    <t>IN0238</t>
  </si>
  <si>
    <t>IN0029</t>
  </si>
  <si>
    <t>IN0009</t>
  </si>
  <si>
    <t>IN0340</t>
  </si>
  <si>
    <t>Triângulo Plástico 25mm (Preto)</t>
  </si>
  <si>
    <t>IN0341</t>
  </si>
  <si>
    <t>Triângulo Plástico 30mm (Preto)</t>
  </si>
  <si>
    <t>IN0010</t>
  </si>
  <si>
    <t>IN0032</t>
  </si>
  <si>
    <t>Tricoline Vichy Xadre</t>
  </si>
  <si>
    <t>IN0031</t>
  </si>
  <si>
    <t>IN0087</t>
  </si>
  <si>
    <t>IN0089</t>
  </si>
  <si>
    <t>IN0086</t>
  </si>
  <si>
    <t>IN0039</t>
  </si>
  <si>
    <t>IN0088</t>
  </si>
  <si>
    <t>IN0223</t>
  </si>
  <si>
    <t>Ziper 06 (Color) (200) COMUM</t>
  </si>
  <si>
    <t>IN0224</t>
  </si>
  <si>
    <t>Ziper 06 (Preto) (200) COMUM</t>
  </si>
  <si>
    <t>IN0225</t>
  </si>
  <si>
    <t>Ziper 08 (Color) COMUM</t>
  </si>
  <si>
    <t>IN0060</t>
  </si>
  <si>
    <t>Ziper 08 (Preto) (200) COMUM</t>
  </si>
  <si>
    <t>IN0052</t>
  </si>
  <si>
    <t>Zíper Metro NYLON 5</t>
  </si>
  <si>
    <t>IN0053</t>
  </si>
  <si>
    <t>IN0054</t>
  </si>
  <si>
    <t>IN0055</t>
  </si>
  <si>
    <t>IN0056</t>
  </si>
  <si>
    <t>IN0057</t>
  </si>
  <si>
    <t>IN0058</t>
  </si>
  <si>
    <t>IN0059</t>
  </si>
  <si>
    <t>IN0290</t>
  </si>
  <si>
    <t>IN0291</t>
  </si>
  <si>
    <t>IN0292</t>
  </si>
  <si>
    <t>IN0293</t>
  </si>
  <si>
    <t>IN0050</t>
  </si>
  <si>
    <t>IN0308</t>
  </si>
  <si>
    <t>Zíper YKK n.6</t>
  </si>
  <si>
    <t>IN0348</t>
  </si>
  <si>
    <t>IN0349</t>
  </si>
  <si>
    <t>IN0350</t>
  </si>
  <si>
    <t>IN0351</t>
  </si>
  <si>
    <t>IN0352</t>
  </si>
  <si>
    <t>IN0353</t>
  </si>
  <si>
    <t>IN0354</t>
  </si>
  <si>
    <t>IN0355</t>
  </si>
  <si>
    <t>IN0356</t>
  </si>
  <si>
    <t>IN0357</t>
  </si>
  <si>
    <t>IN0358</t>
  </si>
  <si>
    <t>IN0359</t>
  </si>
  <si>
    <t>IN0360</t>
  </si>
  <si>
    <t>IN0361</t>
  </si>
  <si>
    <t>IN0362</t>
  </si>
  <si>
    <t>IN0363</t>
  </si>
  <si>
    <t>IN0364</t>
  </si>
  <si>
    <t>IN0365</t>
  </si>
  <si>
    <t>IN0366</t>
  </si>
  <si>
    <t>IN0367</t>
  </si>
  <si>
    <t>IN0368</t>
  </si>
  <si>
    <t>IN0369</t>
  </si>
  <si>
    <t>IN0370</t>
  </si>
  <si>
    <t>IN0371</t>
  </si>
  <si>
    <t>IN0372</t>
  </si>
  <si>
    <t>IN0373</t>
  </si>
  <si>
    <t>IN0374</t>
  </si>
  <si>
    <t>IN0375</t>
  </si>
  <si>
    <t>IN0376</t>
  </si>
  <si>
    <t>IN0377</t>
  </si>
  <si>
    <t>IN0378</t>
  </si>
  <si>
    <t>IN0379</t>
  </si>
  <si>
    <t>IN0380</t>
  </si>
  <si>
    <t>IN0381</t>
  </si>
  <si>
    <t>IN0382</t>
  </si>
  <si>
    <t>IN0383</t>
  </si>
  <si>
    <t>IN0384</t>
  </si>
  <si>
    <t>IN0385</t>
  </si>
  <si>
    <t>IN0386</t>
  </si>
  <si>
    <t>IN0387</t>
  </si>
  <si>
    <t>IN0388</t>
  </si>
  <si>
    <t>IN0389</t>
  </si>
  <si>
    <t>IN0390</t>
  </si>
  <si>
    <t>IN0391</t>
  </si>
  <si>
    <t>IN0392</t>
  </si>
  <si>
    <t>IN0393</t>
  </si>
  <si>
    <t>IN0394</t>
  </si>
  <si>
    <t>IN0395</t>
  </si>
  <si>
    <t>IN0396</t>
  </si>
  <si>
    <t>IN0397</t>
  </si>
  <si>
    <t>IN0398</t>
  </si>
  <si>
    <t>IN0399</t>
  </si>
  <si>
    <t>IN0400</t>
  </si>
  <si>
    <t>IN0401</t>
  </si>
  <si>
    <t>IN0402</t>
  </si>
  <si>
    <t>IN0403</t>
  </si>
  <si>
    <t>IN0404</t>
  </si>
  <si>
    <t>IN0405</t>
  </si>
  <si>
    <t>IN0406</t>
  </si>
  <si>
    <t>IN0407</t>
  </si>
  <si>
    <t>IN0408</t>
  </si>
  <si>
    <t>IN0409</t>
  </si>
  <si>
    <t>IN0410</t>
  </si>
  <si>
    <t>IN0411</t>
  </si>
  <si>
    <t>IN0412</t>
  </si>
  <si>
    <t>IN0413</t>
  </si>
  <si>
    <t>IN0414</t>
  </si>
  <si>
    <t>IN0415</t>
  </si>
  <si>
    <t>IN0416</t>
  </si>
  <si>
    <t>IN0417</t>
  </si>
  <si>
    <t>IN0418</t>
  </si>
  <si>
    <t>IN0419</t>
  </si>
  <si>
    <t>IN0420</t>
  </si>
  <si>
    <t>IN0421</t>
  </si>
  <si>
    <t>IN0422</t>
  </si>
  <si>
    <t>IN0423</t>
  </si>
  <si>
    <t>IN0424</t>
  </si>
  <si>
    <t>IN0425</t>
  </si>
  <si>
    <t>IN0426</t>
  </si>
  <si>
    <t>IN0427</t>
  </si>
  <si>
    <t>IN0428</t>
  </si>
  <si>
    <t>IN0429</t>
  </si>
  <si>
    <t>IN0430</t>
  </si>
  <si>
    <t>IN0431</t>
  </si>
  <si>
    <t>IN0432</t>
  </si>
  <si>
    <t>IN0433</t>
  </si>
  <si>
    <t>IN0434</t>
  </si>
  <si>
    <t>IN0435</t>
  </si>
  <si>
    <t>IN0436</t>
  </si>
  <si>
    <t>IN0437</t>
  </si>
  <si>
    <t>IN0438</t>
  </si>
  <si>
    <t>IN0439</t>
  </si>
  <si>
    <t>IN0440</t>
  </si>
  <si>
    <t>IN0441</t>
  </si>
  <si>
    <t>IN0442</t>
  </si>
  <si>
    <t>IN0443</t>
  </si>
  <si>
    <t>IN0444</t>
  </si>
  <si>
    <t>IN0445</t>
  </si>
  <si>
    <t>IN0446</t>
  </si>
  <si>
    <t>IN0447</t>
  </si>
  <si>
    <t>IN0448</t>
  </si>
  <si>
    <t>IN0449</t>
  </si>
  <si>
    <t>IN0450</t>
  </si>
  <si>
    <t>IN0451</t>
  </si>
  <si>
    <t>IN0452</t>
  </si>
  <si>
    <t>IN0453</t>
  </si>
  <si>
    <t>IN0454</t>
  </si>
  <si>
    <t>IN0455</t>
  </si>
  <si>
    <t>IN0456</t>
  </si>
  <si>
    <t>IN0457</t>
  </si>
  <si>
    <t>IN0458</t>
  </si>
  <si>
    <t>IN0459</t>
  </si>
  <si>
    <t>IN0460</t>
  </si>
  <si>
    <t>IN0461</t>
  </si>
  <si>
    <t>IN0462</t>
  </si>
  <si>
    <t>IN0463</t>
  </si>
  <si>
    <t>IN0464</t>
  </si>
  <si>
    <t>IN0465</t>
  </si>
  <si>
    <t>IN0466</t>
  </si>
  <si>
    <t>IN0467</t>
  </si>
  <si>
    <t>IN0468</t>
  </si>
  <si>
    <t>IN0469</t>
  </si>
  <si>
    <t>IN0470</t>
  </si>
  <si>
    <t>IN0471</t>
  </si>
  <si>
    <t>IN0472</t>
  </si>
  <si>
    <t>IN0473</t>
  </si>
  <si>
    <t>IN0474</t>
  </si>
  <si>
    <t>IN0475</t>
  </si>
  <si>
    <t>IN0476</t>
  </si>
  <si>
    <t>IN0477</t>
  </si>
  <si>
    <t>IN0478</t>
  </si>
  <si>
    <t>IN0479</t>
  </si>
  <si>
    <t>IN0480</t>
  </si>
  <si>
    <t>IN0481</t>
  </si>
  <si>
    <t>IN0482</t>
  </si>
  <si>
    <t>IN0483</t>
  </si>
  <si>
    <t>IN0484</t>
  </si>
  <si>
    <t>IN0485</t>
  </si>
  <si>
    <t>IN0486</t>
  </si>
  <si>
    <t>IN0487</t>
  </si>
  <si>
    <t>IN0488</t>
  </si>
  <si>
    <t>IN0489</t>
  </si>
  <si>
    <t>IN0490</t>
  </si>
  <si>
    <t>IN0491</t>
  </si>
  <si>
    <t>IN0492</t>
  </si>
  <si>
    <t>IN0493</t>
  </si>
  <si>
    <t>IN0494</t>
  </si>
  <si>
    <t>IN0495</t>
  </si>
  <si>
    <t>IN0496</t>
  </si>
  <si>
    <t>IN0497</t>
  </si>
  <si>
    <t>IN0498</t>
  </si>
  <si>
    <t>IN0499</t>
  </si>
  <si>
    <t>IN0500</t>
  </si>
  <si>
    <t>Contato do FORNECEDOR</t>
  </si>
  <si>
    <t>CAC-Cadarços e cordas</t>
  </si>
  <si>
    <t>AVI-Aviamentos diversos</t>
  </si>
  <si>
    <t>MET-Aviamentos de metal</t>
  </si>
  <si>
    <t>NYL-Aviamentos de nylon</t>
  </si>
  <si>
    <t>ZIP-Zíperes</t>
  </si>
  <si>
    <t>PLA-Aviamentos de plástico</t>
  </si>
  <si>
    <t>COU-Couros e sintéticos</t>
  </si>
  <si>
    <t>LIN-Linhas</t>
  </si>
  <si>
    <t>PAP-Papéis e embalagens</t>
  </si>
  <si>
    <t>TEE-Tecidos especiais</t>
  </si>
  <si>
    <t>FIB-Fibras e enchimentos</t>
  </si>
  <si>
    <t>FER-Ferramentas e maquinários</t>
  </si>
  <si>
    <t>TEP-Tecidos planos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</si>
</sst>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7" formatCode="&quot;R$&quot;\ #,##0.00;\-&quot;R$&quot;\ #,##0.00"/>
    <numFmt numFmtId="8" formatCode="&quot;R$&quot;\ #,##0.00;[Red]\-&quot;R$&quot;\ #,##0.00"/>
    <numFmt numFmtId="44" formatCode="_-&quot;R$&quot;\ * #,##0.00_-;\-&quot;R$&quot;\ * #,##0.00_-;_-&quot;R$&quot;\ * &quot;-&quot;??_-;_-@_-"/>
    <numFmt numFmtId="164" formatCode="&quot;R$&quot;#,##0.00;[Red]\-&quot;R$&quot;#,##0.00"/>
    <numFmt numFmtId="165" formatCode="_-&quot;R$&quot;* #,##0.00_-;\-&quot;R$&quot;* #,##0.00_-;_-&quot;R$&quot;* &quot;-&quot;??_-;_-@_-"/>
    <numFmt numFmtId="166" formatCode="&quot;R$&quot;\ #,##0.00"/>
    <numFmt numFmtId="167" formatCode="[$R$-416]#,##0.00"/>
    <numFmt numFmtId="168" formatCode="&quot;R$&quot;#,##0.00"/>
    <numFmt numFmtId="169" formatCode="0.0000"/>
    <numFmt numFmtId="170" formatCode="&quot;Reordenar&quot;;&quot;&quot;;&quot;&quot;"/>
    <numFmt numFmtId="171" formatCode="#,##0.00_ ;[Red]\-#,##0.00\ "/>
    <numFmt numFmtId="172" formatCode="#,##0.0000_ ;[Red]\-#,##0.0000\ "/>
    <numFmt numFmtId="173" formatCode="_-[$R$-416]* #,##0.00_-;\-[$R$-416]* #,##0.00_-;_-[$R$-416]* &quot;-&quot;??_-;_-@_-"/>
    <numFmt numFmtId="174" formatCode="[$-F400]h:mm:ss\ AM/PM"/>
    <numFmt numFmtId="175" formatCode="0.0"/>
    <numFmt numFmtId="176" formatCode="0.000"/>
  </numFmts>
  <fonts count="104" x14ac:knownFonts="1">
    <font>
      <sz val="11"/>
      <color theme="1"/>
      <name val="Calibri"/>
      <family val="2"/>
      <scheme val="minor"/>
    </font>
    <font>
      <sz val="11"/>
      <color theme="1"/>
      <name val="Calibri"/>
      <family val="2"/>
      <scheme val="minor"/>
    </font>
    <font>
      <sz val="11"/>
      <color rgb="FF9C5700"/>
      <name val="Calibri"/>
      <family val="2"/>
      <scheme val="minor"/>
    </font>
    <font>
      <sz val="11"/>
      <color rgb="FF3F3F76"/>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4"/>
      <color rgb="FFC00000"/>
      <name val="Calibri"/>
      <family val="2"/>
    </font>
    <font>
      <b/>
      <sz val="14"/>
      <color rgb="FF000000"/>
      <name val="Calibri"/>
      <family val="2"/>
    </font>
    <font>
      <b/>
      <sz val="14"/>
      <color theme="0"/>
      <name val="Calibri"/>
      <family val="2"/>
    </font>
    <font>
      <b/>
      <sz val="14"/>
      <color theme="0"/>
      <name val="Calibri"/>
      <family val="2"/>
      <scheme val="minor"/>
    </font>
    <font>
      <b/>
      <sz val="14"/>
      <color rgb="FFFFFFFF"/>
      <name val="Calibri"/>
      <family val="2"/>
      <scheme val="minor"/>
    </font>
    <font>
      <b/>
      <sz val="10"/>
      <color rgb="FF000000"/>
      <name val="Calibri"/>
      <family val="2"/>
      <scheme val="minor"/>
    </font>
    <font>
      <sz val="11"/>
      <color rgb="FFC00000"/>
      <name val="Calibri"/>
      <family val="2"/>
      <scheme val="minor"/>
    </font>
    <font>
      <sz val="11"/>
      <color theme="4"/>
      <name val="Calibri"/>
      <family val="2"/>
      <scheme val="minor"/>
    </font>
    <font>
      <b/>
      <sz val="11"/>
      <color rgb="FF3F3F76"/>
      <name val="Calibri"/>
      <family val="2"/>
      <scheme val="minor"/>
    </font>
    <font>
      <b/>
      <sz val="11"/>
      <color theme="4"/>
      <name val="Calibri"/>
      <family val="2"/>
      <scheme val="minor"/>
    </font>
    <font>
      <b/>
      <sz val="11"/>
      <name val="Calibri"/>
      <family val="2"/>
      <scheme val="minor"/>
    </font>
    <font>
      <sz val="11"/>
      <name val="Calibri"/>
      <family val="2"/>
      <scheme val="minor"/>
    </font>
    <font>
      <sz val="8"/>
      <name val="Calibri"/>
      <family val="2"/>
      <scheme val="minor"/>
    </font>
    <font>
      <b/>
      <sz val="11"/>
      <color rgb="FFC00000"/>
      <name val="Calibri"/>
      <family val="2"/>
      <scheme val="minor"/>
    </font>
    <font>
      <b/>
      <sz val="10"/>
      <color theme="1"/>
      <name val="Calibri"/>
      <family val="2"/>
      <scheme val="minor"/>
    </font>
    <font>
      <b/>
      <sz val="11"/>
      <color rgb="FF0070C0"/>
      <name val="Calibri"/>
      <family val="2"/>
      <scheme val="minor"/>
    </font>
    <font>
      <sz val="11"/>
      <color rgb="FF0070C0"/>
      <name val="Calibri"/>
      <family val="2"/>
      <scheme val="minor"/>
    </font>
    <font>
      <sz val="12"/>
      <color rgb="FF0070C0"/>
      <name val="Segoe UI"/>
      <family val="2"/>
    </font>
    <font>
      <b/>
      <sz val="14"/>
      <color rgb="FF0070C0"/>
      <name val="Calibri"/>
      <family val="2"/>
    </font>
    <font>
      <sz val="11"/>
      <color rgb="FF00B050"/>
      <name val="Calibri"/>
      <family val="2"/>
      <scheme val="minor"/>
    </font>
    <font>
      <b/>
      <sz val="14"/>
      <color rgb="FF00B050"/>
      <name val="Calibri"/>
      <family val="2"/>
    </font>
    <font>
      <sz val="8"/>
      <color theme="1"/>
      <name val="Calibri"/>
      <family val="2"/>
      <scheme val="minor"/>
    </font>
    <font>
      <b/>
      <sz val="11"/>
      <color rgb="FF3F3F3F"/>
      <name val="Calibri"/>
      <family val="2"/>
      <scheme val="minor"/>
    </font>
    <font>
      <b/>
      <sz val="11"/>
      <color rgb="FF9C6500"/>
      <name val="Calibri"/>
      <family val="2"/>
      <scheme val="minor"/>
    </font>
    <font>
      <b/>
      <sz val="14"/>
      <color theme="4"/>
      <name val="Calibri"/>
      <family val="2"/>
    </font>
    <font>
      <sz val="11"/>
      <color rgb="FFFFFFFF"/>
      <name val="Calibri"/>
      <family val="2"/>
      <scheme val="minor"/>
    </font>
    <font>
      <b/>
      <sz val="11"/>
      <color rgb="FF000000"/>
      <name val="Calibri"/>
      <family val="2"/>
      <scheme val="minor"/>
    </font>
    <font>
      <sz val="11"/>
      <color rgb="FF000000"/>
      <name val="Calibri"/>
      <family val="2"/>
      <scheme val="minor"/>
    </font>
    <font>
      <sz val="10"/>
      <color rgb="FFC00000"/>
      <name val="Calibri"/>
      <family val="2"/>
      <scheme val="minor"/>
    </font>
    <font>
      <sz val="11"/>
      <color rgb="FFE36C09"/>
      <name val="Calibri"/>
      <family val="2"/>
      <scheme val="minor"/>
    </font>
    <font>
      <sz val="11"/>
      <color rgb="FFF2F2F2"/>
      <name val="Calibri"/>
      <family val="2"/>
      <scheme val="minor"/>
    </font>
    <font>
      <sz val="11"/>
      <color rgb="FF76923C"/>
      <name val="Calibri"/>
      <family val="2"/>
      <scheme val="minor"/>
    </font>
    <font>
      <sz val="11"/>
      <color rgb="FF953734"/>
      <name val="Calibri"/>
      <family val="2"/>
      <scheme val="minor"/>
    </font>
    <font>
      <sz val="20"/>
      <color rgb="FF000000"/>
      <name val="Calibri"/>
      <family val="2"/>
      <scheme val="minor"/>
    </font>
    <font>
      <sz val="10"/>
      <color rgb="FF000000"/>
      <name val="Calibri"/>
      <family val="2"/>
      <scheme val="minor"/>
    </font>
    <font>
      <b/>
      <sz val="14"/>
      <color rgb="FF92D050"/>
      <name val="Calibri"/>
      <family val="2"/>
    </font>
    <font>
      <b/>
      <sz val="12"/>
      <color rgb="FF0070C0"/>
      <name val="Calibri"/>
      <family val="2"/>
      <scheme val="minor"/>
    </font>
    <font>
      <b/>
      <sz val="15"/>
      <color theme="3"/>
      <name val="Calibri"/>
      <family val="2"/>
      <scheme val="minor"/>
    </font>
    <font>
      <sz val="11"/>
      <color rgb="FF9C6500"/>
      <name val="Calibri"/>
      <family val="2"/>
      <scheme val="minor"/>
    </font>
    <font>
      <sz val="11"/>
      <color rgb="FF4F6128"/>
      <name val="Calibri"/>
      <family val="2"/>
      <scheme val="minor"/>
    </font>
    <font>
      <b/>
      <sz val="14"/>
      <color rgb="FF4F6128"/>
      <name val="Calibri"/>
      <family val="2"/>
    </font>
    <font>
      <u/>
      <sz val="11"/>
      <color rgb="FF76923C"/>
      <name val="Calibri"/>
      <family val="2"/>
      <scheme val="minor"/>
    </font>
    <font>
      <sz val="10"/>
      <color theme="1" tint="4.9989318521683403E-2"/>
      <name val="Calibri"/>
      <family val="2"/>
      <scheme val="minor"/>
    </font>
    <font>
      <b/>
      <sz val="10"/>
      <color theme="0"/>
      <name val="Calibri Light"/>
      <family val="2"/>
      <scheme val="major"/>
    </font>
    <font>
      <b/>
      <sz val="10"/>
      <color rgb="FF000000"/>
      <name val="Calibri Light"/>
      <family val="2"/>
      <scheme val="major"/>
    </font>
    <font>
      <sz val="12"/>
      <color theme="0"/>
      <name val="Calibri"/>
      <family val="2"/>
      <scheme val="minor"/>
    </font>
    <font>
      <sz val="8"/>
      <color theme="0"/>
      <name val="Calibri"/>
      <family val="2"/>
      <scheme val="minor"/>
    </font>
    <font>
      <b/>
      <sz val="8"/>
      <name val="Calibri"/>
      <family val="2"/>
      <scheme val="minor"/>
    </font>
    <font>
      <b/>
      <sz val="10"/>
      <name val="Calibri"/>
      <family val="2"/>
      <scheme val="minor"/>
    </font>
    <font>
      <sz val="11"/>
      <color rgb="FF0070C0"/>
      <name val="Segoe UI"/>
      <family val="2"/>
    </font>
    <font>
      <b/>
      <sz val="11"/>
      <color rgb="FF9C5700"/>
      <name val="Calibri"/>
      <family val="2"/>
      <scheme val="minor"/>
    </font>
    <font>
      <sz val="14"/>
      <color theme="1"/>
      <name val="Calibri"/>
      <family val="2"/>
      <scheme val="minor"/>
    </font>
    <font>
      <b/>
      <sz val="12"/>
      <color rgb="FF3F3F76"/>
      <name val="Calibri"/>
      <family val="2"/>
      <scheme val="minor"/>
    </font>
    <font>
      <sz val="11"/>
      <color rgb="FFFF0000"/>
      <name val="Calibri"/>
      <family val="2"/>
      <scheme val="minor"/>
    </font>
    <font>
      <sz val="11"/>
      <color rgb="FFC00000"/>
      <name val="Calibri"/>
      <family val="2"/>
    </font>
    <font>
      <b/>
      <sz val="18"/>
      <color theme="0"/>
      <name val="Calibri Light"/>
      <family val="2"/>
      <scheme val="major"/>
    </font>
    <font>
      <sz val="8"/>
      <color rgb="FF00B050"/>
      <name val="Calibri"/>
      <family val="2"/>
      <scheme val="minor"/>
    </font>
    <font>
      <b/>
      <sz val="20"/>
      <color theme="3"/>
      <name val="Calibri Light"/>
      <family val="2"/>
      <scheme val="major"/>
    </font>
    <font>
      <b/>
      <sz val="12"/>
      <name val="Calibri"/>
      <family val="2"/>
      <scheme val="minor"/>
    </font>
    <font>
      <b/>
      <sz val="12"/>
      <color rgb="FFC00000"/>
      <name val="Calibri"/>
      <family val="2"/>
      <scheme val="minor"/>
    </font>
    <font>
      <b/>
      <sz val="13"/>
      <color theme="3"/>
      <name val="Calibri"/>
      <family val="2"/>
      <scheme val="minor"/>
    </font>
    <font>
      <b/>
      <sz val="13"/>
      <name val="Calibri"/>
      <family val="2"/>
      <scheme val="minor"/>
    </font>
    <font>
      <b/>
      <sz val="13"/>
      <color rgb="FF0070C0"/>
      <name val="Calibri"/>
      <family val="2"/>
      <scheme val="minor"/>
    </font>
    <font>
      <sz val="13"/>
      <name val="Calibri"/>
      <family val="2"/>
      <scheme val="minor"/>
    </font>
    <font>
      <b/>
      <sz val="11"/>
      <color rgb="FF00B050"/>
      <name val="Calibri"/>
      <family val="2"/>
      <scheme val="minor"/>
    </font>
    <font>
      <b/>
      <sz val="15"/>
      <color theme="0"/>
      <name val="Calibri"/>
      <family val="2"/>
      <scheme val="minor"/>
    </font>
    <font>
      <sz val="12"/>
      <color rgb="FF00B050"/>
      <name val="Calibri"/>
      <family val="2"/>
      <scheme val="minor"/>
    </font>
    <font>
      <b/>
      <sz val="14"/>
      <color rgb="FFFF0000"/>
      <name val="Calibri"/>
      <family val="2"/>
      <scheme val="minor"/>
    </font>
    <font>
      <sz val="9"/>
      <color theme="0"/>
      <name val="Calibri"/>
      <family val="2"/>
      <scheme val="minor"/>
    </font>
    <font>
      <b/>
      <sz val="11"/>
      <color rgb="FF0070C0"/>
      <name val="Calibri Light"/>
      <family val="2"/>
      <scheme val="major"/>
    </font>
    <font>
      <b/>
      <sz val="12"/>
      <color rgb="FF00B050"/>
      <name val="Calibri"/>
      <family val="2"/>
      <scheme val="minor"/>
    </font>
    <font>
      <sz val="11"/>
      <color theme="0" tint="-0.14999847407452621"/>
      <name val="Calibri"/>
      <family val="2"/>
      <scheme val="minor"/>
    </font>
    <font>
      <b/>
      <sz val="11"/>
      <color theme="0" tint="-0.14999847407452621"/>
      <name val="Calibri"/>
      <family val="2"/>
      <scheme val="minor"/>
    </font>
    <font>
      <sz val="9"/>
      <color theme="1"/>
      <name val="Calibri"/>
      <family val="2"/>
      <scheme val="minor"/>
    </font>
    <font>
      <u/>
      <sz val="11"/>
      <color theme="1"/>
      <name val="Calibri"/>
      <family val="2"/>
      <scheme val="minor"/>
    </font>
    <font>
      <i/>
      <sz val="11"/>
      <color rgb="FFFF0000"/>
      <name val="Calibri"/>
      <family val="2"/>
      <scheme val="minor"/>
    </font>
    <font>
      <b/>
      <sz val="10"/>
      <color theme="1"/>
      <name val="Calibri"/>
      <family val="2"/>
    </font>
    <font>
      <b/>
      <u/>
      <sz val="10"/>
      <color theme="1"/>
      <name val="Calibri"/>
      <family val="2"/>
      <scheme val="minor"/>
    </font>
    <font>
      <b/>
      <i/>
      <sz val="10"/>
      <color rgb="FFFF0000"/>
      <name val="Calibri"/>
      <family val="2"/>
      <scheme val="minor"/>
    </font>
    <font>
      <b/>
      <i/>
      <sz val="10"/>
      <color rgb="FFFF0000"/>
      <name val="Calibri"/>
      <family val="2"/>
    </font>
    <font>
      <b/>
      <i/>
      <u/>
      <sz val="10"/>
      <color rgb="FFFF0000"/>
      <name val="Calibri"/>
      <family val="2"/>
      <scheme val="minor"/>
    </font>
    <font>
      <b/>
      <sz val="10"/>
      <name val="Calibri"/>
      <family val="2"/>
    </font>
    <font>
      <b/>
      <u/>
      <sz val="10"/>
      <name val="Calibri"/>
      <family val="2"/>
      <scheme val="minor"/>
    </font>
    <font>
      <i/>
      <sz val="9"/>
      <color theme="1"/>
      <name val="Calibri"/>
      <family val="2"/>
      <scheme val="minor"/>
    </font>
    <font>
      <b/>
      <sz val="14"/>
      <color rgb="FF3F3F76"/>
      <name val="Calibri"/>
      <family val="2"/>
      <scheme val="minor"/>
    </font>
    <font>
      <b/>
      <sz val="14"/>
      <color rgb="FFC00000"/>
      <name val="Calibri"/>
      <family val="2"/>
      <scheme val="minor"/>
    </font>
    <font>
      <sz val="11"/>
      <color rgb="FF9C0006"/>
      <name val="Calibri"/>
      <family val="2"/>
      <scheme val="minor"/>
    </font>
    <font>
      <strike/>
      <sz val="11"/>
      <color theme="0"/>
      <name val="Calibri"/>
      <family val="2"/>
      <scheme val="minor"/>
    </font>
    <font>
      <b/>
      <strike/>
      <sz val="11"/>
      <color theme="0"/>
      <name val="Calibri"/>
      <family val="2"/>
      <scheme val="minor"/>
    </font>
    <font>
      <b/>
      <i/>
      <sz val="10"/>
      <name val="Calibri"/>
      <family val="2"/>
      <scheme val="minor"/>
    </font>
    <font>
      <b/>
      <i/>
      <sz val="10"/>
      <name val="Calibri"/>
      <family val="2"/>
    </font>
    <font>
      <b/>
      <i/>
      <u/>
      <sz val="10"/>
      <name val="Calibri"/>
      <family val="2"/>
      <scheme val="minor"/>
    </font>
    <font>
      <b/>
      <sz val="13"/>
      <color theme="0"/>
      <name val="Calibri Light"/>
      <family val="2"/>
      <scheme val="major"/>
    </font>
    <font>
      <u/>
      <sz val="11"/>
      <color theme="10"/>
      <name val="Calibri"/>
      <family val="2"/>
      <scheme val="minor"/>
    </font>
    <font>
      <sz val="11"/>
      <color theme="0"/>
      <name val="Calibri"/>
      <family val="2"/>
    </font>
    <font>
      <sz val="10"/>
      <color rgb="FF0070C0"/>
      <name val="Calibri"/>
      <family val="2"/>
      <scheme val="minor"/>
    </font>
  </fonts>
  <fills count="49">
    <fill>
      <patternFill patternType="none"/>
    </fill>
    <fill>
      <patternFill patternType="gray125"/>
    </fill>
    <fill>
      <patternFill patternType="solid">
        <fgColor rgb="FFFFEB9C"/>
      </patternFill>
    </fill>
    <fill>
      <patternFill patternType="solid">
        <fgColor rgb="FFFFCC99"/>
      </patternFill>
    </fill>
    <fill>
      <patternFill patternType="solid">
        <fgColor rgb="FFFFFFCC"/>
      </patternFill>
    </fill>
    <fill>
      <patternFill patternType="solid">
        <fgColor theme="5"/>
      </patternFill>
    </fill>
    <fill>
      <patternFill patternType="solid">
        <fgColor theme="6" tint="0.59999389629810485"/>
        <bgColor indexed="65"/>
      </patternFill>
    </fill>
    <fill>
      <patternFill patternType="solid">
        <fgColor theme="9"/>
      </patternFill>
    </fill>
    <fill>
      <patternFill patternType="solid">
        <fgColor rgb="FF00B050"/>
        <bgColor indexed="64"/>
      </patternFill>
    </fill>
    <fill>
      <patternFill patternType="solid">
        <fgColor rgb="FFFF0000"/>
        <bgColor indexed="64"/>
      </patternFill>
    </fill>
    <fill>
      <patternFill patternType="solid">
        <fgColor rgb="FFD8D8D8"/>
        <bgColor indexed="64"/>
      </patternFill>
    </fill>
    <fill>
      <patternFill patternType="solid">
        <fgColor theme="0" tint="-0.14999847407452621"/>
        <bgColor indexed="64"/>
      </patternFill>
    </fill>
    <fill>
      <patternFill patternType="solid">
        <fgColor theme="4" tint="0.79998168889431442"/>
        <bgColor indexed="65"/>
      </patternFill>
    </fill>
    <fill>
      <patternFill patternType="solid">
        <fgColor theme="7" tint="0.59999389629810485"/>
        <bgColor indexed="65"/>
      </patternFill>
    </fill>
    <fill>
      <patternFill patternType="solid">
        <fgColor theme="0" tint="-0.249977111117893"/>
        <bgColor indexed="64"/>
      </patternFill>
    </fill>
    <fill>
      <patternFill patternType="solid">
        <fgColor theme="0"/>
        <bgColor indexed="64"/>
      </patternFill>
    </fill>
    <fill>
      <patternFill patternType="solid">
        <fgColor theme="4"/>
      </patternFill>
    </fill>
    <fill>
      <patternFill patternType="solid">
        <fgColor theme="5" tint="0.79998168889431442"/>
        <bgColor indexed="65"/>
      </patternFill>
    </fill>
    <fill>
      <patternFill patternType="solid">
        <fgColor theme="5" tint="0.39997558519241921"/>
        <bgColor indexed="65"/>
      </patternFill>
    </fill>
    <fill>
      <patternFill patternType="solid">
        <fgColor theme="9" tint="0.39997558519241921"/>
        <bgColor indexed="65"/>
      </patternFill>
    </fill>
    <fill>
      <patternFill patternType="solid">
        <fgColor theme="5" tint="0.59999389629810485"/>
        <bgColor indexed="65"/>
      </patternFill>
    </fill>
    <fill>
      <patternFill patternType="solid">
        <fgColor rgb="FFF2F2F2"/>
      </patternFill>
    </fill>
    <fill>
      <patternFill patternType="solid">
        <fgColor theme="6"/>
      </patternFill>
    </fill>
    <fill>
      <patternFill patternType="solid">
        <fgColor rgb="FFFBD4B4"/>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249977111117893"/>
        <bgColor indexed="64"/>
      </patternFill>
    </fill>
    <fill>
      <patternFill patternType="solid">
        <fgColor rgb="FF7B7B7B"/>
        <bgColor indexed="64"/>
      </patternFill>
    </fill>
    <fill>
      <patternFill patternType="solid">
        <fgColor rgb="FFFFE699"/>
        <bgColor indexed="64"/>
      </patternFill>
    </fill>
    <fill>
      <patternFill patternType="solid">
        <fgColor theme="7" tint="0.39997558519241921"/>
        <bgColor indexed="65"/>
      </patternFill>
    </fill>
    <fill>
      <patternFill patternType="solid">
        <fgColor theme="7"/>
      </patternFill>
    </fill>
    <fill>
      <patternFill patternType="solid">
        <fgColor theme="4"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5"/>
      </patternFill>
    </fill>
    <fill>
      <patternFill patternType="solid">
        <fgColor theme="8"/>
      </patternFill>
    </fill>
    <fill>
      <patternFill patternType="solid">
        <fgColor theme="8" tint="0.39997558519241921"/>
        <bgColor indexed="65"/>
      </patternFill>
    </fill>
    <fill>
      <patternFill patternType="solid">
        <fgColor theme="6" tint="0.39997558519241921"/>
        <bgColor indexed="65"/>
      </patternFill>
    </fill>
    <fill>
      <patternFill patternType="solid">
        <fgColor theme="1" tint="0.499984740745262"/>
        <bgColor indexed="64"/>
      </patternFill>
    </fill>
    <fill>
      <patternFill patternType="solid">
        <fgColor rgb="FF92D050"/>
        <bgColor indexed="64"/>
      </patternFill>
    </fill>
    <fill>
      <patternFill patternType="solid">
        <fgColor rgb="FF00B0F0"/>
        <bgColor indexed="64"/>
      </patternFill>
    </fill>
    <fill>
      <patternFill patternType="solid">
        <fgColor theme="1" tint="4.9989318521683403E-2"/>
        <bgColor indexed="64"/>
      </patternFill>
    </fill>
    <fill>
      <patternFill patternType="solid">
        <fgColor theme="6" tint="0.79998168889431442"/>
        <bgColor indexed="65"/>
      </patternFill>
    </fill>
    <fill>
      <patternFill patternType="solid">
        <fgColor theme="0" tint="-4.9989318521683403E-2"/>
        <bgColor indexed="64"/>
      </patternFill>
    </fill>
    <fill>
      <patternFill patternType="solid">
        <fgColor theme="5"/>
        <bgColor indexed="64"/>
      </patternFill>
    </fill>
    <fill>
      <patternFill patternType="solid">
        <fgColor rgb="FFFFC7CE"/>
      </patternFill>
    </fill>
    <fill>
      <patternFill patternType="solid">
        <fgColor theme="8" tint="0.89999084444715716"/>
        <bgColor indexed="64"/>
      </patternFill>
    </fill>
  </fills>
  <borders count="327">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auto="1"/>
      </left>
      <right/>
      <top style="thin">
        <color auto="1"/>
      </top>
      <bottom/>
      <diagonal/>
    </border>
    <border>
      <left/>
      <right/>
      <top style="thin">
        <color indexed="64"/>
      </top>
      <bottom/>
      <diagonal/>
    </border>
    <border>
      <left/>
      <right style="thin">
        <color indexed="64"/>
      </right>
      <top style="thin">
        <color indexed="64"/>
      </top>
      <bottom/>
      <diagonal/>
    </border>
    <border>
      <left style="medium">
        <color auto="1"/>
      </left>
      <right/>
      <top/>
      <bottom style="thin">
        <color auto="1"/>
      </bottom>
      <diagonal/>
    </border>
    <border>
      <left/>
      <right style="thin">
        <color indexed="64"/>
      </right>
      <top/>
      <bottom style="thin">
        <color indexed="64"/>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4"/>
      </left>
      <right/>
      <top style="thin">
        <color indexed="64"/>
      </top>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indexed="64"/>
      </right>
      <top style="thin">
        <color rgb="FFB2B2B2"/>
      </top>
      <bottom style="thin">
        <color rgb="FFB2B2B2"/>
      </bottom>
      <diagonal/>
    </border>
    <border>
      <left style="thin">
        <color indexed="64"/>
      </left>
      <right/>
      <top/>
      <bottom style="thin">
        <color indexed="64"/>
      </bottom>
      <diagonal/>
    </border>
    <border>
      <left style="thin">
        <color indexed="64"/>
      </left>
      <right style="thin">
        <color rgb="FFB2B2B2"/>
      </right>
      <top style="thin">
        <color rgb="FFB2B2B2"/>
      </top>
      <bottom style="thin">
        <color indexed="64"/>
      </bottom>
      <diagonal/>
    </border>
    <border>
      <left style="thin">
        <color rgb="FFB2B2B2"/>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right style="thin">
        <color indexed="64"/>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right/>
      <top style="thin">
        <color indexed="64"/>
      </top>
      <bottom/>
      <diagonal style="thin">
        <color indexed="64"/>
      </diagonal>
    </border>
    <border diagonalDown="1">
      <left/>
      <right/>
      <top/>
      <bottom/>
      <diagonal style="thin">
        <color auto="1"/>
      </diagonal>
    </border>
    <border>
      <left style="thin">
        <color indexed="64"/>
      </left>
      <right/>
      <top style="thin">
        <color indexed="64"/>
      </top>
      <bottom style="thin">
        <color rgb="FFB2B2B2"/>
      </bottom>
      <diagonal/>
    </border>
    <border>
      <left/>
      <right/>
      <top style="thin">
        <color indexed="64"/>
      </top>
      <bottom style="thin">
        <color rgb="FFB2B2B2"/>
      </bottom>
      <diagonal/>
    </border>
    <border>
      <left/>
      <right style="thin">
        <color indexed="64"/>
      </right>
      <top style="thin">
        <color indexed="64"/>
      </top>
      <bottom style="thin">
        <color rgb="FFB2B2B2"/>
      </bottom>
      <diagonal/>
    </border>
    <border>
      <left style="thin">
        <color indexed="64"/>
      </left>
      <right style="thin">
        <color rgb="FFB2B2B2"/>
      </right>
      <top/>
      <bottom style="thin">
        <color rgb="FFB2B2B2"/>
      </bottom>
      <diagonal/>
    </border>
    <border>
      <left style="thin">
        <color rgb="FFB2B2B2"/>
      </left>
      <right style="thin">
        <color rgb="FFB2B2B2"/>
      </right>
      <top/>
      <bottom style="thin">
        <color rgb="FFB2B2B2"/>
      </bottom>
      <diagonal/>
    </border>
    <border>
      <left style="thin">
        <color rgb="FFB2B2B2"/>
      </left>
      <right style="thin">
        <color indexed="64"/>
      </right>
      <top/>
      <bottom style="thin">
        <color rgb="FFB2B2B2"/>
      </bottom>
      <diagonal/>
    </border>
    <border>
      <left/>
      <right/>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diagonalUp="1">
      <left style="thin">
        <color indexed="64"/>
      </left>
      <right/>
      <top style="thin">
        <color indexed="64"/>
      </top>
      <bottom/>
      <diagonal style="thin">
        <color indexed="64"/>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diagonalUp="1">
      <left/>
      <right/>
      <top/>
      <bottom/>
      <diagonal style="thin">
        <color auto="1"/>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diagonalUp="1">
      <left/>
      <right style="thin">
        <color auto="1"/>
      </right>
      <top/>
      <bottom/>
      <diagonal style="thin">
        <color auto="1"/>
      </diagonal>
    </border>
    <border>
      <left style="medium">
        <color auto="1"/>
      </left>
      <right style="thin">
        <color auto="1"/>
      </right>
      <top/>
      <bottom style="thin">
        <color auto="1"/>
      </bottom>
      <diagonal/>
    </border>
    <border>
      <left/>
      <right style="medium">
        <color auto="1"/>
      </right>
      <top/>
      <bottom style="thin">
        <color auto="1"/>
      </bottom>
      <diagonal/>
    </border>
    <border diagonalUp="1">
      <left style="medium">
        <color auto="1"/>
      </left>
      <right/>
      <top/>
      <bottom/>
      <diagonal style="thin">
        <color auto="1"/>
      </diagonal>
    </border>
    <border>
      <left style="medium">
        <color indexed="64"/>
      </left>
      <right style="thin">
        <color auto="1"/>
      </right>
      <top/>
      <bottom/>
      <diagonal/>
    </border>
    <border>
      <left style="medium">
        <color auto="1"/>
      </left>
      <right style="thin">
        <color auto="1"/>
      </right>
      <top/>
      <bottom style="medium">
        <color auto="1"/>
      </bottom>
      <diagonal/>
    </border>
    <border>
      <left/>
      <right/>
      <top/>
      <bottom style="thick">
        <color theme="4"/>
      </bottom>
      <diagonal/>
    </border>
    <border>
      <left style="medium">
        <color indexed="64"/>
      </left>
      <right style="thin">
        <color rgb="FF7F7F7F"/>
      </right>
      <top style="medium">
        <color indexed="64"/>
      </top>
      <bottom style="thin">
        <color rgb="FF7F7F7F"/>
      </bottom>
      <diagonal/>
    </border>
    <border>
      <left style="thin">
        <color rgb="FF7F7F7F"/>
      </left>
      <right style="thin">
        <color rgb="FF7F7F7F"/>
      </right>
      <top style="medium">
        <color indexed="64"/>
      </top>
      <bottom style="thin">
        <color rgb="FF7F7F7F"/>
      </bottom>
      <diagonal/>
    </border>
    <border>
      <left style="thin">
        <color rgb="FFB2B2B2"/>
      </left>
      <right style="thin">
        <color rgb="FFB2B2B2"/>
      </right>
      <top style="medium">
        <color indexed="64"/>
      </top>
      <bottom style="thin">
        <color rgb="FFB2B2B2"/>
      </bottom>
      <diagonal/>
    </border>
    <border>
      <left style="thin">
        <color rgb="FFB2B2B2"/>
      </left>
      <right style="medium">
        <color indexed="64"/>
      </right>
      <top style="medium">
        <color indexed="64"/>
      </top>
      <bottom style="thin">
        <color rgb="FFB2B2B2"/>
      </bottom>
      <diagonal/>
    </border>
    <border>
      <left style="medium">
        <color indexed="64"/>
      </left>
      <right style="thin">
        <color rgb="FFB2B2B2"/>
      </right>
      <top style="thin">
        <color rgb="FFB2B2B2"/>
      </top>
      <bottom style="medium">
        <color indexed="64"/>
      </bottom>
      <diagonal/>
    </border>
    <border>
      <left style="thin">
        <color rgb="FFB2B2B2"/>
      </left>
      <right style="thin">
        <color rgb="FFB2B2B2"/>
      </right>
      <top style="thin">
        <color rgb="FFB2B2B2"/>
      </top>
      <bottom style="medium">
        <color indexed="64"/>
      </bottom>
      <diagonal/>
    </border>
    <border>
      <left style="thin">
        <color rgb="FFB2B2B2"/>
      </left>
      <right style="medium">
        <color indexed="64"/>
      </right>
      <top style="thin">
        <color rgb="FFB2B2B2"/>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style="thin">
        <color rgb="FF505050"/>
      </left>
      <right/>
      <top style="thin">
        <color rgb="FF505050"/>
      </top>
      <bottom/>
      <diagonal/>
    </border>
    <border>
      <left/>
      <right/>
      <top style="thin">
        <color rgb="FF505050"/>
      </top>
      <bottom/>
      <diagonal/>
    </border>
    <border>
      <left/>
      <right style="thin">
        <color rgb="FF505050"/>
      </right>
      <top style="thin">
        <color rgb="FF505050"/>
      </top>
      <bottom/>
      <diagonal/>
    </border>
    <border>
      <left style="thin">
        <color rgb="FF505050"/>
      </left>
      <right/>
      <top/>
      <bottom style="thin">
        <color rgb="FF505050"/>
      </bottom>
      <diagonal/>
    </border>
    <border>
      <left/>
      <right/>
      <top/>
      <bottom style="thin">
        <color rgb="FF505050"/>
      </bottom>
      <diagonal/>
    </border>
    <border>
      <left/>
      <right style="thin">
        <color rgb="FF505050"/>
      </right>
      <top/>
      <bottom style="thin">
        <color rgb="FF505050"/>
      </bottom>
      <diagonal/>
    </border>
    <border>
      <left style="thin">
        <color rgb="FF505050"/>
      </left>
      <right style="thin">
        <color rgb="FF505050"/>
      </right>
      <top/>
      <bottom style="thin">
        <color rgb="FF505050"/>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diagonalDown="1">
      <left/>
      <right style="thin">
        <color indexed="64"/>
      </right>
      <top/>
      <bottom/>
      <diagonal style="thin">
        <color indexed="64"/>
      </diagonal>
    </border>
    <border>
      <left style="thin">
        <color rgb="FF000000"/>
      </left>
      <right/>
      <top/>
      <bottom/>
      <diagonal/>
    </border>
    <border>
      <left style="thin">
        <color rgb="FF000000"/>
      </left>
      <right style="thin">
        <color rgb="FF000000"/>
      </right>
      <top/>
      <bottom/>
      <diagonal/>
    </border>
    <border>
      <left style="thin">
        <color rgb="FF7F7F7F"/>
      </left>
      <right/>
      <top style="thin">
        <color rgb="FF7F7F7F"/>
      </top>
      <bottom style="thin">
        <color rgb="FF7F7F7F"/>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medium">
        <color theme="1" tint="0.34998626667073579"/>
      </left>
      <right/>
      <top style="medium">
        <color theme="1" tint="0.34998626667073579"/>
      </top>
      <bottom style="medium">
        <color theme="1" tint="0.34998626667073579"/>
      </bottom>
      <diagonal/>
    </border>
    <border>
      <left/>
      <right/>
      <top style="medium">
        <color theme="1" tint="0.34998626667073579"/>
      </top>
      <bottom style="medium">
        <color theme="1" tint="0.34998626667073579"/>
      </bottom>
      <diagonal/>
    </border>
    <border>
      <left/>
      <right style="medium">
        <color theme="1" tint="0.34998626667073579"/>
      </right>
      <top style="medium">
        <color theme="1" tint="0.34998626667073579"/>
      </top>
      <bottom style="medium">
        <color theme="1" tint="0.34998626667073579"/>
      </bottom>
      <diagonal/>
    </border>
    <border>
      <left/>
      <right style="thin">
        <color rgb="FF7F7F7F"/>
      </right>
      <top style="thin">
        <color rgb="FF7F7F7F"/>
      </top>
      <bottom style="thin">
        <color rgb="FF7F7F7F"/>
      </bottom>
      <diagonal/>
    </border>
    <border>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medium">
        <color indexed="64"/>
      </left>
      <right style="medium">
        <color indexed="64"/>
      </right>
      <top style="thin">
        <color auto="1"/>
      </top>
      <bottom style="medium">
        <color indexed="64"/>
      </bottom>
      <diagonal/>
    </border>
    <border>
      <left/>
      <right/>
      <top/>
      <bottom style="thick">
        <color theme="4" tint="0.499984740745262"/>
      </bottom>
      <diagonal/>
    </border>
    <border>
      <left style="medium">
        <color indexed="64"/>
      </left>
      <right style="medium">
        <color indexed="64"/>
      </right>
      <top/>
      <bottom style="thin">
        <color indexed="64"/>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rgb="FF505050"/>
      </left>
      <right style="thin">
        <color rgb="FF505050"/>
      </right>
      <top/>
      <bottom style="thin">
        <color theme="1" tint="0.249977111117893"/>
      </bottom>
      <diagonal/>
    </border>
    <border>
      <left style="thin">
        <color theme="1" tint="0.249977111117893"/>
      </left>
      <right style="thin">
        <color rgb="FF505050"/>
      </right>
      <top style="thin">
        <color theme="1" tint="0.249977111117893"/>
      </top>
      <bottom style="thin">
        <color theme="1" tint="0.249977111117893"/>
      </bottom>
      <diagonal/>
    </border>
    <border>
      <left style="thin">
        <color rgb="FF505050"/>
      </left>
      <right style="thin">
        <color rgb="FF505050"/>
      </right>
      <top style="thin">
        <color theme="1" tint="0.249977111117893"/>
      </top>
      <bottom style="thin">
        <color theme="1" tint="0.249977111117893"/>
      </bottom>
      <diagonal/>
    </border>
    <border>
      <left style="thin">
        <color rgb="FF505050"/>
      </left>
      <right style="thin">
        <color theme="1" tint="0.249977111117893"/>
      </right>
      <top style="thin">
        <color theme="1" tint="0.249977111117893"/>
      </top>
      <bottom style="thin">
        <color theme="1" tint="0.249977111117893"/>
      </bottom>
      <diagonal/>
    </border>
    <border>
      <left/>
      <right/>
      <top/>
      <bottom style="thin">
        <color theme="1" tint="0.249977111117893"/>
      </bottom>
      <diagonal/>
    </border>
    <border>
      <left style="thin">
        <color theme="1" tint="0.249977111117893"/>
      </left>
      <right/>
      <top/>
      <bottom/>
      <diagonal/>
    </border>
    <border>
      <left/>
      <right style="thin">
        <color theme="1" tint="0.249977111117893"/>
      </right>
      <top/>
      <bottom/>
      <diagonal/>
    </border>
    <border>
      <left style="thin">
        <color theme="1" tint="0.249977111117893"/>
      </left>
      <right/>
      <top/>
      <bottom style="thin">
        <color theme="1" tint="0.249977111117893"/>
      </bottom>
      <diagonal/>
    </border>
    <border>
      <left/>
      <right style="thin">
        <color theme="1" tint="0.249977111117893"/>
      </right>
      <top/>
      <bottom style="thin">
        <color theme="1" tint="0.249977111117893"/>
      </bottom>
      <diagonal/>
    </border>
    <border>
      <left style="thin">
        <color theme="1" tint="0.249977111117893"/>
      </left>
      <right/>
      <top style="thin">
        <color theme="1" tint="0.249977111117893"/>
      </top>
      <bottom style="thin">
        <color theme="1" tint="0.249977111117893"/>
      </bottom>
      <diagonal/>
    </border>
    <border>
      <left/>
      <right/>
      <top style="thin">
        <color theme="1" tint="0.249977111117893"/>
      </top>
      <bottom style="thin">
        <color theme="1" tint="0.249977111117893"/>
      </bottom>
      <diagonal/>
    </border>
    <border>
      <left/>
      <right style="thin">
        <color theme="1" tint="0.249977111117893"/>
      </right>
      <top style="thin">
        <color theme="1" tint="0.249977111117893"/>
      </top>
      <bottom style="thin">
        <color theme="1" tint="0.249977111117893"/>
      </bottom>
      <diagonal/>
    </border>
    <border>
      <left/>
      <right style="thin">
        <color theme="1" tint="0.249977111117893"/>
      </right>
      <top style="thin">
        <color rgb="FFB2B2B2"/>
      </top>
      <bottom style="thin">
        <color rgb="FFB2B2B2"/>
      </bottom>
      <diagonal/>
    </border>
    <border>
      <left style="thin">
        <color rgb="FFB2B2B2"/>
      </left>
      <right/>
      <top/>
      <bottom style="thin">
        <color rgb="FFB2B2B2"/>
      </bottom>
      <diagonal/>
    </border>
    <border>
      <left/>
      <right/>
      <top/>
      <bottom style="thin">
        <color rgb="FFB2B2B2"/>
      </bottom>
      <diagonal/>
    </border>
    <border>
      <left/>
      <right style="thin">
        <color theme="1" tint="0.249977111117893"/>
      </right>
      <top/>
      <bottom style="thin">
        <color rgb="FFB2B2B2"/>
      </bottom>
      <diagonal/>
    </border>
    <border>
      <left style="thin">
        <color theme="1" tint="0.249977111117893"/>
      </left>
      <right style="thin">
        <color theme="1" tint="0.249977111117893"/>
      </right>
      <top style="thin">
        <color rgb="FFB2B2B2"/>
      </top>
      <bottom style="thin">
        <color rgb="FFB2B2B2"/>
      </bottom>
      <diagonal/>
    </border>
    <border>
      <left/>
      <right/>
      <top style="thin">
        <color theme="1" tint="0.34998626667073579"/>
      </top>
      <bottom/>
      <diagonal/>
    </border>
    <border>
      <left style="thin">
        <color theme="1" tint="0.34998626667073579"/>
      </left>
      <right style="thin">
        <color theme="1" tint="0.34998626667073579"/>
      </right>
      <top style="thin">
        <color theme="1" tint="0.34998626667073579"/>
      </top>
      <bottom/>
      <diagonal/>
    </border>
    <border>
      <left style="thin">
        <color theme="1" tint="0.249977111117893"/>
      </left>
      <right style="thin">
        <color theme="1" tint="0.249977111117893"/>
      </right>
      <top style="thin">
        <color rgb="FFB2B2B2"/>
      </top>
      <bottom style="thin">
        <color theme="1" tint="0.34998626667073579"/>
      </bottom>
      <diagonal/>
    </border>
    <border>
      <left style="thin">
        <color rgb="FFB2B2B2"/>
      </left>
      <right/>
      <top style="thin">
        <color rgb="FFB2B2B2"/>
      </top>
      <bottom style="thin">
        <color theme="1" tint="0.34998626667073579"/>
      </bottom>
      <diagonal/>
    </border>
    <border>
      <left/>
      <right style="thin">
        <color theme="1" tint="0.249977111117893"/>
      </right>
      <top style="thin">
        <color rgb="FFB2B2B2"/>
      </top>
      <bottom style="thin">
        <color theme="1" tint="0.34998626667073579"/>
      </bottom>
      <diagonal/>
    </border>
    <border>
      <left/>
      <right style="thin">
        <color theme="1" tint="0.249977111117893"/>
      </right>
      <top/>
      <bottom style="thin">
        <color theme="1" tint="0.34998626667073579"/>
      </bottom>
      <diagonal/>
    </border>
    <border>
      <left/>
      <right/>
      <top/>
      <bottom style="thin">
        <color theme="1" tint="0.34998626667073579"/>
      </bottom>
      <diagonal/>
    </border>
    <border>
      <left style="thin">
        <color rgb="FFB2B2B2"/>
      </left>
      <right/>
      <top style="thin">
        <color theme="1" tint="0.34998626667073579"/>
      </top>
      <bottom style="thin">
        <color rgb="FFB2B2B2"/>
      </bottom>
      <diagonal/>
    </border>
    <border>
      <left/>
      <right/>
      <top style="thin">
        <color theme="1" tint="0.34998626667073579"/>
      </top>
      <bottom style="thin">
        <color theme="1" tint="0.34998626667073579"/>
      </bottom>
      <diagonal/>
    </border>
    <border>
      <left style="thin">
        <color theme="1" tint="0.34998626667073579"/>
      </left>
      <right style="thin">
        <color rgb="FFB2B2B2"/>
      </right>
      <top/>
      <bottom style="thin">
        <color rgb="FFB2B2B2"/>
      </bottom>
      <diagonal/>
    </border>
    <border>
      <left/>
      <right style="thin">
        <color theme="1" tint="0.34998626667073579"/>
      </right>
      <top/>
      <bottom style="thin">
        <color rgb="FFB2B2B2"/>
      </bottom>
      <diagonal/>
    </border>
    <border>
      <left style="thin">
        <color theme="1" tint="0.34998626667073579"/>
      </left>
      <right style="thin">
        <color rgb="FFB2B2B2"/>
      </right>
      <top style="thin">
        <color rgb="FFB2B2B2"/>
      </top>
      <bottom style="thin">
        <color rgb="FFB2B2B2"/>
      </bottom>
      <diagonal/>
    </border>
    <border>
      <left/>
      <right style="thin">
        <color theme="1" tint="0.34998626667073579"/>
      </right>
      <top style="thin">
        <color rgb="FFB2B2B2"/>
      </top>
      <bottom style="thin">
        <color rgb="FFB2B2B2"/>
      </bottom>
      <diagonal/>
    </border>
    <border>
      <left style="thin">
        <color theme="1" tint="0.34998626667073579"/>
      </left>
      <right style="thin">
        <color rgb="FFB2B2B2"/>
      </right>
      <top style="thin">
        <color rgb="FFB2B2B2"/>
      </top>
      <bottom style="thin">
        <color theme="1" tint="0.34998626667073579"/>
      </bottom>
      <diagonal/>
    </border>
    <border>
      <left/>
      <right/>
      <top style="thin">
        <color rgb="FFB2B2B2"/>
      </top>
      <bottom style="thin">
        <color theme="1" tint="0.34998626667073579"/>
      </bottom>
      <diagonal/>
    </border>
    <border>
      <left/>
      <right style="thin">
        <color theme="1" tint="0.34998626667073579"/>
      </right>
      <top style="thin">
        <color rgb="FFB2B2B2"/>
      </top>
      <bottom style="thin">
        <color theme="1" tint="0.34998626667073579"/>
      </bottom>
      <diagonal/>
    </border>
    <border>
      <left style="thin">
        <color theme="1" tint="0.34998626667073579"/>
      </left>
      <right/>
      <top style="thin">
        <color theme="1" tint="0.34998626667073579"/>
      </top>
      <bottom/>
      <diagonal/>
    </border>
    <border>
      <left style="thin">
        <color theme="1" tint="0.34998626667073579"/>
      </left>
      <right/>
      <top/>
      <bottom style="thin">
        <color theme="1" tint="0.34998626667073579"/>
      </bottom>
      <diagonal/>
    </border>
    <border>
      <left/>
      <right style="thin">
        <color theme="1" tint="0.34998626667073579"/>
      </right>
      <top style="thin">
        <color theme="1" tint="0.34998626667073579"/>
      </top>
      <bottom/>
      <diagonal/>
    </border>
    <border>
      <left/>
      <right style="thin">
        <color theme="1" tint="0.34998626667073579"/>
      </right>
      <top/>
      <bottom style="thin">
        <color theme="1" tint="0.34998626667073579"/>
      </bottom>
      <diagonal/>
    </border>
    <border>
      <left style="thin">
        <color theme="1" tint="0.34998626667073579"/>
      </left>
      <right style="thin">
        <color theme="1" tint="0.249977111117893"/>
      </right>
      <top style="thin">
        <color theme="1" tint="0.34998626667073579"/>
      </top>
      <bottom style="thin">
        <color theme="1" tint="0.34998626667073579"/>
      </bottom>
      <diagonal/>
    </border>
    <border>
      <left/>
      <right/>
      <top style="thin">
        <color theme="1" tint="0.34998626667073579"/>
      </top>
      <bottom style="thin">
        <color rgb="FFB2B2B2"/>
      </bottom>
      <diagonal/>
    </border>
    <border>
      <left style="thin">
        <color theme="1" tint="0.34998626667073579"/>
      </left>
      <right style="thin">
        <color theme="1" tint="0.34998626667073579"/>
      </right>
      <top style="thin">
        <color theme="1" tint="0.34998626667073579"/>
      </top>
      <bottom style="thin">
        <color rgb="FFB2B2B2"/>
      </bottom>
      <diagonal/>
    </border>
    <border>
      <left style="thin">
        <color theme="1" tint="0.34998626667073579"/>
      </left>
      <right style="thin">
        <color theme="1" tint="0.34998626667073579"/>
      </right>
      <top style="thin">
        <color rgb="FFB2B2B2"/>
      </top>
      <bottom style="thin">
        <color rgb="FFB2B2B2"/>
      </bottom>
      <diagonal/>
    </border>
    <border>
      <left style="thin">
        <color theme="1" tint="0.34998626667073579"/>
      </left>
      <right style="thin">
        <color theme="1" tint="0.34998626667073579"/>
      </right>
      <top style="thin">
        <color rgb="FFB2B2B2"/>
      </top>
      <bottom style="thin">
        <color theme="1" tint="0.34998626667073579"/>
      </bottom>
      <diagonal/>
    </border>
    <border>
      <left style="thin">
        <color theme="1" tint="0.34998626667073579"/>
      </left>
      <right/>
      <top style="thin">
        <color theme="1" tint="0.34998626667073579"/>
      </top>
      <bottom style="thin">
        <color rgb="FFB2B2B2"/>
      </bottom>
      <diagonal/>
    </border>
    <border>
      <left/>
      <right style="thin">
        <color theme="1" tint="0.34998626667073579"/>
      </right>
      <top style="thin">
        <color theme="1" tint="0.34998626667073579"/>
      </top>
      <bottom style="thin">
        <color rgb="FFB2B2B2"/>
      </bottom>
      <diagonal/>
    </border>
    <border>
      <left style="thin">
        <color theme="1" tint="0.34998626667073579"/>
      </left>
      <right/>
      <top style="thin">
        <color rgb="FFB2B2B2"/>
      </top>
      <bottom style="thin">
        <color rgb="FFB2B2B2"/>
      </bottom>
      <diagonal/>
    </border>
    <border>
      <left style="thin">
        <color theme="1" tint="0.34998626667073579"/>
      </left>
      <right/>
      <top style="thin">
        <color rgb="FFB2B2B2"/>
      </top>
      <bottom style="thin">
        <color theme="1" tint="0.34998626667073579"/>
      </bottom>
      <diagonal/>
    </border>
    <border>
      <left style="thin">
        <color rgb="FFB2B2B2"/>
      </left>
      <right style="thin">
        <color theme="1" tint="0.34998626667073579"/>
      </right>
      <top style="thin">
        <color rgb="FFB2B2B2"/>
      </top>
      <bottom style="thin">
        <color theme="1" tint="0.34998626667073579"/>
      </bottom>
      <diagonal/>
    </border>
    <border>
      <left/>
      <right/>
      <top style="thin">
        <color theme="1" tint="0.249977111117893"/>
      </top>
      <bottom style="thin">
        <color theme="1" tint="0.34998626667073579"/>
      </bottom>
      <diagonal/>
    </border>
    <border>
      <left/>
      <right style="thin">
        <color indexed="64"/>
      </right>
      <top/>
      <bottom style="thin">
        <color theme="1" tint="0.34998626667073579"/>
      </bottom>
      <diagonal/>
    </border>
    <border>
      <left/>
      <right style="thin">
        <color rgb="FFB2B2B2"/>
      </right>
      <top/>
      <bottom style="thin">
        <color rgb="FFB2B2B2"/>
      </bottom>
      <diagonal/>
    </border>
    <border>
      <left/>
      <right style="thin">
        <color rgb="FFB2B2B2"/>
      </right>
      <top style="thin">
        <color rgb="FFB2B2B2"/>
      </top>
      <bottom style="thin">
        <color rgb="FFB2B2B2"/>
      </bottom>
      <diagonal/>
    </border>
    <border>
      <left style="thin">
        <color theme="1" tint="0.34998626667073579"/>
      </left>
      <right style="thin">
        <color theme="1" tint="0.34998626667073579"/>
      </right>
      <top/>
      <bottom style="thin">
        <color rgb="FFB2B2B2"/>
      </bottom>
      <diagonal/>
    </border>
    <border>
      <left/>
      <right style="thin">
        <color theme="1" tint="0.34998626667073579"/>
      </right>
      <top style="thin">
        <color theme="1" tint="0.249977111117893"/>
      </top>
      <bottom style="thin">
        <color theme="1" tint="0.34998626667073579"/>
      </bottom>
      <diagonal/>
    </border>
    <border>
      <left style="thin">
        <color rgb="FFB2B2B2"/>
      </left>
      <right style="thin">
        <color theme="1" tint="0.34998626667073579"/>
      </right>
      <top/>
      <bottom style="thin">
        <color rgb="FFB2B2B2"/>
      </bottom>
      <diagonal/>
    </border>
    <border>
      <left style="thin">
        <color rgb="FFB2B2B2"/>
      </left>
      <right style="thin">
        <color theme="1" tint="0.34998626667073579"/>
      </right>
      <top style="thin">
        <color rgb="FFB2B2B2"/>
      </top>
      <bottom style="thin">
        <color rgb="FFB2B2B2"/>
      </bottom>
      <diagonal/>
    </border>
    <border>
      <left style="thin">
        <color rgb="FFB2B2B2"/>
      </left>
      <right style="thin">
        <color rgb="FFB2B2B2"/>
      </right>
      <top style="thin">
        <color rgb="FFB2B2B2"/>
      </top>
      <bottom style="thin">
        <color theme="1" tint="0.34998626667073579"/>
      </bottom>
      <diagonal/>
    </border>
    <border>
      <left style="medium">
        <color theme="1" tint="0.34998626667073579"/>
      </left>
      <right style="medium">
        <color theme="1" tint="0.34998626667073579"/>
      </right>
      <top style="medium">
        <color theme="1" tint="0.34998626667073579"/>
      </top>
      <bottom style="medium">
        <color theme="1" tint="0.34998626667073579"/>
      </bottom>
      <diagonal/>
    </border>
    <border>
      <left style="medium">
        <color theme="1" tint="0.34998626667073579"/>
      </left>
      <right style="medium">
        <color theme="1" tint="0.34998626667073579"/>
      </right>
      <top style="medium">
        <color theme="1" tint="0.34998626667073579"/>
      </top>
      <bottom style="thin">
        <color theme="1" tint="0.249977111117893"/>
      </bottom>
      <diagonal/>
    </border>
    <border>
      <left style="medium">
        <color theme="1" tint="0.34998626667073579"/>
      </left>
      <right style="medium">
        <color theme="1" tint="0.34998626667073579"/>
      </right>
      <top/>
      <bottom style="thin">
        <color theme="1" tint="0.249977111117893"/>
      </bottom>
      <diagonal/>
    </border>
    <border>
      <left style="medium">
        <color theme="1" tint="0.34998626667073579"/>
      </left>
      <right style="medium">
        <color theme="1" tint="0.34998626667073579"/>
      </right>
      <top/>
      <bottom/>
      <diagonal/>
    </border>
    <border>
      <left style="medium">
        <color theme="1" tint="0.34998626667073579"/>
      </left>
      <right style="medium">
        <color theme="1" tint="0.34998626667073579"/>
      </right>
      <top/>
      <bottom style="medium">
        <color theme="1" tint="0.34998626667073579"/>
      </bottom>
      <diagonal/>
    </border>
    <border>
      <left style="thin">
        <color rgb="FFB2B2B2"/>
      </left>
      <right style="thin">
        <color theme="1" tint="0.34998626667073579"/>
      </right>
      <top style="thin">
        <color theme="1" tint="0.34998626667073579"/>
      </top>
      <bottom style="thin">
        <color rgb="FFB2B2B2"/>
      </bottom>
      <diagonal/>
    </border>
    <border>
      <left/>
      <right style="thin">
        <color theme="1" tint="0.34998626667073579"/>
      </right>
      <top/>
      <bottom/>
      <diagonal/>
    </border>
    <border>
      <left/>
      <right/>
      <top style="thin">
        <color rgb="FF7F7F7F"/>
      </top>
      <bottom style="thin">
        <color rgb="FF7F7F7F"/>
      </bottom>
      <diagonal/>
    </border>
    <border>
      <left style="medium">
        <color theme="1" tint="0.34998626667073579"/>
      </left>
      <right style="medium">
        <color theme="1" tint="0.34998626667073579"/>
      </right>
      <top style="medium">
        <color theme="1" tint="0.34998626667073579"/>
      </top>
      <bottom/>
      <diagonal/>
    </border>
    <border>
      <left style="medium">
        <color theme="1" tint="0.34998626667073579"/>
      </left>
      <right style="thin">
        <color rgb="FF7F7F7F"/>
      </right>
      <top style="medium">
        <color theme="1" tint="0.34998626667073579"/>
      </top>
      <bottom style="medium">
        <color theme="1" tint="0.34998626667073579"/>
      </bottom>
      <diagonal/>
    </border>
    <border>
      <left style="thin">
        <color rgb="FF7F7F7F"/>
      </left>
      <right style="thin">
        <color rgb="FF7F7F7F"/>
      </right>
      <top style="medium">
        <color theme="1" tint="0.34998626667073579"/>
      </top>
      <bottom style="medium">
        <color theme="1" tint="0.34998626667073579"/>
      </bottom>
      <diagonal/>
    </border>
    <border>
      <left style="thin">
        <color rgb="FF7F7F7F"/>
      </left>
      <right style="medium">
        <color theme="1" tint="0.34998626667073579"/>
      </right>
      <top style="medium">
        <color theme="1" tint="0.34998626667073579"/>
      </top>
      <bottom style="medium">
        <color theme="1" tint="0.34998626667073579"/>
      </bottom>
      <diagonal/>
    </border>
    <border>
      <left style="medium">
        <color theme="1" tint="0.34998626667073579"/>
      </left>
      <right/>
      <top/>
      <bottom style="thin">
        <color theme="1" tint="0.34998626667073579"/>
      </bottom>
      <diagonal/>
    </border>
    <border>
      <left style="medium">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medium">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top/>
      <bottom/>
      <diagonal/>
    </border>
    <border>
      <left style="thin">
        <color theme="1" tint="0.34998626667073579"/>
      </left>
      <right style="thin">
        <color theme="1" tint="0.34998626667073579"/>
      </right>
      <top/>
      <bottom/>
      <diagonal/>
    </border>
    <border>
      <left style="medium">
        <color theme="1" tint="0.34998626667073579"/>
      </left>
      <right style="thin">
        <color theme="1" tint="0.34998626667073579"/>
      </right>
      <top/>
      <bottom style="thin">
        <color theme="1" tint="0.34998626667073579"/>
      </bottom>
      <diagonal/>
    </border>
    <border>
      <left style="medium">
        <color theme="1" tint="0.34998626667073579"/>
      </left>
      <right style="thin">
        <color theme="1" tint="0.34998626667073579"/>
      </right>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top/>
      <bottom style="medium">
        <color theme="1" tint="0.34998626667073579"/>
      </bottom>
      <diagonal/>
    </border>
    <border>
      <left style="medium">
        <color theme="1" tint="0.34998626667073579"/>
      </left>
      <right/>
      <top/>
      <bottom style="medium">
        <color theme="1" tint="0.34998626667073579"/>
      </bottom>
      <diagonal/>
    </border>
    <border>
      <left/>
      <right/>
      <top/>
      <bottom style="medium">
        <color theme="1" tint="0.34998626667073579"/>
      </bottom>
      <diagonal/>
    </border>
    <border>
      <left/>
      <right style="medium">
        <color theme="1" tint="0.34998626667073579"/>
      </right>
      <top/>
      <bottom style="thin">
        <color theme="1" tint="0.34998626667073579"/>
      </bottom>
      <diagonal/>
    </border>
    <border>
      <left/>
      <right style="medium">
        <color theme="1" tint="0.34998626667073579"/>
      </right>
      <top/>
      <bottom style="medium">
        <color theme="1" tint="0.34998626667073579"/>
      </bottom>
      <diagonal/>
    </border>
    <border>
      <left/>
      <right style="medium">
        <color theme="1" tint="0.34998626667073579"/>
      </right>
      <top/>
      <bottom/>
      <diagonal/>
    </border>
    <border>
      <left style="medium">
        <color theme="1" tint="0.34998626667073579"/>
      </left>
      <right/>
      <top style="thin">
        <color theme="1" tint="0.34998626667073579"/>
      </top>
      <bottom style="thin">
        <color theme="1" tint="0.34998626667073579"/>
      </bottom>
      <diagonal/>
    </border>
    <border>
      <left style="medium">
        <color theme="1" tint="0.34998626667073579"/>
      </left>
      <right/>
      <top/>
      <bottom/>
      <diagonal/>
    </border>
    <border>
      <left style="thin">
        <color theme="1" tint="0.34998626667073579"/>
      </left>
      <right style="thin">
        <color rgb="FFB2B2B2"/>
      </right>
      <top style="thin">
        <color theme="1" tint="0.34998626667073579"/>
      </top>
      <bottom style="thin">
        <color rgb="FFB2B2B2"/>
      </bottom>
      <diagonal/>
    </border>
    <border>
      <left style="thin">
        <color rgb="FFB2B2B2"/>
      </left>
      <right style="thin">
        <color rgb="FFB2B2B2"/>
      </right>
      <top style="thin">
        <color theme="1" tint="0.34998626667073579"/>
      </top>
      <bottom style="thin">
        <color rgb="FFB2B2B2"/>
      </bottom>
      <diagonal/>
    </border>
    <border>
      <left style="medium">
        <color theme="1" tint="0.34998626667073579"/>
      </left>
      <right/>
      <top style="medium">
        <color theme="1" tint="0.34998626667073579"/>
      </top>
      <bottom/>
      <diagonal/>
    </border>
    <border>
      <left style="medium">
        <color theme="1" tint="0.34998626667073579"/>
      </left>
      <right/>
      <top style="medium">
        <color theme="1" tint="0.34998626667073579"/>
      </top>
      <bottom style="thin">
        <color theme="1" tint="0.34998626667073579"/>
      </bottom>
      <diagonal/>
    </border>
    <border>
      <left/>
      <right/>
      <top style="medium">
        <color theme="1" tint="0.34998626667073579"/>
      </top>
      <bottom style="thin">
        <color theme="1" tint="0.34998626667073579"/>
      </bottom>
      <diagonal/>
    </border>
    <border>
      <left/>
      <right style="medium">
        <color theme="1" tint="0.34998626667073579"/>
      </right>
      <top style="medium">
        <color theme="1" tint="0.34998626667073579"/>
      </top>
      <bottom style="thin">
        <color theme="1" tint="0.34998626667073579"/>
      </bottom>
      <diagonal/>
    </border>
    <border>
      <left/>
      <right/>
      <top style="medium">
        <color theme="1" tint="0.34998626667073579"/>
      </top>
      <bottom/>
      <diagonal/>
    </border>
    <border>
      <left/>
      <right style="medium">
        <color theme="1" tint="0.34998626667073579"/>
      </right>
      <top style="medium">
        <color theme="1" tint="0.34998626667073579"/>
      </top>
      <bottom/>
      <diagonal/>
    </border>
    <border>
      <left style="medium">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medium">
        <color theme="1" tint="0.34998626667073579"/>
      </right>
      <top style="thin">
        <color rgb="FF7F7F7F"/>
      </top>
      <bottom style="medium">
        <color theme="1" tint="0.34998626667073579"/>
      </bottom>
      <diagonal/>
    </border>
    <border>
      <left style="medium">
        <color theme="1" tint="0.34998626667073579"/>
      </left>
      <right/>
      <top/>
      <bottom style="thin">
        <color indexed="64"/>
      </bottom>
      <diagonal/>
    </border>
    <border>
      <left/>
      <right style="medium">
        <color theme="1" tint="0.34998626667073579"/>
      </right>
      <top/>
      <bottom style="thin">
        <color indexed="64"/>
      </bottom>
      <diagonal/>
    </border>
    <border>
      <left style="medium">
        <color theme="1" tint="0.34998626667073579"/>
      </left>
      <right/>
      <top style="thin">
        <color theme="1" tint="0.34998626667073579"/>
      </top>
      <bottom/>
      <diagonal/>
    </border>
    <border>
      <left/>
      <right style="medium">
        <color theme="1" tint="0.34998626667073579"/>
      </right>
      <top style="thin">
        <color theme="1" tint="0.34998626667073579"/>
      </top>
      <bottom/>
      <diagonal/>
    </border>
    <border>
      <left style="thin">
        <color rgb="FFB2B2B2"/>
      </left>
      <right style="thin">
        <color rgb="FFB2B2B2"/>
      </right>
      <top style="thin">
        <color rgb="FFB2B2B2"/>
      </top>
      <bottom/>
      <diagonal/>
    </border>
    <border>
      <left/>
      <right style="thin">
        <color indexed="64"/>
      </right>
      <top/>
      <bottom style="thick">
        <color theme="4"/>
      </bottom>
      <diagonal/>
    </border>
    <border>
      <left style="medium">
        <color indexed="64"/>
      </left>
      <right style="medium">
        <color indexed="64"/>
      </right>
      <top style="medium">
        <color indexed="64"/>
      </top>
      <bottom style="thin">
        <color rgb="FF7F7F7F"/>
      </bottom>
      <diagonal/>
    </border>
    <border>
      <left style="medium">
        <color indexed="64"/>
      </left>
      <right style="medium">
        <color indexed="64"/>
      </right>
      <top style="thin">
        <color rgb="FF7F7F7F"/>
      </top>
      <bottom style="medium">
        <color indexed="64"/>
      </bottom>
      <diagonal/>
    </border>
    <border>
      <left style="thin">
        <color theme="1" tint="0.249977111117893"/>
      </left>
      <right style="thin">
        <color theme="1" tint="0.249977111117893"/>
      </right>
      <top/>
      <bottom style="thin">
        <color rgb="FFB2B2B2"/>
      </bottom>
      <diagonal/>
    </border>
    <border>
      <left style="thin">
        <color theme="1" tint="0.249977111117893"/>
      </left>
      <right style="thin">
        <color theme="1" tint="0.249977111117893"/>
      </right>
      <top style="thin">
        <color rgb="FFB2B2B2"/>
      </top>
      <bottom style="thin">
        <color theme="1" tint="0.249977111117893"/>
      </bottom>
      <diagonal/>
    </border>
    <border>
      <left/>
      <right/>
      <top style="thin">
        <color theme="1" tint="0.249977111117893"/>
      </top>
      <bottom/>
      <diagonal/>
    </border>
    <border>
      <left/>
      <right/>
      <top style="thin">
        <color theme="1" tint="0.34998626667073579"/>
      </top>
      <bottom style="medium">
        <color indexed="64"/>
      </bottom>
      <diagonal/>
    </border>
    <border>
      <left/>
      <right/>
      <top style="thin">
        <color theme="1" tint="0.499984740745262"/>
      </top>
      <bottom style="thin">
        <color theme="1" tint="0.499984740745262"/>
      </bottom>
      <diagonal/>
    </border>
    <border>
      <left/>
      <right/>
      <top style="thin">
        <color theme="1" tint="0.499984740745262"/>
      </top>
      <bottom/>
      <diagonal/>
    </border>
    <border>
      <left style="medium">
        <color theme="1" tint="0.34998626667073579"/>
      </left>
      <right/>
      <top style="thin">
        <color theme="1" tint="0.499984740745262"/>
      </top>
      <bottom/>
      <diagonal/>
    </border>
    <border>
      <left/>
      <right style="medium">
        <color theme="1" tint="0.34998626667073579"/>
      </right>
      <top style="thin">
        <color theme="1" tint="0.499984740745262"/>
      </top>
      <bottom/>
      <diagonal/>
    </border>
    <border>
      <left/>
      <right style="medium">
        <color theme="1" tint="0.34998626667073579"/>
      </right>
      <top style="thin">
        <color theme="1" tint="0.34998626667073579"/>
      </top>
      <bottom style="thin">
        <color theme="1" tint="0.34998626667073579"/>
      </bottom>
      <diagonal/>
    </border>
    <border>
      <left style="medium">
        <color theme="1" tint="0.34998626667073579"/>
      </left>
      <right/>
      <top style="thin">
        <color theme="1" tint="0.34998626667073579"/>
      </top>
      <bottom style="medium">
        <color theme="1" tint="0.34998626667073579"/>
      </bottom>
      <diagonal/>
    </border>
    <border>
      <left/>
      <right/>
      <top style="thin">
        <color theme="1" tint="0.34998626667073579"/>
      </top>
      <bottom style="medium">
        <color theme="1" tint="0.34998626667073579"/>
      </bottom>
      <diagonal/>
    </border>
    <border>
      <left/>
      <right style="medium">
        <color theme="1" tint="0.34998626667073579"/>
      </right>
      <top style="thin">
        <color theme="1" tint="0.34998626667073579"/>
      </top>
      <bottom style="medium">
        <color theme="1" tint="0.34998626667073579"/>
      </bottom>
      <diagonal/>
    </border>
    <border>
      <left/>
      <right style="thin">
        <color theme="1" tint="0.34998626667073579"/>
      </right>
      <top/>
      <bottom style="medium">
        <color theme="1" tint="0.34998626667073579"/>
      </bottom>
      <diagonal/>
    </border>
    <border>
      <left/>
      <right style="thin">
        <color theme="1" tint="0.34998626667073579"/>
      </right>
      <top style="medium">
        <color theme="1" tint="0.34998626667073579"/>
      </top>
      <bottom/>
      <diagonal/>
    </border>
    <border>
      <left style="medium">
        <color theme="1" tint="0.34998626667073579"/>
      </left>
      <right/>
      <top style="thin">
        <color theme="1" tint="0.499984740745262"/>
      </top>
      <bottom style="thin">
        <color theme="1" tint="0.499984740745262"/>
      </bottom>
      <diagonal/>
    </border>
    <border>
      <left/>
      <right style="medium">
        <color theme="1" tint="0.34998626667073579"/>
      </right>
      <top style="thin">
        <color theme="1" tint="0.499984740745262"/>
      </top>
      <bottom style="thin">
        <color theme="1" tint="0.499984740745262"/>
      </bottom>
      <diagonal/>
    </border>
    <border>
      <left style="thin">
        <color theme="1" tint="0.34998626667073579"/>
      </left>
      <right/>
      <top style="thin">
        <color rgb="FF7F7F7F"/>
      </top>
      <bottom style="thin">
        <color rgb="FF7F7F7F"/>
      </bottom>
      <diagonal/>
    </border>
    <border>
      <left style="thin">
        <color rgb="FF7F7F7F"/>
      </left>
      <right/>
      <top style="thin">
        <color theme="1" tint="0.34998626667073579"/>
      </top>
      <bottom style="thin">
        <color rgb="FF7F7F7F"/>
      </bottom>
      <diagonal/>
    </border>
    <border>
      <left/>
      <right style="thin">
        <color rgb="FF7F7F7F"/>
      </right>
      <top style="thin">
        <color theme="1" tint="0.34998626667073579"/>
      </top>
      <bottom style="thin">
        <color rgb="FF7F7F7F"/>
      </bottom>
      <diagonal/>
    </border>
    <border>
      <left style="thin">
        <color theme="1" tint="0.34998626667073579"/>
      </left>
      <right/>
      <top style="thin">
        <color theme="1" tint="0.34998626667073579"/>
      </top>
      <bottom style="thin">
        <color rgb="FF7F7F7F"/>
      </bottom>
      <diagonal/>
    </border>
    <border>
      <left style="thin">
        <color theme="1" tint="0.34998626667073579"/>
      </left>
      <right/>
      <top style="thin">
        <color rgb="FF7F7F7F"/>
      </top>
      <bottom/>
      <diagonal/>
    </border>
    <border>
      <left/>
      <right style="thin">
        <color rgb="FF7F7F7F"/>
      </right>
      <top style="thin">
        <color rgb="FF7F7F7F"/>
      </top>
      <bottom/>
      <diagonal/>
    </border>
    <border>
      <left style="thin">
        <color theme="1" tint="0.34998626667073579"/>
      </left>
      <right/>
      <top style="medium">
        <color theme="1" tint="0.34998626667073579"/>
      </top>
      <bottom/>
      <diagonal/>
    </border>
    <border>
      <left style="thin">
        <color theme="1" tint="0.249977111117893"/>
      </left>
      <right/>
      <top style="thin">
        <color theme="1" tint="0.249977111117893"/>
      </top>
      <bottom/>
      <diagonal/>
    </border>
    <border>
      <left/>
      <right style="thin">
        <color theme="1" tint="0.249977111117893"/>
      </right>
      <top style="thin">
        <color theme="1" tint="0.249977111117893"/>
      </top>
      <bottom/>
      <diagonal/>
    </border>
    <border>
      <left style="thin">
        <color theme="1" tint="0.34998626667073579"/>
      </left>
      <right/>
      <top style="thin">
        <color indexed="64"/>
      </top>
      <bottom style="thin">
        <color theme="1" tint="0.34998626667073579"/>
      </bottom>
      <diagonal/>
    </border>
    <border>
      <left/>
      <right style="thin">
        <color theme="0" tint="-0.34998626667073579"/>
      </right>
      <top/>
      <bottom/>
      <diagonal/>
    </border>
    <border>
      <left style="medium">
        <color indexed="64"/>
      </left>
      <right style="thin">
        <color theme="1" tint="0.34998626667073579"/>
      </right>
      <top style="medium">
        <color indexed="64"/>
      </top>
      <bottom style="medium">
        <color indexed="64"/>
      </bottom>
      <diagonal/>
    </border>
    <border>
      <left style="thin">
        <color theme="1" tint="0.34998626667073579"/>
      </left>
      <right style="thin">
        <color theme="1" tint="0.34998626667073579"/>
      </right>
      <top style="medium">
        <color indexed="64"/>
      </top>
      <bottom style="medium">
        <color indexed="64"/>
      </bottom>
      <diagonal/>
    </border>
    <border>
      <left style="thin">
        <color theme="1" tint="0.34998626667073579"/>
      </left>
      <right style="medium">
        <color indexed="64"/>
      </right>
      <top style="medium">
        <color indexed="64"/>
      </top>
      <bottom style="medium">
        <color indexed="64"/>
      </bottom>
      <diagonal/>
    </border>
    <border>
      <left style="thin">
        <color theme="1" tint="0.249977111117893"/>
      </left>
      <right style="thin">
        <color theme="1" tint="0.249977111117893"/>
      </right>
      <top style="thin">
        <color theme="1" tint="0.249977111117893"/>
      </top>
      <bottom/>
      <diagonal/>
    </border>
    <border>
      <left style="thin">
        <color theme="1" tint="0.34998626667073579"/>
      </left>
      <right style="thin">
        <color theme="1" tint="0.34998626667073579"/>
      </right>
      <top style="thin">
        <color rgb="FFB2B2B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style="thin">
        <color theme="1" tint="0.34998626667073579"/>
      </right>
      <top style="thin">
        <color rgb="FF7F7F7F"/>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style="thin">
        <color theme="1" tint="0.34998626667073579"/>
      </right>
      <top style="thin">
        <color theme="1" tint="0.499984740745262"/>
      </top>
      <bottom style="thin">
        <color theme="1" tint="0.499984740745262"/>
      </bottom>
      <diagonal/>
    </border>
    <border>
      <left style="medium">
        <color theme="1" tint="0.499984740745262"/>
      </left>
      <right style="medium">
        <color theme="1" tint="0.499984740745262"/>
      </right>
      <top style="medium">
        <color theme="1" tint="0.499984740745262"/>
      </top>
      <bottom style="medium">
        <color theme="1" tint="0.499984740745262"/>
      </bottom>
      <diagonal/>
    </border>
    <border>
      <left/>
      <right style="thin">
        <color theme="1" tint="0.499984740745262"/>
      </right>
      <top style="thin">
        <color theme="1" tint="0.499984740745262"/>
      </top>
      <bottom style="thin">
        <color theme="1" tint="0.499984740745262"/>
      </bottom>
      <diagonal/>
    </border>
    <border>
      <left style="medium">
        <color theme="1" tint="0.499984740745262"/>
      </left>
      <right/>
      <top style="medium">
        <color theme="1" tint="0.499984740745262"/>
      </top>
      <bottom style="medium">
        <color theme="1" tint="0.499984740745262"/>
      </bottom>
      <diagonal/>
    </border>
    <border>
      <left/>
      <right style="medium">
        <color theme="1" tint="0.499984740745262"/>
      </right>
      <top style="medium">
        <color theme="1" tint="0.499984740745262"/>
      </top>
      <bottom style="medium">
        <color theme="1" tint="0.499984740745262"/>
      </bottom>
      <diagonal/>
    </border>
    <border>
      <left/>
      <right style="medium">
        <color theme="1" tint="0.499984740745262"/>
      </right>
      <top style="medium">
        <color theme="1" tint="0.499984740745262"/>
      </top>
      <bottom/>
      <diagonal/>
    </border>
    <border>
      <left/>
      <right style="medium">
        <color theme="1" tint="0.499984740745262"/>
      </right>
      <top/>
      <bottom style="medium">
        <color theme="1" tint="0.499984740745262"/>
      </bottom>
      <diagonal/>
    </border>
    <border>
      <left/>
      <right style="medium">
        <color theme="1" tint="0.499984740745262"/>
      </right>
      <top/>
      <bottom/>
      <diagonal/>
    </border>
    <border>
      <left style="medium">
        <color theme="1" tint="0.499984740745262"/>
      </left>
      <right style="medium">
        <color theme="1" tint="0.499984740745262"/>
      </right>
      <top style="medium">
        <color theme="1" tint="0.499984740745262"/>
      </top>
      <bottom/>
      <diagonal/>
    </border>
    <border>
      <left style="medium">
        <color theme="1" tint="0.499984740745262"/>
      </left>
      <right style="medium">
        <color theme="1" tint="0.499984740745262"/>
      </right>
      <top/>
      <bottom style="medium">
        <color theme="1" tint="0.499984740745262"/>
      </bottom>
      <diagonal/>
    </border>
    <border>
      <left style="medium">
        <color theme="1" tint="0.499984740745262"/>
      </left>
      <right style="medium">
        <color theme="1" tint="0.499984740745262"/>
      </right>
      <top/>
      <bottom/>
      <diagonal/>
    </border>
    <border>
      <left/>
      <right/>
      <top style="medium">
        <color theme="1" tint="0.499984740745262"/>
      </top>
      <bottom style="medium">
        <color theme="1" tint="0.499984740745262"/>
      </bottom>
      <diagonal/>
    </border>
    <border>
      <left style="medium">
        <color theme="1" tint="0.499984740745262"/>
      </left>
      <right/>
      <top style="medium">
        <color theme="1" tint="0.499984740745262"/>
      </top>
      <bottom style="thin">
        <color theme="1" tint="0.34998626667073579"/>
      </bottom>
      <diagonal/>
    </border>
    <border>
      <left/>
      <right/>
      <top style="medium">
        <color theme="1" tint="0.499984740745262"/>
      </top>
      <bottom style="thin">
        <color theme="1" tint="0.34998626667073579"/>
      </bottom>
      <diagonal/>
    </border>
    <border>
      <left/>
      <right style="medium">
        <color theme="1" tint="0.499984740745262"/>
      </right>
      <top style="medium">
        <color theme="1" tint="0.499984740745262"/>
      </top>
      <bottom style="thin">
        <color theme="1" tint="0.34998626667073579"/>
      </bottom>
      <diagonal/>
    </border>
    <border>
      <left style="medium">
        <color theme="1" tint="0.499984740745262"/>
      </left>
      <right style="thin">
        <color theme="1" tint="0.34998626667073579"/>
      </right>
      <top style="thin">
        <color theme="1" tint="0.34998626667073579"/>
      </top>
      <bottom/>
      <diagonal/>
    </border>
    <border>
      <left style="thin">
        <color theme="1" tint="0.34998626667073579"/>
      </left>
      <right style="medium">
        <color theme="1" tint="0.499984740745262"/>
      </right>
      <top style="thin">
        <color theme="1" tint="0.34998626667073579"/>
      </top>
      <bottom/>
      <diagonal/>
    </border>
    <border>
      <left style="medium">
        <color theme="1" tint="0.499984740745262"/>
      </left>
      <right style="thin">
        <color theme="1" tint="0.34998626667073579"/>
      </right>
      <top/>
      <bottom style="thin">
        <color theme="1" tint="0.34998626667073579"/>
      </bottom>
      <diagonal/>
    </border>
    <border>
      <left style="thin">
        <color theme="1" tint="0.34998626667073579"/>
      </left>
      <right style="medium">
        <color theme="1" tint="0.499984740745262"/>
      </right>
      <top/>
      <bottom style="thin">
        <color theme="1" tint="0.34998626667073579"/>
      </bottom>
      <diagonal/>
    </border>
    <border>
      <left style="medium">
        <color theme="1" tint="0.499984740745262"/>
      </left>
      <right style="thin">
        <color rgb="FF7F7F7F"/>
      </right>
      <top/>
      <bottom style="thin">
        <color rgb="FF7F7F7F"/>
      </bottom>
      <diagonal/>
    </border>
    <border>
      <left style="thin">
        <color rgb="FF7F7F7F"/>
      </left>
      <right style="medium">
        <color theme="1" tint="0.499984740745262"/>
      </right>
      <top/>
      <bottom style="thin">
        <color rgb="FF7F7F7F"/>
      </bottom>
      <diagonal/>
    </border>
    <border>
      <left style="medium">
        <color theme="1" tint="0.499984740745262"/>
      </left>
      <right/>
      <top/>
      <bottom/>
      <diagonal/>
    </border>
    <border>
      <left style="medium">
        <color theme="1" tint="0.499984740745262"/>
      </left>
      <right style="thin">
        <color rgb="FF7F7F7F"/>
      </right>
      <top style="thin">
        <color rgb="FF7F7F7F"/>
      </top>
      <bottom style="thin">
        <color rgb="FF7F7F7F"/>
      </bottom>
      <diagonal/>
    </border>
    <border>
      <left style="thin">
        <color rgb="FF7F7F7F"/>
      </left>
      <right style="medium">
        <color theme="1" tint="0.499984740745262"/>
      </right>
      <top style="thin">
        <color rgb="FF7F7F7F"/>
      </top>
      <bottom style="thin">
        <color rgb="FF7F7F7F"/>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top style="thin">
        <color indexed="64"/>
      </top>
      <bottom style="medium">
        <color theme="1" tint="0.499984740745262"/>
      </bottom>
      <diagonal/>
    </border>
    <border>
      <left style="thin">
        <color theme="1" tint="0.34998626667073579"/>
      </left>
      <right style="thin">
        <color theme="1" tint="0.499984740745262"/>
      </right>
      <top style="thin">
        <color theme="1" tint="0.34998626667073579"/>
      </top>
      <bottom style="thin">
        <color theme="1" tint="0.34998626667073579"/>
      </bottom>
      <diagonal/>
    </border>
    <border>
      <left style="thin">
        <color rgb="FFB2B2B2"/>
      </left>
      <right style="thin">
        <color theme="1" tint="0.499984740745262"/>
      </right>
      <top/>
      <bottom style="thin">
        <color rgb="FFB2B2B2"/>
      </bottom>
      <diagonal/>
    </border>
    <border>
      <left style="thin">
        <color rgb="FFB2B2B2"/>
      </left>
      <right style="thin">
        <color theme="1" tint="0.499984740745262"/>
      </right>
      <top style="thin">
        <color rgb="FFB2B2B2"/>
      </top>
      <bottom style="thin">
        <color rgb="FFB2B2B2"/>
      </bottom>
      <diagonal/>
    </border>
    <border>
      <left/>
      <right style="thin">
        <color theme="1" tint="0.499984740745262"/>
      </right>
      <top/>
      <bottom style="thin">
        <color theme="1" tint="0.34998626667073579"/>
      </bottom>
      <diagonal/>
    </border>
    <border>
      <left style="thin">
        <color rgb="FFB2B2B2"/>
      </left>
      <right style="thin">
        <color theme="1" tint="0.34998626667073579"/>
      </right>
      <top style="thin">
        <color rgb="FFB2B2B2"/>
      </top>
      <bottom style="thin">
        <color theme="1" tint="0.499984740745262"/>
      </bottom>
      <diagonal/>
    </border>
    <border>
      <left/>
      <right/>
      <top style="thin">
        <color rgb="FFB2B2B2"/>
      </top>
      <bottom style="thin">
        <color theme="1" tint="0.499984740745262"/>
      </bottom>
      <diagonal/>
    </border>
    <border>
      <left style="thin">
        <color rgb="FFB2B2B2"/>
      </left>
      <right style="thin">
        <color rgb="FFB2B2B2"/>
      </right>
      <top style="thin">
        <color rgb="FFB2B2B2"/>
      </top>
      <bottom style="thin">
        <color theme="1" tint="0.499984740745262"/>
      </bottom>
      <diagonal/>
    </border>
    <border>
      <left style="thin">
        <color rgb="FFB2B2B2"/>
      </left>
      <right style="thin">
        <color theme="1" tint="0.499984740745262"/>
      </right>
      <top style="thin">
        <color rgb="FFB2B2B2"/>
      </top>
      <bottom style="thin">
        <color theme="1" tint="0.499984740745262"/>
      </bottom>
      <diagonal/>
    </border>
    <border>
      <left/>
      <right style="thin">
        <color rgb="FFB2B2B2"/>
      </right>
      <top style="thin">
        <color rgb="FFB2B2B2"/>
      </top>
      <bottom style="thin">
        <color theme="1" tint="0.499984740745262"/>
      </bottom>
      <diagonal/>
    </border>
    <border>
      <left style="thin">
        <color theme="1" tint="0.499984740745262"/>
      </left>
      <right style="thin">
        <color rgb="FFB2B2B2"/>
      </right>
      <top style="thin">
        <color rgb="FFB2B2B2"/>
      </top>
      <bottom style="thin">
        <color rgb="FFB2B2B2"/>
      </bottom>
      <diagonal/>
    </border>
    <border>
      <left style="thin">
        <color theme="1" tint="0.499984740745262"/>
      </left>
      <right style="thin">
        <color rgb="FFB2B2B2"/>
      </right>
      <top style="thin">
        <color rgb="FFB2B2B2"/>
      </top>
      <bottom style="thin">
        <color theme="1" tint="0.499984740745262"/>
      </bottom>
      <diagonal/>
    </border>
    <border>
      <left style="thin">
        <color rgb="FF7F7F7F"/>
      </left>
      <right/>
      <top style="thin">
        <color rgb="FF7F7F7F"/>
      </top>
      <bottom/>
      <diagonal/>
    </border>
    <border>
      <left style="thin">
        <color rgb="FF7F7F7F"/>
      </left>
      <right style="thin">
        <color rgb="FF7F7F7F"/>
      </right>
      <top style="thin">
        <color rgb="FF7F7F7F"/>
      </top>
      <bottom/>
      <diagonal/>
    </border>
    <border>
      <left style="medium">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medium">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1" tint="0.499984740745262"/>
      </left>
      <right style="medium">
        <color theme="1" tint="0.499984740745262"/>
      </right>
      <top style="thin">
        <color theme="1" tint="0.499984740745262"/>
      </top>
      <bottom style="medium">
        <color theme="1" tint="0.499984740745262"/>
      </bottom>
      <diagonal/>
    </border>
    <border>
      <left style="thin">
        <color theme="1" tint="0.499984740745262"/>
      </left>
      <right style="thin">
        <color rgb="FFB2B2B2"/>
      </right>
      <top/>
      <bottom style="thin">
        <color rgb="FFB2B2B2"/>
      </bottom>
      <diagonal/>
    </border>
    <border>
      <left/>
      <right style="thin">
        <color theme="1" tint="0.499984740745262"/>
      </right>
      <top/>
      <bottom style="thin">
        <color rgb="FFB2B2B2"/>
      </bottom>
      <diagonal/>
    </border>
    <border>
      <left/>
      <right style="thin">
        <color theme="1" tint="0.499984740745262"/>
      </right>
      <top style="thin">
        <color rgb="FFB2B2B2"/>
      </top>
      <bottom style="thin">
        <color rgb="FFB2B2B2"/>
      </bottom>
      <diagonal/>
    </border>
    <border>
      <left/>
      <right style="thin">
        <color theme="1" tint="0.499984740745262"/>
      </right>
      <top style="thin">
        <color rgb="FFB2B2B2"/>
      </top>
      <bottom style="thin">
        <color theme="1" tint="0.499984740745262"/>
      </bottom>
      <diagonal/>
    </border>
    <border>
      <left style="thin">
        <color rgb="FFB2B2B2"/>
      </left>
      <right style="thin">
        <color theme="1" tint="0.499984740745262"/>
      </right>
      <top style="medium">
        <color theme="1" tint="0.499984740745262"/>
      </top>
      <bottom style="thin">
        <color rgb="FFB2B2B2"/>
      </bottom>
      <diagonal/>
    </border>
    <border>
      <left style="medium">
        <color theme="1" tint="0.34998626667073579"/>
      </left>
      <right/>
      <top style="medium">
        <color theme="1" tint="0.34998626667073579"/>
      </top>
      <bottom style="thin">
        <color theme="1" tint="0.499984740745262"/>
      </bottom>
      <diagonal/>
    </border>
    <border>
      <left/>
      <right/>
      <top style="medium">
        <color theme="1" tint="0.34998626667073579"/>
      </top>
      <bottom style="thin">
        <color theme="1" tint="0.499984740745262"/>
      </bottom>
      <diagonal/>
    </border>
    <border>
      <left/>
      <right style="medium">
        <color theme="1" tint="0.34998626667073579"/>
      </right>
      <top style="medium">
        <color theme="1" tint="0.34998626667073579"/>
      </top>
      <bottom style="thin">
        <color theme="1" tint="0.499984740745262"/>
      </bottom>
      <diagonal/>
    </border>
    <border>
      <left style="medium">
        <color theme="1" tint="0.34998626667073579"/>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tint="0.34998626667073579"/>
      </right>
      <top style="thin">
        <color theme="1" tint="0.499984740745262"/>
      </top>
      <bottom style="thin">
        <color theme="1" tint="0.499984740745262"/>
      </bottom>
      <diagonal/>
    </border>
    <border>
      <left style="medium">
        <color theme="1" tint="0.34998626667073579"/>
      </left>
      <right style="thin">
        <color theme="1" tint="0.499984740745262"/>
      </right>
      <top/>
      <bottom style="thin">
        <color theme="1" tint="0.499984740745262"/>
      </bottom>
      <diagonal/>
    </border>
    <border>
      <left style="thin">
        <color theme="1" tint="0.499984740745262"/>
      </left>
      <right style="medium">
        <color theme="1" tint="0.34998626667073579"/>
      </right>
      <top/>
      <bottom style="thin">
        <color theme="1" tint="0.499984740745262"/>
      </bottom>
      <diagonal/>
    </border>
    <border>
      <left style="medium">
        <color theme="1" tint="0.34998626667073579"/>
      </left>
      <right style="thin">
        <color theme="1" tint="0.499984740745262"/>
      </right>
      <top style="thin">
        <color theme="1" tint="0.499984740745262"/>
      </top>
      <bottom style="medium">
        <color theme="1" tint="0.34998626667073579"/>
      </bottom>
      <diagonal/>
    </border>
    <border>
      <left style="thin">
        <color theme="1" tint="0.499984740745262"/>
      </left>
      <right style="thin">
        <color theme="1" tint="0.499984740745262"/>
      </right>
      <top style="thin">
        <color theme="1" tint="0.499984740745262"/>
      </top>
      <bottom style="medium">
        <color theme="1" tint="0.34998626667073579"/>
      </bottom>
      <diagonal/>
    </border>
    <border>
      <left style="thin">
        <color theme="1" tint="0.499984740745262"/>
      </left>
      <right style="medium">
        <color theme="1" tint="0.34998626667073579"/>
      </right>
      <top style="thin">
        <color theme="1" tint="0.499984740745262"/>
      </top>
      <bottom style="medium">
        <color theme="1" tint="0.34998626667073579"/>
      </bottom>
      <diagonal/>
    </border>
    <border>
      <left style="medium">
        <color theme="1" tint="0.34998626667073579"/>
      </left>
      <right style="thin">
        <color theme="1" tint="0.499984740745262"/>
      </right>
      <top style="medium">
        <color theme="1" tint="0.34998626667073579"/>
      </top>
      <bottom style="thin">
        <color theme="1" tint="0.499984740745262"/>
      </bottom>
      <diagonal/>
    </border>
    <border>
      <left style="thin">
        <color theme="1" tint="0.499984740745262"/>
      </left>
      <right style="thin">
        <color theme="1" tint="0.499984740745262"/>
      </right>
      <top style="medium">
        <color theme="1" tint="0.34998626667073579"/>
      </top>
      <bottom style="thin">
        <color theme="1" tint="0.499984740745262"/>
      </bottom>
      <diagonal/>
    </border>
    <border>
      <left style="thin">
        <color theme="1" tint="0.499984740745262"/>
      </left>
      <right style="medium">
        <color theme="1" tint="0.34998626667073579"/>
      </right>
      <top style="medium">
        <color theme="1" tint="0.34998626667073579"/>
      </top>
      <bottom style="thin">
        <color theme="1" tint="0.499984740745262"/>
      </bottom>
      <diagonal/>
    </border>
  </borders>
  <cellStyleXfs count="36">
    <xf numFmtId="0" fontId="0" fillId="0" borderId="0"/>
    <xf numFmtId="0" fontId="2" fillId="2" borderId="0" applyNumberFormat="0" applyBorder="0" applyAlignment="0" applyProtection="0"/>
    <xf numFmtId="0" fontId="3" fillId="3" borderId="1" applyNumberFormat="0" applyAlignment="0" applyProtection="0"/>
    <xf numFmtId="0" fontId="1" fillId="4" borderId="2" applyNumberFormat="0" applyFont="0" applyAlignment="0" applyProtection="0"/>
    <xf numFmtId="0" fontId="6" fillId="5" borderId="0" applyNumberFormat="0" applyBorder="0" applyAlignment="0" applyProtection="0"/>
    <xf numFmtId="0" fontId="1" fillId="6" borderId="0" applyNumberFormat="0" applyBorder="0" applyAlignment="0" applyProtection="0"/>
    <xf numFmtId="0" fontId="6" fillId="7"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6"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9" fontId="1" fillId="0" borderId="0" applyFont="0" applyFill="0" applyBorder="0" applyAlignment="0" applyProtection="0"/>
    <xf numFmtId="0" fontId="30" fillId="21" borderId="50" applyNumberFormat="0" applyAlignment="0" applyProtection="0"/>
    <xf numFmtId="0" fontId="6" fillId="22" borderId="0" applyNumberFormat="0" applyBorder="0" applyAlignment="0" applyProtection="0"/>
    <xf numFmtId="170" fontId="1" fillId="15" borderId="0">
      <alignment horizontal="left" vertical="center" indent="1"/>
    </xf>
    <xf numFmtId="0" fontId="1" fillId="0" borderId="0" applyProtection="0">
      <alignment horizontal="left" vertical="center" wrapText="1" indent="1"/>
    </xf>
    <xf numFmtId="7" fontId="1" fillId="0" borderId="0" applyProtection="0">
      <alignment horizontal="right" vertical="center" indent="1"/>
    </xf>
    <xf numFmtId="0" fontId="1" fillId="0" borderId="0" applyProtection="0">
      <alignment horizontal="right" vertical="center" indent="1"/>
    </xf>
    <xf numFmtId="0" fontId="1" fillId="0" borderId="0" applyProtection="0">
      <alignment horizontal="center" vertical="center"/>
    </xf>
    <xf numFmtId="0" fontId="45" fillId="0" borderId="70" applyNumberFormat="0" applyFill="0" applyAlignment="0" applyProtection="0"/>
    <xf numFmtId="0" fontId="1" fillId="24"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6" fillId="30" borderId="0" applyNumberFormat="0" applyBorder="0" applyAlignment="0" applyProtection="0"/>
    <xf numFmtId="0" fontId="68" fillId="0" borderId="108" applyNumberFormat="0" applyFill="0" applyAlignment="0" applyProtection="0"/>
    <xf numFmtId="0" fontId="1" fillId="36" borderId="0" applyNumberFormat="0" applyBorder="0" applyAlignment="0" applyProtection="0"/>
    <xf numFmtId="0" fontId="6"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4" borderId="0" applyNumberFormat="0" applyBorder="0" applyAlignment="0" applyProtection="0"/>
    <xf numFmtId="44" fontId="1" fillId="0" borderId="0" applyFont="0" applyFill="0" applyBorder="0" applyAlignment="0" applyProtection="0"/>
    <xf numFmtId="0" fontId="94" fillId="47" borderId="0" applyNumberFormat="0" applyBorder="0" applyAlignment="0" applyProtection="0"/>
    <xf numFmtId="0" fontId="101" fillId="0" borderId="0" applyNumberFormat="0" applyFill="0" applyBorder="0" applyAlignment="0" applyProtection="0"/>
  </cellStyleXfs>
  <cellXfs count="1985">
    <xf numFmtId="0" fontId="0" fillId="0" borderId="0" xfId="0"/>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10" fillId="8" borderId="8" xfId="0" applyFont="1" applyFill="1" applyBorder="1" applyAlignment="1">
      <alignment horizontal="center" vertical="center"/>
    </xf>
    <xf numFmtId="0" fontId="11" fillId="9" borderId="8" xfId="0" applyFont="1" applyFill="1" applyBorder="1" applyAlignment="1">
      <alignment horizontal="center" vertical="center"/>
    </xf>
    <xf numFmtId="0" fontId="14" fillId="4" borderId="7" xfId="3" applyFont="1" applyBorder="1" applyAlignment="1">
      <alignment horizontal="center"/>
    </xf>
    <xf numFmtId="0" fontId="6" fillId="11" borderId="0" xfId="0" applyFont="1" applyFill="1" applyAlignment="1">
      <alignment horizontal="right"/>
    </xf>
    <xf numFmtId="2" fontId="17" fillId="0" borderId="0" xfId="0" applyNumberFormat="1" applyFont="1"/>
    <xf numFmtId="0" fontId="0" fillId="0" borderId="7" xfId="0" applyBorder="1" applyAlignment="1">
      <alignment horizontal="center"/>
    </xf>
    <xf numFmtId="2" fontId="4" fillId="14" borderId="0" xfId="0" applyNumberFormat="1" applyFont="1" applyFill="1"/>
    <xf numFmtId="0" fontId="6" fillId="14" borderId="0" xfId="0" applyFont="1" applyFill="1" applyAlignment="1">
      <alignment horizontal="right"/>
    </xf>
    <xf numFmtId="0" fontId="6" fillId="0" borderId="0" xfId="0" applyFont="1"/>
    <xf numFmtId="0" fontId="17" fillId="0" borderId="0" xfId="0" applyFont="1"/>
    <xf numFmtId="0" fontId="19" fillId="0" borderId="0" xfId="1" applyFont="1" applyFill="1" applyBorder="1" applyAlignment="1">
      <alignment horizontal="center"/>
    </xf>
    <xf numFmtId="44" fontId="18" fillId="0" borderId="40" xfId="8" applyNumberFormat="1" applyFont="1" applyFill="1" applyBorder="1"/>
    <xf numFmtId="0" fontId="6" fillId="14" borderId="10" xfId="0" applyFont="1" applyFill="1" applyBorder="1" applyAlignment="1">
      <alignment horizontal="right"/>
    </xf>
    <xf numFmtId="0" fontId="0" fillId="0" borderId="33" xfId="0" applyBorder="1" applyAlignment="1">
      <alignment horizontal="center"/>
    </xf>
    <xf numFmtId="0" fontId="0" fillId="0" borderId="13" xfId="0" applyBorder="1" applyAlignment="1">
      <alignment horizontal="right"/>
    </xf>
    <xf numFmtId="0" fontId="0" fillId="0" borderId="0" xfId="0" applyAlignment="1">
      <alignment horizontal="right"/>
    </xf>
    <xf numFmtId="0" fontId="6" fillId="14" borderId="0" xfId="1" applyFont="1" applyFill="1" applyBorder="1" applyAlignment="1">
      <alignment horizontal="center"/>
    </xf>
    <xf numFmtId="0" fontId="0" fillId="0" borderId="42" xfId="0" applyBorder="1"/>
    <xf numFmtId="0" fontId="23" fillId="0" borderId="0" xfId="0" applyFont="1"/>
    <xf numFmtId="0" fontId="24" fillId="0" borderId="0" xfId="0" applyFont="1"/>
    <xf numFmtId="0" fontId="25" fillId="0" borderId="0" xfId="0" applyFont="1"/>
    <xf numFmtId="0" fontId="23" fillId="0" borderId="13" xfId="0" applyFont="1" applyBorder="1"/>
    <xf numFmtId="0" fontId="23" fillId="0" borderId="13" xfId="0" applyFont="1" applyBorder="1" applyAlignment="1">
      <alignment horizontal="center"/>
    </xf>
    <xf numFmtId="0" fontId="27" fillId="4" borderId="46" xfId="3" applyFont="1" applyBorder="1" applyAlignment="1">
      <alignment wrapText="1"/>
    </xf>
    <xf numFmtId="0" fontId="27" fillId="4" borderId="24" xfId="3" applyFont="1" applyBorder="1" applyAlignment="1" applyProtection="1">
      <protection locked="0"/>
    </xf>
    <xf numFmtId="16" fontId="27" fillId="4" borderId="24" xfId="3" applyNumberFormat="1" applyFont="1" applyBorder="1" applyAlignment="1" applyProtection="1">
      <protection locked="0"/>
    </xf>
    <xf numFmtId="0" fontId="27" fillId="4" borderId="24" xfId="3" applyFont="1" applyBorder="1" applyAlignment="1" applyProtection="1">
      <alignment wrapText="1"/>
      <protection locked="0"/>
    </xf>
    <xf numFmtId="0" fontId="27" fillId="4" borderId="30" xfId="3" applyFont="1" applyBorder="1" applyAlignment="1" applyProtection="1">
      <protection locked="0"/>
    </xf>
    <xf numFmtId="0" fontId="19" fillId="0" borderId="0" xfId="1" applyFont="1" applyFill="1" applyBorder="1" applyAlignment="1">
      <alignment horizontal="left"/>
    </xf>
    <xf numFmtId="0" fontId="3" fillId="3" borderId="1" xfId="2" applyAlignment="1">
      <alignment horizontal="center" vertical="center"/>
    </xf>
    <xf numFmtId="1" fontId="3" fillId="3" borderId="1" xfId="2" applyNumberFormat="1" applyAlignment="1">
      <alignment horizontal="center" vertical="center"/>
    </xf>
    <xf numFmtId="2" fontId="0" fillId="0" borderId="0" xfId="0" applyNumberFormat="1"/>
    <xf numFmtId="1" fontId="0" fillId="0" borderId="0" xfId="0" applyNumberFormat="1"/>
    <xf numFmtId="49" fontId="0" fillId="0" borderId="0" xfId="0" applyNumberFormat="1" applyAlignment="1">
      <alignment vertical="center"/>
    </xf>
    <xf numFmtId="0" fontId="7" fillId="18" borderId="7" xfId="11" applyFont="1" applyBorder="1" applyAlignment="1">
      <alignment horizontal="center"/>
    </xf>
    <xf numFmtId="0" fontId="14" fillId="2" borderId="7" xfId="1" applyFont="1" applyBorder="1" applyAlignment="1" applyProtection="1">
      <alignment horizontal="center"/>
      <protection locked="0"/>
    </xf>
    <xf numFmtId="0" fontId="0" fillId="0" borderId="0" xfId="0" applyAlignment="1">
      <alignment vertical="center"/>
    </xf>
    <xf numFmtId="0" fontId="14" fillId="0" borderId="7" xfId="0" applyFont="1" applyBorder="1" applyAlignment="1" applyProtection="1">
      <alignment vertical="center"/>
      <protection locked="0"/>
    </xf>
    <xf numFmtId="0" fontId="35" fillId="4" borderId="10" xfId="0" applyFont="1" applyFill="1" applyBorder="1" applyAlignment="1">
      <alignment horizontal="right" vertical="center"/>
    </xf>
    <xf numFmtId="0" fontId="35" fillId="4" borderId="11" xfId="0" applyFont="1" applyFill="1" applyBorder="1" applyAlignment="1">
      <alignment horizontal="right" vertical="center"/>
    </xf>
    <xf numFmtId="0" fontId="0" fillId="4" borderId="7" xfId="3" applyFont="1" applyBorder="1" applyAlignment="1">
      <alignment horizontal="center"/>
    </xf>
    <xf numFmtId="2" fontId="36" fillId="0" borderId="13" xfId="0" applyNumberFormat="1" applyFont="1" applyBorder="1" applyAlignment="1" applyProtection="1">
      <alignment horizontal="left" vertical="center"/>
      <protection locked="0"/>
    </xf>
    <xf numFmtId="2" fontId="36" fillId="0" borderId="10" xfId="0" applyNumberFormat="1" applyFont="1" applyBorder="1" applyAlignment="1" applyProtection="1">
      <alignment horizontal="left" vertical="center"/>
      <protection locked="0"/>
    </xf>
    <xf numFmtId="0" fontId="0" fillId="0" borderId="55" xfId="0" applyBorder="1"/>
    <xf numFmtId="9" fontId="14" fillId="0" borderId="7" xfId="14" applyFont="1" applyBorder="1" applyAlignment="1" applyProtection="1">
      <alignment vertical="center"/>
      <protection locked="0"/>
    </xf>
    <xf numFmtId="0" fontId="0" fillId="0" borderId="0" xfId="0" quotePrefix="1"/>
    <xf numFmtId="0" fontId="0" fillId="0" borderId="0" xfId="0" applyAlignment="1">
      <alignment horizontal="left"/>
    </xf>
    <xf numFmtId="0" fontId="35" fillId="4" borderId="7" xfId="0" applyFont="1" applyFill="1" applyBorder="1" applyAlignment="1">
      <alignment horizontal="right" vertical="center"/>
    </xf>
    <xf numFmtId="0" fontId="0" fillId="0" borderId="7" xfId="0" applyBorder="1" applyAlignment="1">
      <alignment vertical="center"/>
    </xf>
    <xf numFmtId="0" fontId="1" fillId="17" borderId="7" xfId="10" applyBorder="1"/>
    <xf numFmtId="0" fontId="1" fillId="17" borderId="7" xfId="10" applyBorder="1" applyAlignment="1">
      <alignment horizontal="center"/>
    </xf>
    <xf numFmtId="0" fontId="0" fillId="0" borderId="59" xfId="0" applyBorder="1" applyAlignment="1">
      <alignment vertical="center"/>
    </xf>
    <xf numFmtId="0" fontId="15" fillId="11" borderId="7" xfId="0" applyFont="1" applyFill="1" applyBorder="1" applyProtection="1">
      <protection locked="0"/>
    </xf>
    <xf numFmtId="0" fontId="0" fillId="0" borderId="42" xfId="0" applyBorder="1" applyAlignment="1">
      <alignment vertical="center"/>
    </xf>
    <xf numFmtId="0" fontId="39" fillId="10" borderId="9" xfId="0" applyFont="1" applyFill="1" applyBorder="1" applyAlignment="1">
      <alignment horizontal="right" vertical="center"/>
    </xf>
    <xf numFmtId="0" fontId="15" fillId="11" borderId="7" xfId="0" applyFont="1" applyFill="1" applyBorder="1"/>
    <xf numFmtId="0" fontId="27" fillId="4" borderId="16" xfId="3" applyFont="1" applyBorder="1" applyAlignment="1" applyProtection="1">
      <alignment vertical="top" wrapText="1"/>
    </xf>
    <xf numFmtId="0" fontId="43" fillId="0" borderId="8" xfId="0" applyFont="1" applyBorder="1" applyAlignment="1">
      <alignment horizontal="center" vertical="center"/>
    </xf>
    <xf numFmtId="0" fontId="0" fillId="0" borderId="0" xfId="0" applyAlignment="1">
      <alignment horizontal="center"/>
    </xf>
    <xf numFmtId="0" fontId="0" fillId="0" borderId="0" xfId="0" applyAlignment="1">
      <alignment horizontal="center" vertical="top" wrapText="1"/>
    </xf>
    <xf numFmtId="0" fontId="0" fillId="0" borderId="12" xfId="0" applyBorder="1"/>
    <xf numFmtId="1" fontId="17" fillId="4" borderId="7" xfId="3" applyNumberFormat="1" applyFont="1" applyBorder="1" applyAlignment="1" applyProtection="1">
      <alignment horizontal="right"/>
    </xf>
    <xf numFmtId="0" fontId="0" fillId="0" borderId="64" xfId="0" applyBorder="1" applyAlignment="1">
      <alignment vertical="center"/>
    </xf>
    <xf numFmtId="0" fontId="0" fillId="0" borderId="65" xfId="0" applyBorder="1"/>
    <xf numFmtId="0" fontId="0" fillId="0" borderId="66" xfId="0" applyBorder="1"/>
    <xf numFmtId="0" fontId="0" fillId="0" borderId="67" xfId="0" applyBorder="1" applyAlignment="1">
      <alignment vertical="center"/>
    </xf>
    <xf numFmtId="0" fontId="0" fillId="0" borderId="38" xfId="0" applyBorder="1" applyAlignment="1">
      <alignment vertical="center"/>
    </xf>
    <xf numFmtId="0" fontId="14" fillId="0" borderId="68" xfId="0" applyFont="1" applyBorder="1" applyProtection="1">
      <protection locked="0"/>
    </xf>
    <xf numFmtId="0" fontId="14" fillId="0" borderId="58" xfId="0" applyFont="1" applyBorder="1" applyProtection="1">
      <protection locked="0"/>
    </xf>
    <xf numFmtId="0" fontId="14" fillId="0" borderId="69" xfId="0" applyFont="1" applyBorder="1" applyProtection="1">
      <protection locked="0"/>
    </xf>
    <xf numFmtId="0" fontId="14" fillId="0" borderId="62" xfId="0" applyFont="1" applyBorder="1" applyProtection="1">
      <protection locked="0"/>
    </xf>
    <xf numFmtId="0" fontId="14" fillId="0" borderId="0" xfId="0" applyFont="1" applyAlignment="1" applyProtection="1">
      <alignment vertical="center"/>
      <protection locked="0"/>
    </xf>
    <xf numFmtId="0" fontId="3" fillId="3" borderId="7" xfId="2" applyBorder="1"/>
    <xf numFmtId="0" fontId="36" fillId="3" borderId="58" xfId="2" applyFont="1" applyBorder="1" applyAlignment="1">
      <alignment horizontal="left"/>
    </xf>
    <xf numFmtId="2" fontId="24" fillId="0" borderId="7" xfId="0" applyNumberFormat="1" applyFont="1" applyBorder="1" applyAlignment="1">
      <alignment vertical="center"/>
    </xf>
    <xf numFmtId="1" fontId="24" fillId="0" borderId="7" xfId="0" applyNumberFormat="1" applyFont="1" applyBorder="1" applyAlignment="1">
      <alignment vertical="center"/>
    </xf>
    <xf numFmtId="0" fontId="23" fillId="21" borderId="62" xfId="15" applyFont="1" applyBorder="1" applyAlignment="1">
      <alignment horizontal="left"/>
    </xf>
    <xf numFmtId="2" fontId="24" fillId="0" borderId="14" xfId="0" applyNumberFormat="1" applyFont="1" applyBorder="1" applyAlignment="1">
      <alignment vertical="center"/>
    </xf>
    <xf numFmtId="0" fontId="24" fillId="0" borderId="7" xfId="0" applyFont="1" applyBorder="1" applyAlignment="1">
      <alignment vertical="center"/>
    </xf>
    <xf numFmtId="0" fontId="24" fillId="0" borderId="7" xfId="0" applyFont="1" applyBorder="1"/>
    <xf numFmtId="0" fontId="24" fillId="11" borderId="7" xfId="0" applyFont="1" applyFill="1" applyBorder="1" applyProtection="1">
      <protection locked="0"/>
    </xf>
    <xf numFmtId="1" fontId="23" fillId="0" borderId="7" xfId="0" applyNumberFormat="1" applyFont="1" applyBorder="1"/>
    <xf numFmtId="0" fontId="23" fillId="0" borderId="7" xfId="0" applyFont="1" applyBorder="1"/>
    <xf numFmtId="0" fontId="24" fillId="11" borderId="7" xfId="0" applyFont="1" applyFill="1" applyBorder="1"/>
    <xf numFmtId="0" fontId="0" fillId="0" borderId="0" xfId="0" applyAlignment="1">
      <alignment horizontal="right" vertical="center"/>
    </xf>
    <xf numFmtId="0" fontId="48" fillId="0" borderId="8" xfId="0" applyFont="1" applyBorder="1" applyAlignment="1">
      <alignment horizontal="center" vertical="center"/>
    </xf>
    <xf numFmtId="0" fontId="47" fillId="4" borderId="7" xfId="0" applyFont="1" applyFill="1" applyBorder="1" applyAlignment="1" applyProtection="1">
      <alignment horizontal="center" vertical="center"/>
      <protection locked="0"/>
    </xf>
    <xf numFmtId="0" fontId="33" fillId="10" borderId="11" xfId="0" applyFont="1" applyFill="1" applyBorder="1" applyAlignment="1">
      <alignment vertical="center"/>
    </xf>
    <xf numFmtId="0" fontId="40" fillId="0" borderId="41" xfId="0" applyFont="1" applyBorder="1" applyAlignment="1">
      <alignment vertical="center"/>
    </xf>
    <xf numFmtId="0" fontId="39" fillId="10" borderId="17" xfId="0" applyFont="1" applyFill="1" applyBorder="1" applyAlignment="1">
      <alignment horizontal="left" vertical="center"/>
    </xf>
    <xf numFmtId="0" fontId="47" fillId="4" borderId="29" xfId="0" applyFont="1" applyFill="1" applyBorder="1" applyAlignment="1">
      <alignment horizontal="center" vertical="center"/>
    </xf>
    <xf numFmtId="0" fontId="33" fillId="10" borderId="17" xfId="0" applyFont="1" applyFill="1" applyBorder="1" applyAlignment="1">
      <alignment vertical="center"/>
    </xf>
    <xf numFmtId="0" fontId="47" fillId="4" borderId="29" xfId="0" applyFont="1" applyFill="1" applyBorder="1" applyAlignment="1" applyProtection="1">
      <alignment horizontal="center" vertical="center"/>
      <protection locked="0"/>
    </xf>
    <xf numFmtId="0" fontId="0" fillId="0" borderId="33" xfId="0" applyBorder="1" applyAlignment="1">
      <alignment vertical="center"/>
    </xf>
    <xf numFmtId="172" fontId="33" fillId="10" borderId="11" xfId="0" applyNumberFormat="1" applyFont="1" applyFill="1" applyBorder="1" applyAlignment="1">
      <alignment vertical="center"/>
    </xf>
    <xf numFmtId="0" fontId="47" fillId="4" borderId="9" xfId="0" applyFont="1" applyFill="1" applyBorder="1" applyAlignment="1">
      <alignment horizontal="center" vertical="center"/>
    </xf>
    <xf numFmtId="0" fontId="40" fillId="4" borderId="38" xfId="0" applyFont="1" applyFill="1" applyBorder="1" applyAlignment="1">
      <alignment horizontal="center" vertical="center"/>
    </xf>
    <xf numFmtId="0" fontId="47" fillId="4" borderId="38" xfId="0" applyFont="1" applyFill="1" applyBorder="1" applyAlignment="1">
      <alignment horizontal="center" vertical="center"/>
    </xf>
    <xf numFmtId="17" fontId="39" fillId="0" borderId="7" xfId="0" applyNumberFormat="1" applyFont="1" applyBorder="1" applyAlignment="1" applyProtection="1">
      <alignment vertical="center"/>
      <protection locked="0"/>
    </xf>
    <xf numFmtId="0" fontId="0" fillId="0" borderId="0" xfId="0" applyAlignment="1" applyProtection="1">
      <alignment vertical="center"/>
      <protection locked="0"/>
    </xf>
    <xf numFmtId="0" fontId="39" fillId="10" borderId="9" xfId="0" applyFont="1" applyFill="1" applyBorder="1" applyAlignment="1">
      <alignment horizontal="center" vertical="center"/>
    </xf>
    <xf numFmtId="0" fontId="39" fillId="10" borderId="10" xfId="0" applyFont="1" applyFill="1" applyBorder="1" applyAlignment="1">
      <alignment horizontal="center" vertical="center"/>
    </xf>
    <xf numFmtId="0" fontId="39" fillId="10" borderId="11" xfId="0" applyFont="1" applyFill="1" applyBorder="1" applyAlignment="1">
      <alignment horizontal="center" vertical="center"/>
    </xf>
    <xf numFmtId="0" fontId="50" fillId="0" borderId="0" xfId="0" applyFont="1" applyAlignment="1">
      <alignment vertical="center"/>
    </xf>
    <xf numFmtId="0" fontId="0" fillId="0" borderId="0" xfId="0" applyAlignment="1">
      <alignment horizontal="left" vertical="top"/>
    </xf>
    <xf numFmtId="0" fontId="0" fillId="0" borderId="0" xfId="0" applyAlignment="1">
      <alignment horizontal="right" vertical="top"/>
    </xf>
    <xf numFmtId="173" fontId="0" fillId="0" borderId="0" xfId="0" applyNumberFormat="1" applyAlignment="1">
      <alignment horizontal="right"/>
    </xf>
    <xf numFmtId="0" fontId="0" fillId="0" borderId="0" xfId="0" applyAlignment="1">
      <alignment horizontal="left" vertical="top" wrapText="1"/>
    </xf>
    <xf numFmtId="0" fontId="0" fillId="0" borderId="0" xfId="0" applyAlignment="1">
      <alignment horizontal="center" vertical="center" wrapText="1"/>
    </xf>
    <xf numFmtId="0" fontId="47" fillId="4" borderId="11" xfId="0" applyFont="1" applyFill="1" applyBorder="1" applyAlignment="1" applyProtection="1">
      <alignment horizontal="center" vertical="center"/>
      <protection locked="0"/>
    </xf>
    <xf numFmtId="0" fontId="39" fillId="10" borderId="23" xfId="0" applyFont="1" applyFill="1" applyBorder="1" applyAlignment="1" applyProtection="1">
      <alignment horizontal="left" vertical="center"/>
      <protection locked="0"/>
    </xf>
    <xf numFmtId="0" fontId="39" fillId="10" borderId="16" xfId="0" applyFont="1" applyFill="1" applyBorder="1" applyAlignment="1" applyProtection="1">
      <alignment horizontal="left" vertical="center"/>
      <protection locked="0"/>
    </xf>
    <xf numFmtId="9" fontId="21" fillId="0" borderId="7" xfId="14" applyFont="1" applyBorder="1" applyAlignment="1" applyProtection="1">
      <alignment vertical="center"/>
      <protection locked="0"/>
    </xf>
    <xf numFmtId="9" fontId="24" fillId="0" borderId="7" xfId="14" applyFont="1" applyBorder="1" applyAlignment="1" applyProtection="1">
      <alignment horizontal="right" vertical="center"/>
    </xf>
    <xf numFmtId="0" fontId="1" fillId="24" borderId="88" xfId="23" applyBorder="1"/>
    <xf numFmtId="0" fontId="1" fillId="24" borderId="81" xfId="23" applyBorder="1"/>
    <xf numFmtId="174" fontId="24" fillId="0" borderId="80" xfId="0" applyNumberFormat="1" applyFont="1" applyBorder="1"/>
    <xf numFmtId="0" fontId="27" fillId="0" borderId="80" xfId="0" applyFont="1" applyBorder="1" applyProtection="1">
      <protection locked="0"/>
    </xf>
    <xf numFmtId="0" fontId="6" fillId="14" borderId="7" xfId="3" applyFont="1" applyFill="1" applyBorder="1" applyAlignment="1">
      <alignment horizontal="center"/>
    </xf>
    <xf numFmtId="0" fontId="1" fillId="24" borderId="87" xfId="23" applyBorder="1"/>
    <xf numFmtId="0" fontId="0" fillId="0" borderId="92" xfId="0" applyBorder="1"/>
    <xf numFmtId="0" fontId="1" fillId="24" borderId="7" xfId="23" applyBorder="1"/>
    <xf numFmtId="1" fontId="23" fillId="4" borderId="7" xfId="3" applyNumberFormat="1" applyFont="1" applyBorder="1" applyAlignment="1" applyProtection="1">
      <alignment horizontal="right"/>
    </xf>
    <xf numFmtId="0" fontId="23" fillId="4" borderId="7" xfId="3" applyFont="1" applyBorder="1" applyAlignment="1" applyProtection="1">
      <alignment horizontal="right"/>
    </xf>
    <xf numFmtId="1" fontId="23" fillId="4" borderId="7" xfId="3" applyNumberFormat="1" applyFont="1" applyBorder="1" applyAlignment="1" applyProtection="1">
      <alignment horizontal="right"/>
      <protection locked="0"/>
    </xf>
    <xf numFmtId="0" fontId="23" fillId="4" borderId="7" xfId="3" applyFont="1" applyBorder="1" applyAlignment="1" applyProtection="1">
      <alignment horizontal="right"/>
      <protection locked="0"/>
    </xf>
    <xf numFmtId="0" fontId="1" fillId="24" borderId="88" xfId="23" applyBorder="1" applyAlignment="1">
      <alignment horizontal="center"/>
    </xf>
    <xf numFmtId="0" fontId="27" fillId="0" borderId="7" xfId="3" applyFont="1" applyFill="1" applyBorder="1" applyAlignment="1">
      <alignment horizontal="center"/>
    </xf>
    <xf numFmtId="0" fontId="6" fillId="14" borderId="0" xfId="0" applyFont="1" applyFill="1"/>
    <xf numFmtId="0" fontId="0" fillId="14" borderId="0" xfId="0" applyFill="1" applyAlignment="1">
      <alignment vertical="center"/>
    </xf>
    <xf numFmtId="0" fontId="6" fillId="14" borderId="0" xfId="0" applyFont="1" applyFill="1" applyAlignment="1">
      <alignment horizontal="left"/>
    </xf>
    <xf numFmtId="0" fontId="24" fillId="0" borderId="63" xfId="0" applyFont="1" applyBorder="1"/>
    <xf numFmtId="0" fontId="17" fillId="0" borderId="0" xfId="0" applyFont="1" applyAlignment="1">
      <alignment horizontal="right" vertical="center"/>
    </xf>
    <xf numFmtId="14" fontId="0" fillId="0" borderId="0" xfId="0" applyNumberFormat="1" applyAlignment="1">
      <alignment horizontal="left"/>
    </xf>
    <xf numFmtId="175" fontId="21" fillId="3" borderId="1" xfId="2" applyNumberFormat="1" applyFont="1" applyAlignment="1" applyProtection="1">
      <alignment horizontal="center" vertical="center"/>
      <protection locked="0"/>
    </xf>
    <xf numFmtId="0" fontId="1" fillId="0" borderId="0" xfId="0" applyFont="1"/>
    <xf numFmtId="176" fontId="57" fillId="0" borderId="0" xfId="0" applyNumberFormat="1" applyFont="1"/>
    <xf numFmtId="0" fontId="6" fillId="14" borderId="0" xfId="8" applyFont="1" applyFill="1" applyBorder="1" applyProtection="1"/>
    <xf numFmtId="44" fontId="0" fillId="0" borderId="0" xfId="0" applyNumberFormat="1"/>
    <xf numFmtId="0" fontId="58" fillId="2" borderId="14" xfId="1" applyFont="1" applyBorder="1" applyProtection="1"/>
    <xf numFmtId="0" fontId="0" fillId="15" borderId="33" xfId="0" applyFill="1" applyBorder="1"/>
    <xf numFmtId="0" fontId="0" fillId="15" borderId="19" xfId="0" applyFill="1" applyBorder="1"/>
    <xf numFmtId="0" fontId="0" fillId="15" borderId="29" xfId="0" applyFill="1" applyBorder="1"/>
    <xf numFmtId="0" fontId="0" fillId="15" borderId="13" xfId="0" applyFill="1" applyBorder="1"/>
    <xf numFmtId="0" fontId="0" fillId="15" borderId="12" xfId="0" applyFill="1" applyBorder="1"/>
    <xf numFmtId="0" fontId="0" fillId="15" borderId="0" xfId="0" applyFill="1"/>
    <xf numFmtId="0" fontId="0" fillId="15" borderId="0" xfId="0" applyFill="1" applyAlignment="1">
      <alignment horizontal="left"/>
    </xf>
    <xf numFmtId="0" fontId="29" fillId="0" borderId="0" xfId="0" applyFont="1" applyAlignment="1">
      <alignment horizontal="center" wrapText="1"/>
    </xf>
    <xf numFmtId="0" fontId="61" fillId="0" borderId="0" xfId="0" applyFont="1" applyAlignment="1">
      <alignment horizontal="center"/>
    </xf>
    <xf numFmtId="0" fontId="23" fillId="0" borderId="0" xfId="0" applyFont="1" applyAlignment="1">
      <alignment horizontal="center"/>
    </xf>
    <xf numFmtId="0" fontId="0" fillId="14" borderId="0" xfId="0" applyFill="1"/>
    <xf numFmtId="14" fontId="0" fillId="0" borderId="0" xfId="0" applyNumberFormat="1" applyAlignment="1" applyProtection="1">
      <alignment horizontal="right"/>
      <protection locked="0"/>
    </xf>
    <xf numFmtId="0" fontId="14" fillId="0" borderId="96" xfId="0" applyFont="1" applyBorder="1" applyAlignment="1" applyProtection="1">
      <alignment horizontal="right"/>
      <protection locked="0"/>
    </xf>
    <xf numFmtId="0" fontId="24" fillId="0" borderId="96" xfId="0" applyFont="1" applyBorder="1" applyAlignment="1">
      <alignment horizontal="right"/>
    </xf>
    <xf numFmtId="0" fontId="24" fillId="0" borderId="99" xfId="0" applyFont="1" applyBorder="1" applyAlignment="1">
      <alignment horizontal="right"/>
    </xf>
    <xf numFmtId="0" fontId="14" fillId="0" borderId="11" xfId="0" applyFont="1" applyBorder="1" applyAlignment="1">
      <alignment horizontal="left" vertical="center"/>
    </xf>
    <xf numFmtId="0" fontId="21" fillId="0" borderId="7" xfId="14" applyNumberFormat="1" applyFont="1" applyBorder="1" applyAlignment="1" applyProtection="1">
      <alignment vertical="center"/>
      <protection locked="0"/>
    </xf>
    <xf numFmtId="9" fontId="21" fillId="0" borderId="7" xfId="0" applyNumberFormat="1" applyFont="1" applyBorder="1" applyAlignment="1" applyProtection="1">
      <alignment horizontal="right"/>
      <protection locked="0"/>
    </xf>
    <xf numFmtId="0" fontId="14" fillId="0" borderId="9" xfId="0" applyFont="1" applyBorder="1" applyAlignment="1">
      <alignment vertical="center"/>
    </xf>
    <xf numFmtId="0" fontId="14" fillId="0" borderId="10" xfId="0" applyFont="1" applyBorder="1" applyAlignment="1" applyProtection="1">
      <alignment horizontal="right" vertical="center"/>
      <protection locked="0"/>
    </xf>
    <xf numFmtId="0" fontId="14" fillId="0" borderId="7" xfId="0" applyFont="1" applyBorder="1" applyAlignment="1">
      <alignment vertical="center"/>
    </xf>
    <xf numFmtId="167" fontId="23" fillId="3" borderId="1" xfId="2" applyNumberFormat="1" applyFont="1" applyProtection="1"/>
    <xf numFmtId="0" fontId="23" fillId="3" borderId="1" xfId="2" applyFont="1" applyProtection="1"/>
    <xf numFmtId="167" fontId="23" fillId="3" borderId="105" xfId="2" applyNumberFormat="1" applyFont="1" applyBorder="1" applyProtection="1"/>
    <xf numFmtId="0" fontId="23" fillId="3" borderId="105" xfId="2" applyFont="1" applyBorder="1" applyProtection="1"/>
    <xf numFmtId="176" fontId="23" fillId="3" borderId="1" xfId="2" applyNumberFormat="1" applyFont="1"/>
    <xf numFmtId="0" fontId="21" fillId="3" borderId="1" xfId="2" applyFont="1" applyProtection="1">
      <protection locked="0"/>
    </xf>
    <xf numFmtId="0" fontId="21" fillId="3" borderId="95" xfId="2" applyFont="1" applyBorder="1" applyProtection="1">
      <protection locked="0"/>
    </xf>
    <xf numFmtId="176" fontId="23" fillId="3" borderId="103" xfId="2" applyNumberFormat="1" applyFont="1" applyBorder="1"/>
    <xf numFmtId="0" fontId="21" fillId="3" borderId="105" xfId="2" applyFont="1" applyBorder="1" applyProtection="1">
      <protection locked="0"/>
    </xf>
    <xf numFmtId="0" fontId="21" fillId="3" borderId="106" xfId="2" applyFont="1" applyBorder="1" applyProtection="1">
      <protection locked="0"/>
    </xf>
    <xf numFmtId="1" fontId="23" fillId="3" borderId="105" xfId="2" applyNumberFormat="1" applyFont="1" applyBorder="1" applyProtection="1"/>
    <xf numFmtId="175" fontId="21" fillId="3" borderId="105" xfId="2" applyNumberFormat="1" applyFont="1" applyBorder="1" applyProtection="1">
      <protection locked="0"/>
    </xf>
    <xf numFmtId="175" fontId="23" fillId="3" borderId="105" xfId="2" applyNumberFormat="1" applyFont="1" applyBorder="1" applyProtection="1"/>
    <xf numFmtId="176" fontId="23" fillId="3" borderId="104" xfId="2" applyNumberFormat="1" applyFont="1" applyBorder="1"/>
    <xf numFmtId="176" fontId="23" fillId="3" borderId="105" xfId="2" applyNumberFormat="1" applyFont="1" applyBorder="1"/>
    <xf numFmtId="0" fontId="1" fillId="0" borderId="42" xfId="0" applyFont="1" applyBorder="1"/>
    <xf numFmtId="171" fontId="14" fillId="3" borderId="14" xfId="0" applyNumberFormat="1" applyFont="1" applyFill="1" applyBorder="1" applyAlignment="1" applyProtection="1">
      <alignment horizontal="center" vertical="center"/>
      <protection locked="0"/>
    </xf>
    <xf numFmtId="0" fontId="1" fillId="25" borderId="7" xfId="24" applyBorder="1" applyAlignment="1" applyProtection="1">
      <alignment horizontal="center" vertical="center"/>
    </xf>
    <xf numFmtId="0" fontId="0" fillId="15" borderId="0" xfId="0" applyFill="1" applyAlignment="1">
      <alignment horizontal="right"/>
    </xf>
    <xf numFmtId="0" fontId="0" fillId="15" borderId="33" xfId="0" applyFill="1" applyBorder="1" applyAlignment="1">
      <alignment horizontal="center"/>
    </xf>
    <xf numFmtId="176" fontId="0" fillId="0" borderId="0" xfId="0" applyNumberFormat="1"/>
    <xf numFmtId="0" fontId="15" fillId="0" borderId="0" xfId="0" applyFont="1"/>
    <xf numFmtId="0" fontId="5" fillId="0" borderId="0" xfId="0" applyFont="1"/>
    <xf numFmtId="44" fontId="23" fillId="0" borderId="19" xfId="0" applyNumberFormat="1" applyFont="1" applyBorder="1" applyAlignment="1">
      <alignment horizontal="center"/>
    </xf>
    <xf numFmtId="0" fontId="5" fillId="0" borderId="7" xfId="0" applyFont="1" applyBorder="1" applyAlignment="1">
      <alignment horizontal="center"/>
    </xf>
    <xf numFmtId="0" fontId="6" fillId="37" borderId="7" xfId="29" applyBorder="1" applyAlignment="1">
      <alignment horizontal="center"/>
    </xf>
    <xf numFmtId="0" fontId="4" fillId="38" borderId="7" xfId="30" applyFont="1" applyBorder="1" applyAlignment="1" applyProtection="1">
      <alignment horizontal="center"/>
      <protection locked="0"/>
    </xf>
    <xf numFmtId="0" fontId="6" fillId="5" borderId="1" xfId="4" applyBorder="1" applyAlignment="1">
      <alignment horizontal="center" vertical="center"/>
    </xf>
    <xf numFmtId="0" fontId="4" fillId="38" borderId="96" xfId="30" applyFont="1" applyBorder="1" applyAlignment="1" applyProtection="1">
      <alignment horizontal="center"/>
    </xf>
    <xf numFmtId="0" fontId="4" fillId="16" borderId="7" xfId="9" applyFont="1" applyBorder="1" applyAlignment="1" applyProtection="1">
      <alignment horizontal="center"/>
    </xf>
    <xf numFmtId="165" fontId="24" fillId="0" borderId="7" xfId="0" applyNumberFormat="1" applyFont="1" applyBorder="1" applyAlignment="1">
      <alignment horizontal="right" vertical="center"/>
    </xf>
    <xf numFmtId="165" fontId="24" fillId="0" borderId="7" xfId="0" applyNumberFormat="1" applyFont="1" applyBorder="1" applyAlignment="1">
      <alignment vertical="center"/>
    </xf>
    <xf numFmtId="165" fontId="23" fillId="0" borderId="7" xfId="0" applyNumberFormat="1" applyFont="1" applyBorder="1" applyAlignment="1">
      <alignment vertical="center"/>
    </xf>
    <xf numFmtId="165" fontId="14" fillId="0" borderId="7" xfId="0" applyNumberFormat="1" applyFont="1" applyBorder="1" applyAlignment="1" applyProtection="1">
      <alignment vertical="center"/>
      <protection locked="0"/>
    </xf>
    <xf numFmtId="165" fontId="14" fillId="0" borderId="7" xfId="0" applyNumberFormat="1" applyFont="1" applyBorder="1" applyAlignment="1">
      <alignment vertical="center"/>
    </xf>
    <xf numFmtId="165" fontId="14" fillId="0" borderId="19" xfId="0" applyNumberFormat="1" applyFont="1" applyBorder="1" applyAlignment="1" applyProtection="1">
      <alignment vertical="center"/>
      <protection locked="0"/>
    </xf>
    <xf numFmtId="165" fontId="14" fillId="0" borderId="14" xfId="0" applyNumberFormat="1" applyFont="1" applyBorder="1" applyAlignment="1" applyProtection="1">
      <alignment vertical="center"/>
      <protection locked="0"/>
    </xf>
    <xf numFmtId="0" fontId="6" fillId="5" borderId="0" xfId="4" applyBorder="1" applyAlignment="1">
      <alignment horizontal="right" vertical="center"/>
    </xf>
    <xf numFmtId="0" fontId="6" fillId="30" borderId="9" xfId="26" applyBorder="1" applyAlignment="1">
      <alignment horizontal="right" vertical="center"/>
    </xf>
    <xf numFmtId="165" fontId="18" fillId="35" borderId="7" xfId="0" applyNumberFormat="1" applyFont="1" applyFill="1" applyBorder="1"/>
    <xf numFmtId="165" fontId="18" fillId="35" borderId="14" xfId="0" applyNumberFormat="1" applyFont="1" applyFill="1" applyBorder="1"/>
    <xf numFmtId="165" fontId="24" fillId="0" borderId="7" xfId="0" applyNumberFormat="1" applyFont="1" applyBorder="1"/>
    <xf numFmtId="165" fontId="24" fillId="0" borderId="9" xfId="0" applyNumberFormat="1" applyFont="1" applyBorder="1"/>
    <xf numFmtId="165" fontId="24" fillId="0" borderId="0" xfId="0" applyNumberFormat="1" applyFont="1"/>
    <xf numFmtId="0" fontId="69" fillId="0" borderId="108" xfId="27" applyFont="1" applyAlignment="1">
      <alignment vertical="center"/>
    </xf>
    <xf numFmtId="165" fontId="69" fillId="0" borderId="108" xfId="27" applyNumberFormat="1" applyFont="1"/>
    <xf numFmtId="1" fontId="18" fillId="35" borderId="7" xfId="1" applyNumberFormat="1" applyFont="1" applyFill="1" applyBorder="1"/>
    <xf numFmtId="165" fontId="18" fillId="35" borderId="7" xfId="0" applyNumberFormat="1" applyFont="1" applyFill="1" applyBorder="1" applyAlignment="1">
      <alignment vertical="center"/>
    </xf>
    <xf numFmtId="0" fontId="4" fillId="38" borderId="7" xfId="30" applyFont="1" applyBorder="1" applyAlignment="1" applyProtection="1">
      <alignment horizontal="center" vertical="center"/>
      <protection locked="0"/>
    </xf>
    <xf numFmtId="0" fontId="21" fillId="0" borderId="7" xfId="0" applyFont="1" applyBorder="1" applyAlignment="1" applyProtection="1">
      <alignment vertical="center"/>
      <protection locked="0"/>
    </xf>
    <xf numFmtId="168" fontId="21" fillId="0" borderId="7" xfId="0" applyNumberFormat="1" applyFont="1" applyBorder="1" applyAlignment="1" applyProtection="1">
      <alignment vertical="center"/>
      <protection locked="0"/>
    </xf>
    <xf numFmtId="0" fontId="19" fillId="0" borderId="0" xfId="0" applyFont="1" applyAlignment="1">
      <alignment vertical="center"/>
    </xf>
    <xf numFmtId="0" fontId="1" fillId="36" borderId="0" xfId="28"/>
    <xf numFmtId="0" fontId="14" fillId="0" borderId="0" xfId="3" applyFont="1" applyFill="1" applyBorder="1" applyAlignment="1" applyProtection="1">
      <alignment horizontal="left" wrapText="1"/>
    </xf>
    <xf numFmtId="165" fontId="0" fillId="0" borderId="0" xfId="0" applyNumberFormat="1"/>
    <xf numFmtId="0" fontId="4" fillId="14" borderId="0" xfId="8" applyNumberFormat="1" applyFont="1" applyFill="1" applyBorder="1"/>
    <xf numFmtId="0" fontId="27" fillId="0" borderId="0" xfId="0" applyFont="1"/>
    <xf numFmtId="0" fontId="74" fillId="0" borderId="0" xfId="0" applyFont="1"/>
    <xf numFmtId="0" fontId="4" fillId="16" borderId="9" xfId="9" applyFont="1" applyBorder="1" applyAlignment="1" applyProtection="1">
      <alignment horizontal="center"/>
    </xf>
    <xf numFmtId="44" fontId="0" fillId="0" borderId="29" xfId="0" applyNumberFormat="1" applyBorder="1"/>
    <xf numFmtId="0" fontId="4" fillId="5" borderId="78" xfId="4" applyFont="1" applyBorder="1" applyAlignment="1" applyProtection="1">
      <alignment horizontal="center"/>
    </xf>
    <xf numFmtId="44" fontId="5" fillId="0" borderId="109" xfId="0" applyNumberFormat="1" applyFont="1" applyBorder="1"/>
    <xf numFmtId="0" fontId="5" fillId="0" borderId="34" xfId="0" applyFont="1" applyBorder="1"/>
    <xf numFmtId="44" fontId="5" fillId="0" borderId="36" xfId="0" applyNumberFormat="1" applyFont="1" applyBorder="1"/>
    <xf numFmtId="0" fontId="75" fillId="15" borderId="0" xfId="0" applyFont="1" applyFill="1"/>
    <xf numFmtId="0" fontId="4" fillId="38" borderId="8" xfId="30" applyFont="1" applyBorder="1" applyAlignment="1" applyProtection="1">
      <alignment horizontal="center"/>
      <protection locked="0"/>
    </xf>
    <xf numFmtId="0" fontId="4" fillId="38" borderId="80" xfId="30" applyFont="1" applyBorder="1" applyAlignment="1" applyProtection="1">
      <alignment horizontal="center"/>
      <protection locked="0"/>
    </xf>
    <xf numFmtId="0" fontId="1" fillId="24" borderId="110" xfId="23" applyBorder="1"/>
    <xf numFmtId="0" fontId="1" fillId="24" borderId="111" xfId="23" applyBorder="1"/>
    <xf numFmtId="0" fontId="6" fillId="14" borderId="115" xfId="0" applyFont="1" applyFill="1" applyBorder="1"/>
    <xf numFmtId="0" fontId="6" fillId="14" borderId="116" xfId="0" applyFont="1" applyFill="1" applyBorder="1"/>
    <xf numFmtId="174" fontId="6" fillId="14" borderId="117" xfId="0" applyNumberFormat="1" applyFont="1" applyFill="1" applyBorder="1"/>
    <xf numFmtId="0" fontId="6" fillId="14" borderId="118" xfId="0" applyFont="1" applyFill="1" applyBorder="1"/>
    <xf numFmtId="174" fontId="6" fillId="14" borderId="119" xfId="0" applyNumberFormat="1" applyFont="1" applyFill="1" applyBorder="1"/>
    <xf numFmtId="2" fontId="23" fillId="4" borderId="9" xfId="3" applyNumberFormat="1" applyFont="1" applyBorder="1" applyAlignment="1" applyProtection="1">
      <alignment horizontal="right"/>
    </xf>
    <xf numFmtId="0" fontId="1" fillId="18" borderId="7" xfId="11" applyBorder="1"/>
    <xf numFmtId="0" fontId="1" fillId="18" borderId="14" xfId="11" applyBorder="1"/>
    <xf numFmtId="0" fontId="1" fillId="25" borderId="7" xfId="24" applyBorder="1"/>
    <xf numFmtId="0" fontId="1" fillId="25" borderId="14" xfId="24" applyBorder="1"/>
    <xf numFmtId="0" fontId="27" fillId="4" borderId="23" xfId="3" applyFont="1" applyBorder="1" applyAlignment="1" applyProtection="1">
      <alignment vertical="top" wrapText="1"/>
    </xf>
    <xf numFmtId="174" fontId="14" fillId="0" borderId="80" xfId="0" applyNumberFormat="1" applyFont="1" applyBorder="1" applyProtection="1">
      <protection locked="0"/>
    </xf>
    <xf numFmtId="22" fontId="14" fillId="0" borderId="80" xfId="0" applyNumberFormat="1" applyFont="1" applyBorder="1" applyProtection="1">
      <protection locked="0"/>
    </xf>
    <xf numFmtId="166" fontId="23" fillId="0" borderId="0" xfId="0" applyNumberFormat="1" applyFont="1"/>
    <xf numFmtId="0" fontId="23" fillId="0" borderId="0" xfId="7" applyFont="1" applyFill="1" applyBorder="1"/>
    <xf numFmtId="0" fontId="69" fillId="0" borderId="0" xfId="27" applyFont="1" applyBorder="1"/>
    <xf numFmtId="166" fontId="69" fillId="0" borderId="0" xfId="27" applyNumberFormat="1" applyFont="1" applyBorder="1"/>
    <xf numFmtId="166" fontId="6" fillId="14" borderId="0" xfId="0" applyNumberFormat="1" applyFont="1" applyFill="1"/>
    <xf numFmtId="0" fontId="4" fillId="38" borderId="0" xfId="30" applyFont="1" applyAlignment="1" applyProtection="1">
      <alignment horizontal="center"/>
    </xf>
    <xf numFmtId="0" fontId="14" fillId="0" borderId="0" xfId="7" applyFont="1" applyFill="1" applyBorder="1" applyAlignment="1" applyProtection="1">
      <alignment horizontal="right"/>
    </xf>
    <xf numFmtId="44" fontId="24" fillId="0" borderId="0" xfId="0" applyNumberFormat="1" applyFont="1"/>
    <xf numFmtId="0" fontId="4" fillId="16" borderId="110" xfId="9" applyFont="1" applyBorder="1" applyAlignment="1" applyProtection="1">
      <alignment horizontal="center"/>
    </xf>
    <xf numFmtId="0" fontId="6" fillId="16" borderId="110" xfId="9" applyBorder="1" applyAlignment="1">
      <alignment horizontal="center"/>
    </xf>
    <xf numFmtId="0" fontId="4" fillId="38" borderId="110" xfId="30" applyFont="1" applyBorder="1" applyAlignment="1">
      <alignment horizontal="center"/>
    </xf>
    <xf numFmtId="0" fontId="0" fillId="0" borderId="119" xfId="0" applyBorder="1"/>
    <xf numFmtId="0" fontId="4" fillId="16" borderId="120" xfId="9" applyFont="1" applyBorder="1" applyAlignment="1" applyProtection="1">
      <alignment horizontal="center"/>
    </xf>
    <xf numFmtId="0" fontId="4" fillId="5" borderId="122" xfId="4" applyFont="1" applyBorder="1" applyAlignment="1" applyProtection="1">
      <alignment horizontal="center"/>
    </xf>
    <xf numFmtId="0" fontId="21" fillId="4" borderId="122" xfId="3" applyFont="1" applyBorder="1" applyAlignment="1" applyProtection="1">
      <alignment horizontal="center"/>
      <protection locked="0"/>
    </xf>
    <xf numFmtId="0" fontId="0" fillId="0" borderId="118" xfId="0" applyBorder="1"/>
    <xf numFmtId="0" fontId="0" fillId="0" borderId="115" xfId="0" applyBorder="1"/>
    <xf numFmtId="44" fontId="69" fillId="0" borderId="0" xfId="27" applyNumberFormat="1" applyFont="1" applyBorder="1"/>
    <xf numFmtId="0" fontId="14" fillId="4" borderId="123" xfId="3" applyFont="1" applyBorder="1" applyProtection="1">
      <protection locked="0"/>
    </xf>
    <xf numFmtId="0" fontId="24" fillId="4" borderId="123" xfId="3" applyFont="1" applyBorder="1" applyProtection="1"/>
    <xf numFmtId="44" fontId="14" fillId="4" borderId="123" xfId="3" applyNumberFormat="1" applyFont="1" applyBorder="1" applyProtection="1">
      <protection locked="0"/>
    </xf>
    <xf numFmtId="44" fontId="24" fillId="4" borderId="123" xfId="3" applyNumberFormat="1" applyFont="1" applyBorder="1" applyProtection="1"/>
    <xf numFmtId="0" fontId="14" fillId="4" borderId="26" xfId="3" applyFont="1" applyBorder="1" applyAlignment="1" applyProtection="1">
      <alignment vertical="top"/>
      <protection locked="0"/>
    </xf>
    <xf numFmtId="0" fontId="14" fillId="4" borderId="126" xfId="3" applyFont="1" applyBorder="1" applyProtection="1">
      <protection locked="0"/>
    </xf>
    <xf numFmtId="0" fontId="24" fillId="4" borderId="126" xfId="3" applyFont="1" applyBorder="1" applyProtection="1"/>
    <xf numFmtId="44" fontId="14" fillId="4" borderId="126" xfId="3" applyNumberFormat="1" applyFont="1" applyBorder="1" applyProtection="1">
      <protection locked="0"/>
    </xf>
    <xf numFmtId="44" fontId="24" fillId="4" borderId="126" xfId="3" applyNumberFormat="1" applyFont="1" applyBorder="1" applyProtection="1"/>
    <xf numFmtId="44" fontId="24" fillId="4" borderId="127" xfId="3" applyNumberFormat="1" applyFont="1" applyBorder="1" applyProtection="1"/>
    <xf numFmtId="44" fontId="24" fillId="4" borderId="130" xfId="3" applyNumberFormat="1" applyFont="1" applyBorder="1" applyProtection="1"/>
    <xf numFmtId="0" fontId="6" fillId="5" borderId="120" xfId="4" applyBorder="1" applyAlignment="1">
      <alignment horizontal="center" vertical="center"/>
    </xf>
    <xf numFmtId="0" fontId="14" fillId="4" borderId="131" xfId="3" applyFont="1" applyBorder="1" applyAlignment="1" applyProtection="1">
      <alignment vertical="top"/>
      <protection locked="0"/>
    </xf>
    <xf numFmtId="0" fontId="24" fillId="4" borderId="132" xfId="3" applyFont="1" applyBorder="1" applyProtection="1"/>
    <xf numFmtId="0" fontId="14" fillId="4" borderId="132" xfId="3" applyFont="1" applyBorder="1" applyProtection="1">
      <protection locked="0"/>
    </xf>
    <xf numFmtId="44" fontId="14" fillId="4" borderId="132" xfId="3" applyNumberFormat="1" applyFont="1" applyBorder="1" applyProtection="1">
      <protection locked="0"/>
    </xf>
    <xf numFmtId="44" fontId="24" fillId="4" borderId="132" xfId="3" applyNumberFormat="1" applyFont="1" applyBorder="1" applyProtection="1"/>
    <xf numFmtId="44" fontId="24" fillId="4" borderId="133" xfId="3" applyNumberFormat="1" applyFont="1" applyBorder="1" applyProtection="1"/>
    <xf numFmtId="0" fontId="5" fillId="0" borderId="96" xfId="0" applyFont="1" applyBorder="1" applyAlignment="1">
      <alignment horizontal="center"/>
    </xf>
    <xf numFmtId="0" fontId="27" fillId="4" borderId="139" xfId="3" applyFont="1" applyBorder="1" applyAlignment="1" applyProtection="1">
      <protection locked="0"/>
    </xf>
    <xf numFmtId="0" fontId="27" fillId="4" borderId="141" xfId="3" applyFont="1" applyBorder="1" applyAlignment="1" applyProtection="1">
      <protection locked="0"/>
    </xf>
    <xf numFmtId="0" fontId="14" fillId="4" borderId="124" xfId="3" applyFont="1" applyBorder="1" applyAlignment="1" applyProtection="1">
      <alignment vertical="top"/>
      <protection locked="0"/>
    </xf>
    <xf numFmtId="0" fontId="4" fillId="16" borderId="96" xfId="9" applyFont="1" applyBorder="1" applyProtection="1"/>
    <xf numFmtId="0" fontId="4" fillId="16" borderId="96" xfId="9" applyFont="1" applyBorder="1"/>
    <xf numFmtId="0" fontId="6" fillId="5" borderId="96" xfId="4" applyBorder="1" applyAlignment="1">
      <alignment horizontal="center" vertical="center"/>
    </xf>
    <xf numFmtId="0" fontId="0" fillId="4" borderId="96" xfId="3" applyFont="1" applyBorder="1" applyAlignment="1">
      <alignment wrapText="1"/>
    </xf>
    <xf numFmtId="0" fontId="4" fillId="16" borderId="97" xfId="9" applyFont="1" applyBorder="1" applyProtection="1"/>
    <xf numFmtId="44" fontId="24" fillId="4" borderId="150" xfId="3" applyNumberFormat="1" applyFont="1" applyBorder="1" applyProtection="1"/>
    <xf numFmtId="44" fontId="24" fillId="4" borderId="151" xfId="3" applyNumberFormat="1" applyFont="1" applyBorder="1" applyProtection="1"/>
    <xf numFmtId="44" fontId="24" fillId="4" borderId="152" xfId="3" applyNumberFormat="1" applyFont="1" applyBorder="1" applyProtection="1"/>
    <xf numFmtId="14" fontId="27" fillId="4" borderId="150" xfId="3" applyNumberFormat="1" applyFont="1" applyBorder="1" applyProtection="1">
      <protection locked="0"/>
    </xf>
    <xf numFmtId="14" fontId="27" fillId="4" borderId="151" xfId="3" applyNumberFormat="1" applyFont="1" applyBorder="1" applyProtection="1">
      <protection locked="0"/>
    </xf>
    <xf numFmtId="14" fontId="27" fillId="4" borderId="152" xfId="3" applyNumberFormat="1" applyFont="1" applyBorder="1" applyProtection="1">
      <protection locked="0"/>
    </xf>
    <xf numFmtId="0" fontId="27" fillId="4" borderId="150" xfId="3" applyFont="1" applyBorder="1" applyProtection="1">
      <protection locked="0"/>
    </xf>
    <xf numFmtId="16" fontId="27" fillId="4" borderId="151" xfId="3" applyNumberFormat="1" applyFont="1" applyBorder="1" applyProtection="1">
      <protection locked="0"/>
    </xf>
    <xf numFmtId="0" fontId="27" fillId="4" borderId="151" xfId="3" applyFont="1" applyBorder="1" applyProtection="1">
      <protection locked="0"/>
    </xf>
    <xf numFmtId="0" fontId="27" fillId="4" borderId="152" xfId="3" applyFont="1" applyBorder="1" applyProtection="1">
      <protection locked="0"/>
    </xf>
    <xf numFmtId="0" fontId="14" fillId="4" borderId="150" xfId="3" applyNumberFormat="1" applyFont="1" applyBorder="1" applyProtection="1">
      <protection locked="0"/>
    </xf>
    <xf numFmtId="0" fontId="14" fillId="4" borderId="151" xfId="3" applyNumberFormat="1" applyFont="1" applyBorder="1" applyProtection="1">
      <protection locked="0"/>
    </xf>
    <xf numFmtId="0" fontId="14" fillId="4" borderId="152" xfId="3" applyNumberFormat="1" applyFont="1" applyBorder="1" applyProtection="1">
      <protection locked="0"/>
    </xf>
    <xf numFmtId="44" fontId="14" fillId="4" borderId="150" xfId="3" applyNumberFormat="1" applyFont="1" applyBorder="1" applyProtection="1">
      <protection locked="0"/>
    </xf>
    <xf numFmtId="44" fontId="14" fillId="4" borderId="151" xfId="3" applyNumberFormat="1" applyFont="1" applyBorder="1" applyProtection="1">
      <protection locked="0"/>
    </xf>
    <xf numFmtId="44" fontId="14" fillId="4" borderId="152" xfId="3" applyNumberFormat="1" applyFont="1" applyBorder="1" applyProtection="1">
      <protection locked="0"/>
    </xf>
    <xf numFmtId="0" fontId="69" fillId="0" borderId="136" xfId="27" applyFont="1" applyBorder="1"/>
    <xf numFmtId="44" fontId="69" fillId="0" borderId="136" xfId="27" applyNumberFormat="1" applyFont="1" applyBorder="1"/>
    <xf numFmtId="0" fontId="69" fillId="0" borderId="134" xfId="27" applyFont="1" applyBorder="1" applyAlignment="1">
      <alignment horizontal="right"/>
    </xf>
    <xf numFmtId="0" fontId="69" fillId="0" borderId="134" xfId="27" applyFont="1" applyBorder="1"/>
    <xf numFmtId="44" fontId="69" fillId="0" borderId="134" xfId="27" applyNumberFormat="1" applyFont="1" applyBorder="1"/>
    <xf numFmtId="0" fontId="5" fillId="0" borderId="134" xfId="0" applyFont="1" applyBorder="1"/>
    <xf numFmtId="44" fontId="5" fillId="0" borderId="134" xfId="0" applyNumberFormat="1" applyFont="1" applyBorder="1"/>
    <xf numFmtId="0" fontId="77" fillId="0" borderId="134" xfId="27" applyFont="1" applyBorder="1"/>
    <xf numFmtId="0" fontId="70" fillId="0" borderId="134" xfId="27" applyFont="1" applyBorder="1" applyAlignment="1">
      <alignment horizontal="center"/>
    </xf>
    <xf numFmtId="166" fontId="70" fillId="0" borderId="159" xfId="27" applyNumberFormat="1" applyFont="1" applyBorder="1" applyAlignment="1">
      <alignment horizontal="center"/>
    </xf>
    <xf numFmtId="0" fontId="23" fillId="3" borderId="96" xfId="2" applyFont="1" applyBorder="1" applyAlignment="1" applyProtection="1">
      <alignment horizontal="center"/>
    </xf>
    <xf numFmtId="0" fontId="44" fillId="3" borderId="96" xfId="2" applyFont="1" applyBorder="1" applyAlignment="1" applyProtection="1">
      <alignment horizontal="center"/>
    </xf>
    <xf numFmtId="0" fontId="27" fillId="4" borderId="162" xfId="3" applyFont="1" applyBorder="1" applyAlignment="1" applyProtection="1">
      <protection locked="0"/>
    </xf>
    <xf numFmtId="0" fontId="27" fillId="4" borderId="151" xfId="3" applyFont="1" applyBorder="1" applyAlignment="1" applyProtection="1">
      <protection locked="0"/>
    </xf>
    <xf numFmtId="0" fontId="27" fillId="4" borderId="152" xfId="3" applyFont="1" applyBorder="1" applyAlignment="1" applyProtection="1">
      <protection locked="0"/>
    </xf>
    <xf numFmtId="0" fontId="4" fillId="38" borderId="96" xfId="30" applyFont="1" applyBorder="1" applyAlignment="1" applyProtection="1">
      <alignment horizontal="center"/>
      <protection locked="0"/>
    </xf>
    <xf numFmtId="0" fontId="16" fillId="0" borderId="96" xfId="2" applyFont="1" applyFill="1" applyBorder="1" applyAlignment="1" applyProtection="1">
      <alignment horizontal="center"/>
    </xf>
    <xf numFmtId="166" fontId="69" fillId="0" borderId="134" xfId="27" applyNumberFormat="1" applyFont="1" applyBorder="1"/>
    <xf numFmtId="0" fontId="4" fillId="16" borderId="96" xfId="9" applyFont="1" applyBorder="1" applyAlignment="1" applyProtection="1">
      <alignment horizontal="center"/>
    </xf>
    <xf numFmtId="0" fontId="24" fillId="0" borderId="96" xfId="0" applyFont="1" applyBorder="1"/>
    <xf numFmtId="0" fontId="6" fillId="16" borderId="96" xfId="9" applyBorder="1" applyAlignment="1" applyProtection="1">
      <alignment horizontal="center"/>
    </xf>
    <xf numFmtId="0" fontId="6" fillId="16" borderId="96" xfId="9" applyBorder="1" applyAlignment="1">
      <alignment horizontal="center"/>
    </xf>
    <xf numFmtId="0" fontId="0" fillId="0" borderId="145" xfId="0" applyBorder="1"/>
    <xf numFmtId="0" fontId="0" fillId="0" borderId="134" xfId="0" applyBorder="1"/>
    <xf numFmtId="0" fontId="0" fillId="0" borderId="147" xfId="0" applyBorder="1"/>
    <xf numFmtId="166" fontId="71" fillId="0" borderId="134" xfId="27" applyNumberFormat="1" applyFont="1" applyBorder="1"/>
    <xf numFmtId="0" fontId="4" fillId="5" borderId="168" xfId="4" applyFont="1" applyBorder="1" applyAlignment="1" applyProtection="1">
      <alignment horizontal="center"/>
    </xf>
    <xf numFmtId="166" fontId="69" fillId="0" borderId="169" xfId="27" applyNumberFormat="1" applyFont="1" applyBorder="1"/>
    <xf numFmtId="0" fontId="5" fillId="0" borderId="170" xfId="0" applyFont="1" applyBorder="1"/>
    <xf numFmtId="166" fontId="69" fillId="0" borderId="171" xfId="27" applyNumberFormat="1" applyFont="1" applyBorder="1"/>
    <xf numFmtId="0" fontId="24" fillId="4" borderId="125" xfId="3" applyFont="1" applyBorder="1" applyProtection="1"/>
    <xf numFmtId="0" fontId="24" fillId="4" borderId="27" xfId="3" applyFont="1" applyBorder="1" applyProtection="1"/>
    <xf numFmtId="14" fontId="24" fillId="4" borderId="125" xfId="3" applyNumberFormat="1" applyFont="1" applyBorder="1" applyProtection="1"/>
    <xf numFmtId="0" fontId="4" fillId="38" borderId="136" xfId="30" applyFont="1" applyBorder="1" applyAlignment="1" applyProtection="1">
      <alignment horizontal="center"/>
      <protection locked="0"/>
    </xf>
    <xf numFmtId="0" fontId="14" fillId="4" borderId="162" xfId="3" applyFont="1" applyBorder="1" applyProtection="1">
      <protection locked="0"/>
    </xf>
    <xf numFmtId="0" fontId="14" fillId="4" borderId="151" xfId="3" applyFont="1" applyBorder="1" applyProtection="1">
      <protection locked="0"/>
    </xf>
    <xf numFmtId="0" fontId="14" fillId="4" borderId="152" xfId="3" applyFont="1" applyBorder="1" applyProtection="1">
      <protection locked="0"/>
    </xf>
    <xf numFmtId="0" fontId="27" fillId="4" borderId="162" xfId="3" applyFont="1" applyBorder="1" applyProtection="1">
      <protection locked="0"/>
    </xf>
    <xf numFmtId="0" fontId="24" fillId="4" borderId="162" xfId="3" applyFont="1" applyBorder="1" applyProtection="1"/>
    <xf numFmtId="0" fontId="24" fillId="4" borderId="151" xfId="3" applyFont="1" applyBorder="1" applyProtection="1"/>
    <xf numFmtId="0" fontId="24" fillId="4" borderId="152" xfId="3" applyFont="1" applyBorder="1" applyProtection="1"/>
    <xf numFmtId="14" fontId="24" fillId="4" borderId="162" xfId="3" applyNumberFormat="1" applyFont="1" applyBorder="1" applyProtection="1"/>
    <xf numFmtId="14" fontId="24" fillId="4" borderId="151" xfId="3" applyNumberFormat="1" applyFont="1" applyBorder="1" applyProtection="1"/>
    <xf numFmtId="14" fontId="24" fillId="4" borderId="152" xfId="3" applyNumberFormat="1" applyFont="1" applyBorder="1" applyProtection="1"/>
    <xf numFmtId="0" fontId="4" fillId="38" borderId="99" xfId="30" applyFont="1" applyBorder="1" applyAlignment="1" applyProtection="1">
      <alignment horizontal="center"/>
      <protection locked="0"/>
    </xf>
    <xf numFmtId="44" fontId="24" fillId="4" borderId="162" xfId="3" applyNumberFormat="1" applyFont="1" applyBorder="1" applyProtection="1"/>
    <xf numFmtId="0" fontId="6" fillId="5" borderId="148" xfId="4" applyBorder="1" applyAlignment="1">
      <alignment horizontal="center" vertical="center"/>
    </xf>
    <xf numFmtId="0" fontId="24" fillId="4" borderId="143" xfId="3" applyFont="1" applyBorder="1" applyProtection="1"/>
    <xf numFmtId="0" fontId="14" fillId="4" borderId="172" xfId="3" applyFont="1" applyBorder="1" applyAlignment="1" applyProtection="1">
      <alignment vertical="top"/>
      <protection locked="0"/>
    </xf>
    <xf numFmtId="0" fontId="14" fillId="4" borderId="165" xfId="3" applyFont="1" applyBorder="1" applyAlignment="1" applyProtection="1">
      <alignment vertical="top"/>
      <protection locked="0"/>
    </xf>
    <xf numFmtId="0" fontId="24" fillId="4" borderId="154" xfId="3" applyFont="1" applyBorder="1" applyProtection="1"/>
    <xf numFmtId="0" fontId="24" fillId="4" borderId="140" xfId="3" applyFont="1" applyBorder="1" applyProtection="1"/>
    <xf numFmtId="0" fontId="27" fillId="4" borderId="154" xfId="3" applyFont="1" applyBorder="1" applyProtection="1">
      <protection locked="0"/>
    </xf>
    <xf numFmtId="0" fontId="27" fillId="4" borderId="140" xfId="3" applyFont="1" applyBorder="1" applyProtection="1">
      <protection locked="0"/>
    </xf>
    <xf numFmtId="14" fontId="24" fillId="4" borderId="154" xfId="3" applyNumberFormat="1" applyFont="1" applyBorder="1" applyProtection="1"/>
    <xf numFmtId="14" fontId="24" fillId="4" borderId="140" xfId="3" applyNumberFormat="1" applyFont="1" applyBorder="1" applyProtection="1"/>
    <xf numFmtId="44" fontId="14" fillId="4" borderId="154" xfId="3" applyNumberFormat="1" applyFont="1" applyBorder="1" applyProtection="1">
      <protection locked="0"/>
    </xf>
    <xf numFmtId="44" fontId="14" fillId="4" borderId="140" xfId="3" applyNumberFormat="1" applyFont="1" applyBorder="1" applyProtection="1">
      <protection locked="0"/>
    </xf>
    <xf numFmtId="44" fontId="24" fillId="4" borderId="154" xfId="3" applyNumberFormat="1" applyFont="1" applyBorder="1" applyProtection="1"/>
    <xf numFmtId="44" fontId="24" fillId="4" borderId="140" xfId="3" applyNumberFormat="1" applyFont="1" applyBorder="1" applyProtection="1"/>
    <xf numFmtId="0" fontId="5" fillId="0" borderId="96" xfId="0" applyFont="1" applyBorder="1" applyAlignment="1">
      <alignment horizontal="center" vertical="center"/>
    </xf>
    <xf numFmtId="0" fontId="0" fillId="0" borderId="96" xfId="0" applyBorder="1" applyAlignment="1">
      <alignment horizontal="center"/>
    </xf>
    <xf numFmtId="14" fontId="6" fillId="14" borderId="0" xfId="0" applyNumberFormat="1" applyFont="1" applyFill="1"/>
    <xf numFmtId="0" fontId="0" fillId="0" borderId="136" xfId="0" applyBorder="1"/>
    <xf numFmtId="0" fontId="0" fillId="0" borderId="98" xfId="0" applyBorder="1" applyAlignment="1">
      <alignment horizontal="right"/>
    </xf>
    <xf numFmtId="14" fontId="24" fillId="0" borderId="173" xfId="0" applyNumberFormat="1" applyFont="1" applyBorder="1"/>
    <xf numFmtId="14" fontId="24" fillId="0" borderId="147" xfId="0" applyNumberFormat="1" applyFont="1" applyBorder="1"/>
    <xf numFmtId="0" fontId="21" fillId="4" borderId="150" xfId="3" applyFont="1" applyBorder="1" applyProtection="1">
      <protection locked="0"/>
    </xf>
    <xf numFmtId="0" fontId="21" fillId="4" borderId="151" xfId="3" applyFont="1" applyBorder="1" applyProtection="1">
      <protection locked="0"/>
    </xf>
    <xf numFmtId="0" fontId="21" fillId="4" borderId="152" xfId="3" applyFont="1" applyBorder="1" applyProtection="1">
      <protection locked="0"/>
    </xf>
    <xf numFmtId="168" fontId="21" fillId="4" borderId="150" xfId="3" applyNumberFormat="1" applyFont="1" applyBorder="1" applyProtection="1">
      <protection locked="0"/>
    </xf>
    <xf numFmtId="168" fontId="21" fillId="4" borderId="151" xfId="3" applyNumberFormat="1" applyFont="1" applyBorder="1" applyProtection="1">
      <protection locked="0"/>
    </xf>
    <xf numFmtId="168" fontId="21" fillId="4" borderId="152" xfId="3" applyNumberFormat="1" applyFont="1" applyBorder="1" applyProtection="1">
      <protection locked="0"/>
    </xf>
    <xf numFmtId="168" fontId="23" fillId="4" borderId="150" xfId="3" applyNumberFormat="1" applyFont="1" applyBorder="1" applyAlignment="1">
      <alignment horizontal="right"/>
    </xf>
    <xf numFmtId="168" fontId="23" fillId="4" borderId="151" xfId="3" applyNumberFormat="1" applyFont="1" applyBorder="1" applyAlignment="1">
      <alignment horizontal="right"/>
    </xf>
    <xf numFmtId="14" fontId="21" fillId="4" borderId="150" xfId="3" applyNumberFormat="1" applyFont="1" applyBorder="1" applyProtection="1">
      <protection locked="0"/>
    </xf>
    <xf numFmtId="14" fontId="21" fillId="4" borderId="151" xfId="3" applyNumberFormat="1" applyFont="1" applyBorder="1" applyProtection="1">
      <protection locked="0"/>
    </xf>
    <xf numFmtId="14" fontId="21" fillId="4" borderId="152" xfId="3" applyNumberFormat="1" applyFont="1" applyBorder="1" applyProtection="1">
      <protection locked="0"/>
    </xf>
    <xf numFmtId="0" fontId="6" fillId="30" borderId="96" xfId="26" applyBorder="1" applyAlignment="1">
      <alignment horizontal="center"/>
    </xf>
    <xf numFmtId="0" fontId="2" fillId="2" borderId="96" xfId="1" applyBorder="1"/>
    <xf numFmtId="44" fontId="23" fillId="3" borderId="174" xfId="2" applyNumberFormat="1" applyFont="1" applyBorder="1"/>
    <xf numFmtId="0" fontId="6" fillId="22" borderId="129" xfId="16" applyBorder="1"/>
    <xf numFmtId="0" fontId="0" fillId="0" borderId="33" xfId="0" applyBorder="1"/>
    <xf numFmtId="1" fontId="6" fillId="14" borderId="96" xfId="0" applyNumberFormat="1" applyFont="1" applyFill="1" applyBorder="1"/>
    <xf numFmtId="165" fontId="19" fillId="0" borderId="96" xfId="3" applyNumberFormat="1" applyFont="1" applyFill="1" applyBorder="1" applyAlignment="1" applyProtection="1">
      <alignment wrapText="1"/>
    </xf>
    <xf numFmtId="2" fontId="14" fillId="0" borderId="96" xfId="3" applyNumberFormat="1" applyFont="1" applyFill="1" applyBorder="1" applyAlignment="1" applyProtection="1">
      <alignment wrapText="1"/>
      <protection locked="0"/>
    </xf>
    <xf numFmtId="1" fontId="14" fillId="0" borderId="96" xfId="3" applyNumberFormat="1" applyFont="1" applyFill="1" applyBorder="1" applyAlignment="1" applyProtection="1">
      <alignment wrapText="1"/>
      <protection locked="0"/>
    </xf>
    <xf numFmtId="1" fontId="24" fillId="0" borderId="96" xfId="3" applyNumberFormat="1" applyFont="1" applyFill="1" applyBorder="1" applyAlignment="1" applyProtection="1">
      <alignment wrapText="1"/>
    </xf>
    <xf numFmtId="2" fontId="24" fillId="0" borderId="96" xfId="3" applyNumberFormat="1" applyFont="1" applyFill="1" applyBorder="1" applyAlignment="1" applyProtection="1">
      <alignment wrapText="1"/>
    </xf>
    <xf numFmtId="2" fontId="19" fillId="0" borderId="96" xfId="3" applyNumberFormat="1" applyFont="1" applyFill="1" applyBorder="1" applyAlignment="1" applyProtection="1">
      <alignment wrapText="1"/>
    </xf>
    <xf numFmtId="2" fontId="44" fillId="3" borderId="96" xfId="2" quotePrefix="1" applyNumberFormat="1" applyFont="1" applyBorder="1" applyAlignment="1" applyProtection="1">
      <alignment wrapText="1"/>
    </xf>
    <xf numFmtId="0" fontId="23" fillId="6" borderId="96" xfId="5" applyFont="1" applyBorder="1"/>
    <xf numFmtId="166" fontId="23" fillId="6" borderId="96" xfId="5" applyNumberFormat="1" applyFont="1" applyBorder="1"/>
    <xf numFmtId="0" fontId="23" fillId="0" borderId="96" xfId="0" applyFont="1" applyBorder="1"/>
    <xf numFmtId="0" fontId="0" fillId="0" borderId="97" xfId="0" applyBorder="1"/>
    <xf numFmtId="166" fontId="4" fillId="14" borderId="170" xfId="0" applyNumberFormat="1" applyFont="1" applyFill="1" applyBorder="1"/>
    <xf numFmtId="166" fontId="4" fillId="14" borderId="171" xfId="0" applyNumberFormat="1" applyFont="1" applyFill="1" applyBorder="1"/>
    <xf numFmtId="166" fontId="6" fillId="14" borderId="167" xfId="0" applyNumberFormat="1" applyFont="1" applyFill="1" applyBorder="1"/>
    <xf numFmtId="0" fontId="6" fillId="5" borderId="176" xfId="4" applyBorder="1" applyAlignment="1">
      <alignment horizontal="center" vertical="center"/>
    </xf>
    <xf numFmtId="0" fontId="3" fillId="3" borderId="177" xfId="2" applyBorder="1" applyAlignment="1">
      <alignment horizontal="center" vertical="center"/>
    </xf>
    <xf numFmtId="1" fontId="3" fillId="3" borderId="178" xfId="2" applyNumberFormat="1" applyBorder="1" applyAlignment="1">
      <alignment horizontal="center" vertical="center"/>
    </xf>
    <xf numFmtId="166" fontId="24" fillId="0" borderId="167" xfId="0" applyNumberFormat="1" applyFont="1" applyBorder="1"/>
    <xf numFmtId="0" fontId="23" fillId="0" borderId="167" xfId="8" applyNumberFormat="1" applyFont="1" applyFill="1" applyBorder="1"/>
    <xf numFmtId="44" fontId="18" fillId="0" borderId="167" xfId="8" applyNumberFormat="1" applyFont="1" applyFill="1" applyBorder="1"/>
    <xf numFmtId="0" fontId="23" fillId="0" borderId="99" xfId="0" applyFont="1" applyBorder="1"/>
    <xf numFmtId="166" fontId="23" fillId="0" borderId="99" xfId="0" applyNumberFormat="1" applyFont="1" applyBorder="1"/>
    <xf numFmtId="0" fontId="23" fillId="6" borderId="99" xfId="5" applyFont="1" applyBorder="1"/>
    <xf numFmtId="166" fontId="23" fillId="6" borderId="99" xfId="5" applyNumberFormat="1" applyFont="1" applyBorder="1"/>
    <xf numFmtId="0" fontId="24" fillId="0" borderId="99" xfId="7" applyFont="1" applyFill="1" applyBorder="1" applyAlignment="1">
      <alignment vertical="top"/>
    </xf>
    <xf numFmtId="0" fontId="23" fillId="12" borderId="134" xfId="7" applyFont="1" applyBorder="1"/>
    <xf numFmtId="0" fontId="23" fillId="0" borderId="134" xfId="7" applyFont="1" applyFill="1" applyBorder="1"/>
    <xf numFmtId="0" fontId="23" fillId="12" borderId="180" xfId="7" applyFont="1" applyBorder="1"/>
    <xf numFmtId="0" fontId="2" fillId="2" borderId="97" xfId="1" applyBorder="1"/>
    <xf numFmtId="0" fontId="8" fillId="0" borderId="181" xfId="0" applyFont="1" applyBorder="1" applyAlignment="1">
      <alignment horizontal="center" vertical="center"/>
    </xf>
    <xf numFmtId="0" fontId="28" fillId="0" borderId="181" xfId="0" applyFont="1" applyBorder="1" applyAlignment="1">
      <alignment horizontal="center" vertical="center"/>
    </xf>
    <xf numFmtId="0" fontId="9" fillId="0" borderId="181" xfId="0" applyFont="1" applyBorder="1" applyAlignment="1">
      <alignment horizontal="center" vertical="center"/>
    </xf>
    <xf numFmtId="0" fontId="4" fillId="38" borderId="181" xfId="30" applyFont="1" applyBorder="1" applyAlignment="1" applyProtection="1">
      <alignment horizontal="center"/>
      <protection locked="0"/>
    </xf>
    <xf numFmtId="0" fontId="10" fillId="8" borderId="181" xfId="0" applyFont="1" applyFill="1" applyBorder="1" applyAlignment="1">
      <alignment horizontal="center" vertical="center"/>
    </xf>
    <xf numFmtId="0" fontId="11" fillId="9" borderId="181" xfId="0" applyFont="1" applyFill="1" applyBorder="1" applyAlignment="1">
      <alignment horizontal="center" vertical="center"/>
    </xf>
    <xf numFmtId="0" fontId="14" fillId="4" borderId="181" xfId="3" applyFont="1" applyBorder="1" applyAlignment="1">
      <alignment horizontal="center"/>
    </xf>
    <xf numFmtId="16" fontId="27" fillId="4" borderId="139" xfId="3" applyNumberFormat="1" applyFont="1" applyBorder="1" applyAlignment="1" applyProtection="1">
      <protection locked="0"/>
    </xf>
    <xf numFmtId="0" fontId="27" fillId="4" borderId="139" xfId="3" applyFont="1" applyBorder="1" applyAlignment="1" applyProtection="1">
      <alignment wrapText="1"/>
      <protection locked="0"/>
    </xf>
    <xf numFmtId="0" fontId="27" fillId="4" borderId="137" xfId="3" applyFont="1" applyBorder="1" applyAlignment="1">
      <alignment wrapText="1"/>
    </xf>
    <xf numFmtId="0" fontId="1" fillId="39" borderId="129" xfId="31" applyBorder="1"/>
    <xf numFmtId="0" fontId="1" fillId="39" borderId="144" xfId="31" applyBorder="1"/>
    <xf numFmtId="0" fontId="6" fillId="22" borderId="175" xfId="16" applyBorder="1" applyAlignment="1">
      <alignment horizontal="right"/>
    </xf>
    <xf numFmtId="0" fontId="23" fillId="31" borderId="96" xfId="5" applyFont="1" applyFill="1" applyBorder="1"/>
    <xf numFmtId="0" fontId="23" fillId="31" borderId="97" xfId="5" applyFont="1" applyFill="1" applyBorder="1"/>
    <xf numFmtId="0" fontId="23" fillId="0" borderId="97" xfId="0" applyFont="1" applyBorder="1"/>
    <xf numFmtId="0" fontId="23" fillId="12" borderId="189" xfId="7" applyFont="1" applyBorder="1"/>
    <xf numFmtId="14" fontId="6" fillId="14" borderId="0" xfId="3" applyNumberFormat="1" applyFont="1" applyFill="1" applyBorder="1" applyProtection="1"/>
    <xf numFmtId="0" fontId="0" fillId="0" borderId="144" xfId="0" applyBorder="1"/>
    <xf numFmtId="0" fontId="0" fillId="0" borderId="191" xfId="0" applyBorder="1"/>
    <xf numFmtId="0" fontId="79" fillId="11" borderId="140" xfId="3" applyFont="1" applyFill="1" applyBorder="1" applyProtection="1">
      <protection hidden="1"/>
    </xf>
    <xf numFmtId="0" fontId="79" fillId="11" borderId="151" xfId="3" applyFont="1" applyFill="1" applyBorder="1" applyProtection="1">
      <protection hidden="1"/>
    </xf>
    <xf numFmtId="14" fontId="79" fillId="11" borderId="140" xfId="3" applyNumberFormat="1" applyFont="1" applyFill="1" applyBorder="1" applyProtection="1">
      <protection hidden="1"/>
    </xf>
    <xf numFmtId="44" fontId="79" fillId="11" borderId="140" xfId="3" applyNumberFormat="1" applyFont="1" applyFill="1" applyBorder="1" applyProtection="1">
      <protection hidden="1"/>
    </xf>
    <xf numFmtId="0" fontId="79" fillId="11" borderId="143" xfId="3" applyFont="1" applyFill="1" applyBorder="1" applyProtection="1">
      <protection hidden="1"/>
    </xf>
    <xf numFmtId="0" fontId="79" fillId="11" borderId="152" xfId="3" applyFont="1" applyFill="1" applyBorder="1" applyProtection="1">
      <protection hidden="1"/>
    </xf>
    <xf numFmtId="14" fontId="79" fillId="11" borderId="152" xfId="3" applyNumberFormat="1" applyFont="1" applyFill="1" applyBorder="1" applyProtection="1">
      <protection hidden="1"/>
    </xf>
    <xf numFmtId="44" fontId="79" fillId="11" borderId="143" xfId="3" applyNumberFormat="1" applyFont="1" applyFill="1" applyBorder="1" applyProtection="1">
      <protection hidden="1"/>
    </xf>
    <xf numFmtId="0" fontId="79" fillId="11" borderId="165" xfId="3" applyFont="1" applyFill="1" applyBorder="1" applyAlignment="1" applyProtection="1">
      <alignment vertical="top"/>
      <protection hidden="1"/>
    </xf>
    <xf numFmtId="0" fontId="79" fillId="11" borderId="157" xfId="3" applyFont="1" applyFill="1" applyBorder="1" applyAlignment="1" applyProtection="1">
      <alignment vertical="top"/>
      <protection hidden="1"/>
    </xf>
    <xf numFmtId="0" fontId="80" fillId="11" borderId="96" xfId="30" applyFont="1" applyFill="1" applyBorder="1" applyAlignment="1" applyProtection="1">
      <alignment horizontal="center"/>
      <protection hidden="1"/>
    </xf>
    <xf numFmtId="44" fontId="79" fillId="11" borderId="151" xfId="3" applyNumberFormat="1" applyFont="1" applyFill="1" applyBorder="1" applyProtection="1">
      <protection hidden="1"/>
    </xf>
    <xf numFmtId="44" fontId="79" fillId="11" borderId="152" xfId="3" applyNumberFormat="1" applyFont="1" applyFill="1" applyBorder="1" applyProtection="1">
      <protection hidden="1"/>
    </xf>
    <xf numFmtId="0" fontId="79" fillId="11" borderId="0" xfId="0" applyFont="1" applyFill="1"/>
    <xf numFmtId="0" fontId="0" fillId="0" borderId="173" xfId="0" applyBorder="1"/>
    <xf numFmtId="0" fontId="24" fillId="0" borderId="173" xfId="0" applyFont="1" applyBorder="1"/>
    <xf numFmtId="1" fontId="0" fillId="0" borderId="173" xfId="0" applyNumberFormat="1" applyBorder="1"/>
    <xf numFmtId="0" fontId="6" fillId="14" borderId="173" xfId="0" applyFont="1" applyFill="1" applyBorder="1" applyAlignment="1">
      <alignment horizontal="right"/>
    </xf>
    <xf numFmtId="0" fontId="23" fillId="0" borderId="192" xfId="0" applyFont="1" applyBorder="1"/>
    <xf numFmtId="166" fontId="23" fillId="0" borderId="192" xfId="0" applyNumberFormat="1" applyFont="1" applyBorder="1"/>
    <xf numFmtId="0" fontId="79" fillId="11" borderId="151" xfId="3" applyFont="1" applyFill="1" applyBorder="1" applyProtection="1"/>
    <xf numFmtId="0" fontId="79" fillId="11" borderId="152" xfId="3" applyFont="1" applyFill="1" applyBorder="1" applyProtection="1"/>
    <xf numFmtId="0" fontId="58" fillId="2" borderId="29" xfId="1" applyFont="1" applyBorder="1" applyProtection="1"/>
    <xf numFmtId="0" fontId="66" fillId="35" borderId="167" xfId="4" applyFont="1" applyFill="1" applyBorder="1" applyAlignment="1" applyProtection="1">
      <alignment horizontal="center" wrapText="1"/>
    </xf>
    <xf numFmtId="0" fontId="72" fillId="0" borderId="0" xfId="0" applyFont="1"/>
    <xf numFmtId="0" fontId="1" fillId="13" borderId="180" xfId="8" applyBorder="1" applyAlignment="1">
      <alignment horizontal="right"/>
    </xf>
    <xf numFmtId="0" fontId="23" fillId="0" borderId="180" xfId="7" applyFont="1" applyFill="1" applyBorder="1"/>
    <xf numFmtId="0" fontId="23" fillId="12" borderId="179" xfId="7" applyFont="1" applyBorder="1"/>
    <xf numFmtId="0" fontId="23" fillId="12" borderId="199" xfId="7" applyFont="1" applyBorder="1"/>
    <xf numFmtId="0" fontId="23" fillId="0" borderId="179" xfId="7" applyFont="1" applyFill="1" applyBorder="1"/>
    <xf numFmtId="0" fontId="23" fillId="0" borderId="199" xfId="7" applyFont="1" applyFill="1" applyBorder="1"/>
    <xf numFmtId="0" fontId="23" fillId="0" borderId="197" xfId="7" applyFont="1" applyFill="1" applyBorder="1"/>
    <xf numFmtId="0" fontId="23" fillId="0" borderId="198" xfId="7" applyFont="1" applyFill="1" applyBorder="1"/>
    <xf numFmtId="0" fontId="23" fillId="0" borderId="200" xfId="7" applyFont="1" applyFill="1" applyBorder="1"/>
    <xf numFmtId="0" fontId="23" fillId="6" borderId="97" xfId="5" applyFont="1" applyBorder="1"/>
    <xf numFmtId="0" fontId="23" fillId="0" borderId="145" xfId="0" applyFont="1" applyBorder="1"/>
    <xf numFmtId="0" fontId="23" fillId="6" borderId="145" xfId="5" applyFont="1" applyBorder="1"/>
    <xf numFmtId="0" fontId="23" fillId="0" borderId="191" xfId="0" applyFont="1" applyBorder="1"/>
    <xf numFmtId="166" fontId="23" fillId="0" borderId="170" xfId="0" applyNumberFormat="1" applyFont="1" applyBorder="1"/>
    <xf numFmtId="166" fontId="23" fillId="0" borderId="171" xfId="0" applyNumberFormat="1" applyFont="1" applyBorder="1"/>
    <xf numFmtId="0" fontId="2" fillId="2" borderId="96" xfId="1" applyBorder="1" applyProtection="1"/>
    <xf numFmtId="0" fontId="58" fillId="2" borderId="96" xfId="1" applyFont="1" applyBorder="1" applyProtection="1"/>
    <xf numFmtId="0" fontId="24" fillId="6" borderId="96" xfId="5" applyFont="1" applyBorder="1" applyProtection="1"/>
    <xf numFmtId="44" fontId="24" fillId="6" borderId="96" xfId="5" applyNumberFormat="1" applyFont="1" applyBorder="1" applyProtection="1"/>
    <xf numFmtId="44" fontId="24" fillId="0" borderId="96" xfId="0" applyNumberFormat="1" applyFont="1" applyBorder="1"/>
    <xf numFmtId="0" fontId="24" fillId="12" borderId="136" xfId="7" applyFont="1" applyBorder="1" applyProtection="1"/>
    <xf numFmtId="0" fontId="24" fillId="12" borderId="98" xfId="7" applyFont="1" applyBorder="1" applyProtection="1"/>
    <xf numFmtId="0" fontId="24" fillId="0" borderId="136" xfId="0" applyFont="1" applyBorder="1"/>
    <xf numFmtId="0" fontId="24" fillId="0" borderId="98" xfId="0" applyFont="1" applyBorder="1"/>
    <xf numFmtId="0" fontId="24" fillId="34" borderId="98" xfId="7" applyFont="1" applyFill="1" applyBorder="1" applyProtection="1"/>
    <xf numFmtId="0" fontId="2" fillId="2" borderId="97" xfId="1" applyBorder="1" applyProtection="1"/>
    <xf numFmtId="0" fontId="24" fillId="6" borderId="97" xfId="5" applyFont="1" applyBorder="1" applyProtection="1"/>
    <xf numFmtId="0" fontId="24" fillId="0" borderId="97" xfId="0" applyFont="1" applyBorder="1"/>
    <xf numFmtId="44" fontId="23" fillId="3" borderId="106" xfId="2" applyNumberFormat="1" applyFont="1" applyBorder="1"/>
    <xf numFmtId="44" fontId="23" fillId="3" borderId="95" xfId="2" applyNumberFormat="1" applyFont="1" applyBorder="1"/>
    <xf numFmtId="0" fontId="3" fillId="3" borderId="96" xfId="2" applyBorder="1" applyAlignment="1">
      <alignment horizontal="center" vertical="center"/>
    </xf>
    <xf numFmtId="1" fontId="3" fillId="3" borderId="96" xfId="2" applyNumberFormat="1" applyBorder="1" applyAlignment="1">
      <alignment horizontal="center" vertical="center"/>
    </xf>
    <xf numFmtId="0" fontId="0" fillId="15" borderId="173" xfId="0" applyFill="1" applyBorder="1"/>
    <xf numFmtId="0" fontId="0" fillId="15" borderId="191" xfId="0" applyFill="1" applyBorder="1"/>
    <xf numFmtId="0" fontId="24" fillId="4" borderId="2" xfId="3" applyFont="1"/>
    <xf numFmtId="0" fontId="24" fillId="4" borderId="2" xfId="3" applyFont="1" applyAlignment="1">
      <alignment horizontal="left"/>
    </xf>
    <xf numFmtId="44" fontId="24" fillId="4" borderId="2" xfId="3" applyNumberFormat="1" applyFont="1"/>
    <xf numFmtId="0" fontId="0" fillId="15" borderId="145" xfId="0" applyFill="1" applyBorder="1"/>
    <xf numFmtId="0" fontId="0" fillId="15" borderId="134" xfId="0" applyFill="1" applyBorder="1"/>
    <xf numFmtId="0" fontId="0" fillId="15" borderId="147" xfId="0" applyFill="1" applyBorder="1"/>
    <xf numFmtId="0" fontId="24" fillId="4" borderId="47" xfId="3" applyFont="1" applyBorder="1"/>
    <xf numFmtId="0" fontId="24" fillId="4" borderId="47" xfId="3" applyFont="1" applyBorder="1" applyAlignment="1">
      <alignment horizontal="left"/>
    </xf>
    <xf numFmtId="44" fontId="24" fillId="4" borderId="47" xfId="3" applyNumberFormat="1" applyFont="1" applyBorder="1"/>
    <xf numFmtId="0" fontId="18" fillId="35" borderId="96" xfId="26" applyFont="1" applyFill="1" applyBorder="1" applyAlignment="1" applyProtection="1">
      <alignment horizontal="center" wrapText="1"/>
    </xf>
    <xf numFmtId="2" fontId="23" fillId="4" borderId="96" xfId="3" applyNumberFormat="1" applyFont="1" applyBorder="1"/>
    <xf numFmtId="0" fontId="6" fillId="7" borderId="96" xfId="6" applyBorder="1" applyAlignment="1">
      <alignment horizontal="center" vertical="center"/>
    </xf>
    <xf numFmtId="0" fontId="24" fillId="3" borderId="96" xfId="2" applyFont="1" applyBorder="1" applyAlignment="1">
      <alignment horizontal="center" vertical="center"/>
    </xf>
    <xf numFmtId="44" fontId="24" fillId="4" borderId="160" xfId="3" applyNumberFormat="1" applyFont="1" applyBorder="1"/>
    <xf numFmtId="44" fontId="24" fillId="4" borderId="161" xfId="3" applyNumberFormat="1" applyFont="1" applyBorder="1"/>
    <xf numFmtId="2" fontId="24" fillId="4" borderId="165" xfId="3" applyNumberFormat="1" applyFont="1" applyBorder="1"/>
    <xf numFmtId="2" fontId="0" fillId="15" borderId="173" xfId="0" applyNumberFormat="1" applyFill="1" applyBorder="1"/>
    <xf numFmtId="2" fontId="24" fillId="4" borderId="164" xfId="3" applyNumberFormat="1" applyFont="1" applyBorder="1"/>
    <xf numFmtId="44" fontId="18" fillId="32" borderId="96" xfId="26" applyNumberFormat="1" applyFont="1" applyFill="1" applyBorder="1" applyProtection="1"/>
    <xf numFmtId="166" fontId="18" fillId="32" borderId="96" xfId="26" applyNumberFormat="1" applyFont="1" applyFill="1" applyBorder="1" applyAlignment="1" applyProtection="1">
      <alignment horizontal="center"/>
    </xf>
    <xf numFmtId="0" fontId="14" fillId="4" borderId="96" xfId="3" applyFont="1" applyBorder="1" applyAlignment="1">
      <alignment horizontal="center"/>
    </xf>
    <xf numFmtId="0" fontId="27" fillId="4" borderId="204" xfId="3" applyFont="1" applyBorder="1" applyAlignment="1">
      <alignment wrapText="1"/>
    </xf>
    <xf numFmtId="0" fontId="1" fillId="13" borderId="98" xfId="8" applyBorder="1" applyProtection="1"/>
    <xf numFmtId="0" fontId="1" fillId="13" borderId="96" xfId="8" applyBorder="1" applyProtection="1"/>
    <xf numFmtId="176" fontId="66" fillId="35" borderId="167" xfId="1" applyNumberFormat="1" applyFont="1" applyFill="1" applyBorder="1" applyProtection="1"/>
    <xf numFmtId="0" fontId="18" fillId="0" borderId="0" xfId="0" applyFont="1" applyAlignment="1">
      <alignment horizontal="right" vertical="center"/>
    </xf>
    <xf numFmtId="44" fontId="18" fillId="0" borderId="0" xfId="8" applyNumberFormat="1" applyFont="1" applyFill="1" applyBorder="1"/>
    <xf numFmtId="0" fontId="16" fillId="3" borderId="213" xfId="2" applyFont="1" applyBorder="1"/>
    <xf numFmtId="0" fontId="0" fillId="4" borderId="98" xfId="3" applyFont="1" applyBorder="1"/>
    <xf numFmtId="44" fontId="25" fillId="0" borderId="0" xfId="33" applyFont="1"/>
    <xf numFmtId="44" fontId="0" fillId="0" borderId="0" xfId="33" applyFont="1"/>
    <xf numFmtId="44" fontId="18" fillId="0" borderId="167" xfId="33" applyFont="1" applyFill="1" applyBorder="1"/>
    <xf numFmtId="0" fontId="0" fillId="0" borderId="203" xfId="0" applyBorder="1"/>
    <xf numFmtId="0" fontId="0" fillId="0" borderId="214" xfId="0" applyBorder="1"/>
    <xf numFmtId="0" fontId="0" fillId="0" borderId="179" xfId="0" applyBorder="1"/>
    <xf numFmtId="0" fontId="0" fillId="0" borderId="199" xfId="0" applyBorder="1"/>
    <xf numFmtId="0" fontId="0" fillId="0" borderId="134" xfId="0" applyBorder="1" applyAlignment="1">
      <alignment horizontal="center"/>
    </xf>
    <xf numFmtId="0" fontId="0" fillId="0" borderId="134" xfId="0" applyBorder="1" applyAlignment="1">
      <alignment horizontal="left"/>
    </xf>
    <xf numFmtId="0" fontId="19" fillId="0" borderId="134" xfId="0" applyFont="1" applyBorder="1"/>
    <xf numFmtId="0" fontId="83" fillId="0" borderId="203" xfId="0" applyFont="1" applyBorder="1" applyAlignment="1">
      <alignment horizontal="right"/>
    </xf>
    <xf numFmtId="0" fontId="0" fillId="0" borderId="198" xfId="0" applyBorder="1"/>
    <xf numFmtId="0" fontId="0" fillId="0" borderId="216" xfId="0" applyBorder="1"/>
    <xf numFmtId="0" fontId="22" fillId="0" borderId="0" xfId="0" applyFont="1"/>
    <xf numFmtId="0" fontId="84" fillId="0" borderId="0" xfId="0" applyFont="1" applyAlignment="1">
      <alignment horizontal="center"/>
    </xf>
    <xf numFmtId="0" fontId="22" fillId="0" borderId="13" xfId="0" applyFont="1" applyBorder="1"/>
    <xf numFmtId="0" fontId="84" fillId="0" borderId="13" xfId="0" applyFont="1" applyBorder="1" applyAlignment="1">
      <alignment horizontal="center"/>
    </xf>
    <xf numFmtId="0" fontId="22" fillId="0" borderId="128" xfId="0" applyFont="1" applyBorder="1"/>
    <xf numFmtId="0" fontId="84" fillId="0" borderId="128" xfId="0" applyFont="1" applyBorder="1" applyAlignment="1">
      <alignment horizontal="center"/>
    </xf>
    <xf numFmtId="0" fontId="86" fillId="0" borderId="0" xfId="0" applyFont="1"/>
    <xf numFmtId="0" fontId="87" fillId="0" borderId="0" xfId="0" applyFont="1" applyAlignment="1">
      <alignment horizontal="center"/>
    </xf>
    <xf numFmtId="0" fontId="7" fillId="0" borderId="134" xfId="0" applyFont="1" applyBorder="1"/>
    <xf numFmtId="0" fontId="56" fillId="0" borderId="0" xfId="0" applyFont="1"/>
    <xf numFmtId="0" fontId="89" fillId="0" borderId="0" xfId="0" applyFont="1" applyAlignment="1">
      <alignment horizontal="center"/>
    </xf>
    <xf numFmtId="0" fontId="5" fillId="0" borderId="215" xfId="0" applyFont="1" applyBorder="1"/>
    <xf numFmtId="0" fontId="14" fillId="0" borderId="96" xfId="0" quotePrefix="1" applyFont="1" applyBorder="1" applyAlignment="1" applyProtection="1">
      <alignment horizontal="right"/>
      <protection locked="0"/>
    </xf>
    <xf numFmtId="0" fontId="6" fillId="14" borderId="136" xfId="0" applyFont="1" applyFill="1" applyBorder="1" applyAlignment="1">
      <alignment horizontal="right"/>
    </xf>
    <xf numFmtId="2" fontId="4" fillId="14" borderId="136" xfId="0" applyNumberFormat="1" applyFont="1" applyFill="1" applyBorder="1"/>
    <xf numFmtId="0" fontId="6" fillId="14" borderId="134" xfId="0" applyFont="1" applyFill="1" applyBorder="1" applyAlignment="1">
      <alignment horizontal="right"/>
    </xf>
    <xf numFmtId="0" fontId="0" fillId="0" borderId="192" xfId="0" applyBorder="1" applyAlignment="1">
      <alignment horizontal="right"/>
    </xf>
    <xf numFmtId="0" fontId="0" fillId="0" borderId="100" xfId="0" applyBorder="1"/>
    <xf numFmtId="2" fontId="0" fillId="0" borderId="134" xfId="0" applyNumberFormat="1" applyBorder="1"/>
    <xf numFmtId="0" fontId="1" fillId="24" borderId="14" xfId="23" applyBorder="1" applyAlignment="1" applyProtection="1">
      <alignment horizontal="center" vertical="center"/>
      <protection locked="0"/>
    </xf>
    <xf numFmtId="0" fontId="0" fillId="0" borderId="7" xfId="0" applyBorder="1" applyAlignment="1">
      <alignment horizontal="center" vertical="center"/>
    </xf>
    <xf numFmtId="0" fontId="6" fillId="16" borderId="14" xfId="9" applyBorder="1" applyAlignment="1" applyProtection="1">
      <alignment vertical="center"/>
      <protection locked="0"/>
    </xf>
    <xf numFmtId="0" fontId="0" fillId="0" borderId="7" xfId="0" applyBorder="1" applyAlignment="1" applyProtection="1">
      <alignment vertical="center"/>
      <protection locked="0"/>
    </xf>
    <xf numFmtId="0" fontId="6" fillId="16" borderId="7" xfId="9" applyBorder="1" applyAlignment="1" applyProtection="1">
      <alignment vertical="center"/>
      <protection locked="0"/>
    </xf>
    <xf numFmtId="165" fontId="0" fillId="0" borderId="7" xfId="0" applyNumberFormat="1" applyBorder="1" applyAlignment="1" applyProtection="1">
      <alignment vertical="center"/>
      <protection locked="0"/>
    </xf>
    <xf numFmtId="0" fontId="6" fillId="46" borderId="7" xfId="29" applyFill="1" applyBorder="1" applyAlignment="1">
      <alignment horizontal="center"/>
    </xf>
    <xf numFmtId="0" fontId="24" fillId="0" borderId="7" xfId="0" applyFont="1" applyBorder="1" applyAlignment="1" applyProtection="1">
      <alignment vertical="center"/>
      <protection locked="0"/>
    </xf>
    <xf numFmtId="9" fontId="24" fillId="0" borderId="37" xfId="14" applyFont="1" applyBorder="1" applyAlignment="1">
      <alignment vertical="center"/>
    </xf>
    <xf numFmtId="0" fontId="24" fillId="0" borderId="16" xfId="0" applyFont="1" applyBorder="1" applyAlignment="1">
      <alignment horizontal="right" vertical="center"/>
    </xf>
    <xf numFmtId="165" fontId="24" fillId="0" borderId="37" xfId="0" applyNumberFormat="1" applyFont="1" applyBorder="1" applyAlignment="1">
      <alignment vertical="center"/>
    </xf>
    <xf numFmtId="164" fontId="24" fillId="0" borderId="7" xfId="0" applyNumberFormat="1" applyFont="1" applyBorder="1" applyAlignment="1">
      <alignment vertical="center"/>
    </xf>
    <xf numFmtId="8" fontId="24" fillId="0" borderId="7" xfId="0" applyNumberFormat="1" applyFont="1" applyBorder="1" applyAlignment="1">
      <alignment vertical="center"/>
    </xf>
    <xf numFmtId="0" fontId="0" fillId="4" borderId="14" xfId="3" applyFont="1" applyBorder="1" applyAlignment="1">
      <alignment horizontal="center"/>
    </xf>
    <xf numFmtId="0" fontId="0" fillId="4" borderId="19" xfId="3" applyFont="1" applyBorder="1" applyAlignment="1">
      <alignment horizontal="center"/>
    </xf>
    <xf numFmtId="0" fontId="24" fillId="3" borderId="7" xfId="2" applyFont="1" applyBorder="1" applyAlignment="1" applyProtection="1">
      <alignment horizontal="right"/>
    </xf>
    <xf numFmtId="0" fontId="14" fillId="3" borderId="37" xfId="2" applyFont="1" applyBorder="1" applyAlignment="1" applyProtection="1">
      <alignment horizontal="right"/>
      <protection locked="0"/>
    </xf>
    <xf numFmtId="0" fontId="0" fillId="11" borderId="9" xfId="0" applyFill="1" applyBorder="1"/>
    <xf numFmtId="0" fontId="0" fillId="11" borderId="10" xfId="0" applyFill="1" applyBorder="1"/>
    <xf numFmtId="0" fontId="0" fillId="11" borderId="11" xfId="0" applyFill="1" applyBorder="1"/>
    <xf numFmtId="0" fontId="21" fillId="3" borderId="105" xfId="2" applyNumberFormat="1" applyFont="1" applyBorder="1" applyAlignment="1" applyProtection="1">
      <alignment horizontal="right"/>
      <protection locked="0"/>
    </xf>
    <xf numFmtId="0" fontId="21" fillId="3" borderId="1" xfId="2" applyNumberFormat="1" applyFont="1" applyAlignment="1" applyProtection="1">
      <alignment horizontal="right"/>
      <protection locked="0"/>
    </xf>
    <xf numFmtId="0" fontId="47" fillId="4" borderId="96" xfId="0" applyFont="1" applyFill="1" applyBorder="1" applyAlignment="1">
      <alignment horizontal="center" vertical="center"/>
    </xf>
    <xf numFmtId="0" fontId="40" fillId="4" borderId="96" xfId="0" applyFont="1" applyFill="1" applyBorder="1" applyAlignment="1">
      <alignment horizontal="center" vertical="center"/>
    </xf>
    <xf numFmtId="0" fontId="54" fillId="5" borderId="96" xfId="4" applyFont="1" applyBorder="1" applyAlignment="1">
      <alignment horizontal="left" vertical="center"/>
    </xf>
    <xf numFmtId="44" fontId="27" fillId="4" borderId="162" xfId="3" applyNumberFormat="1" applyFont="1" applyBorder="1" applyAlignment="1" applyProtection="1">
      <protection locked="0"/>
    </xf>
    <xf numFmtId="44" fontId="27" fillId="4" borderId="151" xfId="3" applyNumberFormat="1" applyFont="1" applyBorder="1" applyAlignment="1" applyProtection="1">
      <protection locked="0"/>
    </xf>
    <xf numFmtId="44" fontId="27" fillId="4" borderId="152" xfId="3" applyNumberFormat="1" applyFont="1" applyBorder="1" applyAlignment="1" applyProtection="1">
      <protection locked="0"/>
    </xf>
    <xf numFmtId="0" fontId="0" fillId="4" borderId="96" xfId="3" applyFont="1" applyBorder="1" applyAlignment="1" applyProtection="1">
      <alignment wrapText="1"/>
    </xf>
    <xf numFmtId="0" fontId="27" fillId="4" borderId="162" xfId="3" applyFont="1" applyBorder="1" applyAlignment="1" applyProtection="1"/>
    <xf numFmtId="44" fontId="27" fillId="4" borderId="162" xfId="3" applyNumberFormat="1" applyFont="1" applyBorder="1" applyAlignment="1" applyProtection="1"/>
    <xf numFmtId="0" fontId="27" fillId="4" borderId="150" xfId="3" applyFont="1" applyBorder="1" applyAlignment="1" applyProtection="1"/>
    <xf numFmtId="44" fontId="27" fillId="4" borderId="150" xfId="3" applyNumberFormat="1" applyFont="1" applyBorder="1" applyAlignment="1" applyProtection="1"/>
    <xf numFmtId="0" fontId="27" fillId="4" borderId="99" xfId="3" applyFont="1" applyBorder="1" applyAlignment="1" applyProtection="1"/>
    <xf numFmtId="44" fontId="27" fillId="4" borderId="99" xfId="3" applyNumberFormat="1" applyFont="1" applyBorder="1" applyAlignment="1" applyProtection="1"/>
    <xf numFmtId="0" fontId="21" fillId="4" borderId="151" xfId="3" quotePrefix="1" applyFont="1" applyBorder="1" applyProtection="1">
      <protection locked="0"/>
    </xf>
    <xf numFmtId="0" fontId="19" fillId="0" borderId="96" xfId="3" applyFont="1" applyFill="1" applyBorder="1" applyAlignment="1" applyProtection="1">
      <alignment horizontal="center"/>
    </xf>
    <xf numFmtId="0" fontId="14" fillId="0" borderId="96" xfId="3" applyFont="1" applyFill="1" applyBorder="1" applyAlignment="1" applyProtection="1">
      <protection locked="0"/>
    </xf>
    <xf numFmtId="0" fontId="14" fillId="0" borderId="96" xfId="3" quotePrefix="1" applyFont="1" applyFill="1" applyBorder="1" applyAlignment="1" applyProtection="1">
      <protection locked="0"/>
    </xf>
    <xf numFmtId="0" fontId="6" fillId="5" borderId="96" xfId="4" applyBorder="1" applyAlignment="1" applyProtection="1">
      <alignment horizontal="center" vertical="center"/>
    </xf>
    <xf numFmtId="0" fontId="69" fillId="0" borderId="136" xfId="27" applyFont="1" applyBorder="1" applyProtection="1"/>
    <xf numFmtId="166" fontId="69" fillId="0" borderId="136" xfId="27" applyNumberFormat="1" applyFont="1" applyBorder="1" applyProtection="1"/>
    <xf numFmtId="0" fontId="69" fillId="0" borderId="0" xfId="27" applyFont="1" applyBorder="1" applyProtection="1"/>
    <xf numFmtId="166" fontId="69" fillId="0" borderId="0" xfId="27" applyNumberFormat="1" applyFont="1" applyBorder="1" applyProtection="1"/>
    <xf numFmtId="0" fontId="69" fillId="0" borderId="134" xfId="27" applyFont="1" applyBorder="1" applyProtection="1"/>
    <xf numFmtId="44" fontId="69" fillId="0" borderId="134" xfId="27" applyNumberFormat="1" applyFont="1" applyBorder="1" applyProtection="1"/>
    <xf numFmtId="0" fontId="6" fillId="5" borderId="120" xfId="4" applyBorder="1" applyAlignment="1" applyProtection="1">
      <alignment horizontal="center" vertical="center"/>
    </xf>
    <xf numFmtId="0" fontId="21" fillId="4" borderId="122" xfId="3" applyFont="1" applyBorder="1" applyAlignment="1" applyProtection="1">
      <alignment horizontal="center"/>
    </xf>
    <xf numFmtId="44" fontId="69" fillId="0" borderId="0" xfId="27" applyNumberFormat="1" applyFont="1" applyBorder="1" applyProtection="1"/>
    <xf numFmtId="0" fontId="6" fillId="5" borderId="148" xfId="4" applyBorder="1" applyAlignment="1" applyProtection="1">
      <alignment horizontal="center" vertical="center"/>
    </xf>
    <xf numFmtId="44" fontId="79" fillId="11" borderId="142" xfId="3" applyNumberFormat="1" applyFont="1" applyFill="1" applyBorder="1" applyProtection="1">
      <protection hidden="1"/>
    </xf>
    <xf numFmtId="44" fontId="79" fillId="11" borderId="223" xfId="3" applyNumberFormat="1" applyFont="1" applyFill="1" applyBorder="1" applyProtection="1">
      <protection hidden="1"/>
    </xf>
    <xf numFmtId="0" fontId="79" fillId="11" borderId="131" xfId="3" applyFont="1" applyFill="1" applyBorder="1" applyAlignment="1" applyProtection="1">
      <alignment vertical="top"/>
      <protection hidden="1"/>
    </xf>
    <xf numFmtId="0" fontId="79" fillId="11" borderId="223" xfId="3" applyFont="1" applyFill="1" applyBorder="1" applyProtection="1">
      <protection hidden="1"/>
    </xf>
    <xf numFmtId="0" fontId="0" fillId="0" borderId="96" xfId="0" applyBorder="1"/>
    <xf numFmtId="0" fontId="0" fillId="0" borderId="96" xfId="0" quotePrefix="1" applyBorder="1"/>
    <xf numFmtId="0" fontId="79" fillId="11" borderId="124" xfId="3" applyFont="1" applyFill="1" applyBorder="1" applyAlignment="1" applyProtection="1">
      <alignment vertical="top"/>
      <protection hidden="1"/>
    </xf>
    <xf numFmtId="0" fontId="79" fillId="11" borderId="222" xfId="3" applyFont="1" applyFill="1" applyBorder="1" applyProtection="1">
      <protection hidden="1"/>
    </xf>
    <xf numFmtId="0" fontId="79" fillId="11" borderId="138" xfId="3" applyFont="1" applyFill="1" applyBorder="1" applyProtection="1">
      <protection hidden="1"/>
    </xf>
    <xf numFmtId="0" fontId="79" fillId="11" borderId="162" xfId="3" applyFont="1" applyFill="1" applyBorder="1" applyProtection="1"/>
    <xf numFmtId="14" fontId="79" fillId="11" borderId="138" xfId="3" applyNumberFormat="1" applyFont="1" applyFill="1" applyBorder="1" applyProtection="1">
      <protection hidden="1"/>
    </xf>
    <xf numFmtId="0" fontId="80" fillId="11" borderId="99" xfId="30" applyFont="1" applyFill="1" applyBorder="1" applyAlignment="1" applyProtection="1">
      <alignment horizontal="center"/>
      <protection hidden="1"/>
    </xf>
    <xf numFmtId="44" fontId="79" fillId="11" borderId="125" xfId="3" applyNumberFormat="1" applyFont="1" applyFill="1" applyBorder="1" applyProtection="1">
      <protection hidden="1"/>
    </xf>
    <xf numFmtId="44" fontId="79" fillId="11" borderId="222" xfId="3" applyNumberFormat="1" applyFont="1" applyFill="1" applyBorder="1" applyProtection="1">
      <protection hidden="1"/>
    </xf>
    <xf numFmtId="44" fontId="0" fillId="0" borderId="96" xfId="33" applyFont="1" applyBorder="1"/>
    <xf numFmtId="1" fontId="4" fillId="11" borderId="0" xfId="3" applyNumberFormat="1" applyFont="1" applyFill="1" applyBorder="1" applyProtection="1"/>
    <xf numFmtId="0" fontId="4" fillId="11" borderId="0" xfId="3" applyNumberFormat="1" applyFont="1" applyFill="1" applyBorder="1" applyProtection="1"/>
    <xf numFmtId="0" fontId="1" fillId="18" borderId="0" xfId="11" applyBorder="1" applyAlignment="1" applyProtection="1"/>
    <xf numFmtId="0" fontId="0" fillId="0" borderId="146" xfId="0" applyBorder="1"/>
    <xf numFmtId="14" fontId="0" fillId="0" borderId="96" xfId="0" applyNumberFormat="1" applyBorder="1"/>
    <xf numFmtId="0" fontId="19" fillId="0" borderId="96" xfId="7" applyFont="1" applyFill="1" applyBorder="1" applyAlignment="1" applyProtection="1">
      <alignment vertical="top"/>
    </xf>
    <xf numFmtId="165" fontId="19" fillId="0" borderId="96" xfId="0" applyNumberFormat="1" applyFont="1" applyBorder="1"/>
    <xf numFmtId="0" fontId="19" fillId="0" borderId="96" xfId="0" quotePrefix="1" applyFont="1" applyBorder="1"/>
    <xf numFmtId="14" fontId="19" fillId="0" borderId="96" xfId="0" quotePrefix="1" applyNumberFormat="1" applyFont="1" applyBorder="1"/>
    <xf numFmtId="2" fontId="19" fillId="0" borderId="96" xfId="0" applyNumberFormat="1" applyFont="1" applyBorder="1"/>
    <xf numFmtId="0" fontId="19" fillId="0" borderId="96" xfId="0" applyFont="1" applyBorder="1"/>
    <xf numFmtId="176" fontId="19" fillId="0" borderId="96" xfId="0" applyNumberFormat="1" applyFont="1" applyBorder="1"/>
    <xf numFmtId="176" fontId="19" fillId="0" borderId="96" xfId="0" applyNumberFormat="1" applyFont="1" applyBorder="1" applyAlignment="1">
      <alignment horizontal="right"/>
    </xf>
    <xf numFmtId="14" fontId="0" fillId="0" borderId="97" xfId="0" applyNumberFormat="1" applyBorder="1"/>
    <xf numFmtId="0" fontId="1" fillId="18" borderId="144" xfId="11" applyBorder="1" applyAlignment="1" applyProtection="1"/>
    <xf numFmtId="0" fontId="1" fillId="18" borderId="128" xfId="11" applyBorder="1" applyAlignment="1" applyProtection="1"/>
    <xf numFmtId="0" fontId="1" fillId="18" borderId="146" xfId="11" applyBorder="1" applyAlignment="1" applyProtection="1"/>
    <xf numFmtId="0" fontId="4" fillId="7" borderId="116" xfId="6" applyFont="1" applyBorder="1" applyAlignment="1" applyProtection="1"/>
    <xf numFmtId="0" fontId="4" fillId="7" borderId="0" xfId="6" applyFont="1" applyBorder="1" applyAlignment="1" applyProtection="1"/>
    <xf numFmtId="0" fontId="1" fillId="18" borderId="97" xfId="11" applyBorder="1" applyAlignment="1" applyProtection="1"/>
    <xf numFmtId="0" fontId="1" fillId="18" borderId="136" xfId="11" applyBorder="1" applyAlignment="1" applyProtection="1"/>
    <xf numFmtId="0" fontId="1" fillId="18" borderId="98" xfId="11" applyBorder="1" applyAlignment="1" applyProtection="1"/>
    <xf numFmtId="0" fontId="1" fillId="18" borderId="9" xfId="11" applyBorder="1" applyAlignment="1">
      <alignment horizontal="left"/>
    </xf>
    <xf numFmtId="0" fontId="1" fillId="18" borderId="10" xfId="11" applyBorder="1" applyAlignment="1">
      <alignment horizontal="left"/>
    </xf>
    <xf numFmtId="0" fontId="1" fillId="18" borderId="11" xfId="11" applyBorder="1" applyAlignment="1">
      <alignment horizontal="left"/>
    </xf>
    <xf numFmtId="0" fontId="0" fillId="0" borderId="12" xfId="0" applyBorder="1" applyAlignment="1">
      <alignment horizontal="left"/>
    </xf>
    <xf numFmtId="0" fontId="0" fillId="0" borderId="13" xfId="0" applyBorder="1"/>
    <xf numFmtId="0" fontId="0" fillId="0" borderId="23" xfId="0" applyBorder="1" applyAlignment="1">
      <alignment horizontal="left"/>
    </xf>
    <xf numFmtId="0" fontId="0" fillId="0" borderId="16" xfId="0" applyBorder="1"/>
    <xf numFmtId="0" fontId="94" fillId="47" borderId="12" xfId="34" applyBorder="1" applyAlignment="1">
      <alignment horizontal="left"/>
    </xf>
    <xf numFmtId="0" fontId="94" fillId="47" borderId="0" xfId="34" applyAlignment="1">
      <alignment horizontal="left"/>
    </xf>
    <xf numFmtId="0" fontId="1" fillId="18" borderId="9" xfId="11" applyBorder="1" applyAlignment="1"/>
    <xf numFmtId="0" fontId="1" fillId="18" borderId="10" xfId="11" applyBorder="1"/>
    <xf numFmtId="0" fontId="1" fillId="18" borderId="11" xfId="11" applyBorder="1"/>
    <xf numFmtId="0" fontId="1" fillId="18" borderId="9" xfId="11" applyBorder="1"/>
    <xf numFmtId="0" fontId="1" fillId="39" borderId="12" xfId="31" applyBorder="1" applyAlignment="1">
      <alignment horizontal="left"/>
    </xf>
    <xf numFmtId="0" fontId="1" fillId="39" borderId="0" xfId="31" applyAlignment="1">
      <alignment horizontal="left"/>
    </xf>
    <xf numFmtId="0" fontId="1" fillId="39" borderId="0" xfId="31" applyBorder="1" applyAlignment="1">
      <alignment horizontal="left"/>
    </xf>
    <xf numFmtId="0" fontId="1" fillId="39" borderId="0" xfId="31" applyBorder="1"/>
    <xf numFmtId="0" fontId="1" fillId="39" borderId="0" xfId="31"/>
    <xf numFmtId="0" fontId="1" fillId="39" borderId="12" xfId="31" applyBorder="1"/>
    <xf numFmtId="0" fontId="94" fillId="47" borderId="12" xfId="34" applyBorder="1"/>
    <xf numFmtId="0" fontId="94" fillId="47" borderId="0" xfId="34"/>
    <xf numFmtId="0" fontId="1" fillId="39" borderId="23" xfId="31" applyBorder="1" applyAlignment="1">
      <alignment horizontal="left"/>
    </xf>
    <xf numFmtId="0" fontId="0" fillId="0" borderId="23" xfId="0" applyBorder="1"/>
    <xf numFmtId="0" fontId="94" fillId="47" borderId="23" xfId="34" applyBorder="1"/>
    <xf numFmtId="0" fontId="1" fillId="39" borderId="23" xfId="31" applyBorder="1"/>
    <xf numFmtId="21" fontId="0" fillId="0" borderId="0" xfId="0" applyNumberFormat="1"/>
    <xf numFmtId="46" fontId="0" fillId="0" borderId="0" xfId="0" applyNumberFormat="1"/>
    <xf numFmtId="0" fontId="0" fillId="0" borderId="33" xfId="0" applyBorder="1" applyAlignment="1">
      <alignment horizontal="left"/>
    </xf>
    <xf numFmtId="0" fontId="1" fillId="39" borderId="33" xfId="31" applyBorder="1" applyAlignment="1">
      <alignment horizontal="left"/>
    </xf>
    <xf numFmtId="0" fontId="1" fillId="39" borderId="33" xfId="31" applyBorder="1"/>
    <xf numFmtId="0" fontId="1" fillId="39" borderId="17" xfId="31" applyBorder="1" applyAlignment="1">
      <alignment horizontal="left"/>
    </xf>
    <xf numFmtId="0" fontId="14" fillId="4" borderId="151" xfId="3" applyFont="1" applyBorder="1" applyAlignment="1" applyProtection="1">
      <alignment vertical="top"/>
      <protection locked="0"/>
    </xf>
    <xf numFmtId="0" fontId="24" fillId="4" borderId="152" xfId="3" applyFont="1" applyBorder="1"/>
    <xf numFmtId="165" fontId="14" fillId="4" borderId="151" xfId="3" applyNumberFormat="1" applyFont="1" applyBorder="1" applyProtection="1">
      <protection locked="0"/>
    </xf>
    <xf numFmtId="165" fontId="14" fillId="4" borderId="152" xfId="3" applyNumberFormat="1" applyFont="1" applyBorder="1"/>
    <xf numFmtId="14" fontId="24" fillId="4" borderId="151" xfId="3" quotePrefix="1" applyNumberFormat="1" applyFont="1" applyBorder="1"/>
    <xf numFmtId="14" fontId="24" fillId="4" borderId="152" xfId="3" quotePrefix="1" applyNumberFormat="1" applyFont="1" applyBorder="1"/>
    <xf numFmtId="165" fontId="24" fillId="4" borderId="151" xfId="3" applyNumberFormat="1" applyFont="1" applyBorder="1"/>
    <xf numFmtId="165" fontId="24" fillId="4" borderId="152" xfId="3" applyNumberFormat="1" applyFont="1" applyBorder="1"/>
    <xf numFmtId="2" fontId="24" fillId="4" borderId="151" xfId="3" applyNumberFormat="1" applyFont="1" applyBorder="1"/>
    <xf numFmtId="176" fontId="24" fillId="4" borderId="152" xfId="3" applyNumberFormat="1" applyFont="1" applyBorder="1"/>
    <xf numFmtId="176" fontId="24" fillId="4" borderId="152" xfId="3" applyNumberFormat="1" applyFont="1" applyBorder="1" applyAlignment="1">
      <alignment horizontal="right"/>
    </xf>
    <xf numFmtId="0" fontId="23" fillId="0" borderId="129" xfId="0" applyFont="1" applyBorder="1"/>
    <xf numFmtId="0" fontId="4" fillId="7" borderId="1" xfId="6" applyFont="1" applyBorder="1" applyAlignment="1" applyProtection="1">
      <alignment horizontal="center" vertical="center"/>
    </xf>
    <xf numFmtId="0" fontId="44" fillId="3" borderId="1" xfId="2" applyFont="1" applyAlignment="1" applyProtection="1">
      <alignment horizontal="center" vertical="center"/>
    </xf>
    <xf numFmtId="0" fontId="95" fillId="11" borderId="97" xfId="0" applyFont="1" applyFill="1" applyBorder="1"/>
    <xf numFmtId="0" fontId="96" fillId="11" borderId="96" xfId="5" applyFont="1" applyFill="1" applyBorder="1"/>
    <xf numFmtId="0" fontId="96" fillId="11" borderId="97" xfId="5" applyFont="1" applyFill="1" applyBorder="1"/>
    <xf numFmtId="0" fontId="96" fillId="11" borderId="189" xfId="7" applyFont="1" applyFill="1" applyBorder="1"/>
    <xf numFmtId="0" fontId="96" fillId="11" borderId="96" xfId="0" applyFont="1" applyFill="1" applyBorder="1"/>
    <xf numFmtId="0" fontId="96" fillId="11" borderId="97" xfId="0" applyFont="1" applyFill="1" applyBorder="1"/>
    <xf numFmtId="0" fontId="96" fillId="11" borderId="190" xfId="7" applyFont="1" applyFill="1" applyBorder="1"/>
    <xf numFmtId="0" fontId="95" fillId="11" borderId="193" xfId="0" applyFont="1" applyFill="1" applyBorder="1"/>
    <xf numFmtId="0" fontId="95" fillId="11" borderId="99" xfId="7" applyFont="1" applyFill="1" applyBorder="1" applyAlignment="1">
      <alignment vertical="top"/>
    </xf>
    <xf numFmtId="165" fontId="95" fillId="11" borderId="99" xfId="0" applyNumberFormat="1" applyFont="1" applyFill="1" applyBorder="1"/>
    <xf numFmtId="0" fontId="95" fillId="11" borderId="145" xfId="0" applyFont="1" applyFill="1" applyBorder="1"/>
    <xf numFmtId="0" fontId="96" fillId="11" borderId="179" xfId="5" applyFont="1" applyFill="1" applyBorder="1"/>
    <xf numFmtId="0" fontId="96" fillId="11" borderId="134" xfId="5" applyFont="1" applyFill="1" applyBorder="1"/>
    <xf numFmtId="0" fontId="96" fillId="11" borderId="180" xfId="7" applyFont="1" applyFill="1" applyBorder="1"/>
    <xf numFmtId="0" fontId="95" fillId="11" borderId="194" xfId="0" applyFont="1" applyFill="1" applyBorder="1"/>
    <xf numFmtId="0" fontId="95" fillId="11" borderId="195" xfId="7" applyFont="1" applyFill="1" applyBorder="1" applyAlignment="1">
      <alignment vertical="top"/>
    </xf>
    <xf numFmtId="165" fontId="95" fillId="11" borderId="195" xfId="0" applyNumberFormat="1" applyFont="1" applyFill="1" applyBorder="1"/>
    <xf numFmtId="0" fontId="95" fillId="11" borderId="196" xfId="0" applyFont="1" applyFill="1" applyBorder="1"/>
    <xf numFmtId="0" fontId="96" fillId="11" borderId="197" xfId="0" applyFont="1" applyFill="1" applyBorder="1"/>
    <xf numFmtId="0" fontId="96" fillId="11" borderId="198" xfId="0" applyFont="1" applyFill="1" applyBorder="1"/>
    <xf numFmtId="0" fontId="96" fillId="11" borderId="171" xfId="7" applyFont="1" applyFill="1" applyBorder="1"/>
    <xf numFmtId="2" fontId="14" fillId="3" borderId="96" xfId="2" applyNumberFormat="1" applyFont="1" applyBorder="1" applyProtection="1">
      <protection locked="0"/>
    </xf>
    <xf numFmtId="0" fontId="1" fillId="20" borderId="0" xfId="13" applyBorder="1"/>
    <xf numFmtId="0" fontId="1" fillId="13" borderId="0" xfId="8" applyBorder="1"/>
    <xf numFmtId="0" fontId="1" fillId="13" borderId="226" xfId="8" applyBorder="1"/>
    <xf numFmtId="0" fontId="1" fillId="20" borderId="227" xfId="13" applyBorder="1"/>
    <xf numFmtId="0" fontId="1" fillId="13" borderId="227" xfId="8" applyBorder="1"/>
    <xf numFmtId="0" fontId="23" fillId="12" borderId="136" xfId="7" applyFont="1" applyBorder="1"/>
    <xf numFmtId="0" fontId="23" fillId="0" borderId="136" xfId="0" applyFont="1" applyBorder="1"/>
    <xf numFmtId="0" fontId="23" fillId="0" borderId="136" xfId="7" applyFont="1" applyFill="1" applyBorder="1"/>
    <xf numFmtId="0" fontId="23" fillId="34" borderId="136" xfId="7" applyFont="1" applyFill="1" applyBorder="1"/>
    <xf numFmtId="0" fontId="1" fillId="20" borderId="228" xfId="13" applyBorder="1"/>
    <xf numFmtId="0" fontId="1" fillId="20" borderId="229" xfId="13" applyBorder="1"/>
    <xf numFmtId="0" fontId="23" fillId="12" borderId="202" xfId="7" applyFont="1" applyBorder="1"/>
    <xf numFmtId="0" fontId="23" fillId="12" borderId="230" xfId="7" applyFont="1" applyBorder="1"/>
    <xf numFmtId="0" fontId="23" fillId="0" borderId="202" xfId="7" applyFont="1" applyFill="1" applyBorder="1"/>
    <xf numFmtId="0" fontId="23" fillId="0" borderId="230" xfId="7" applyFont="1" applyFill="1" applyBorder="1"/>
    <xf numFmtId="0" fontId="23" fillId="0" borderId="231" xfId="7" applyFont="1" applyFill="1" applyBorder="1"/>
    <xf numFmtId="0" fontId="23" fillId="0" borderId="232" xfId="7" applyFont="1" applyFill="1" applyBorder="1"/>
    <xf numFmtId="0" fontId="23" fillId="0" borderId="233" xfId="7" applyFont="1" applyFill="1" applyBorder="1"/>
    <xf numFmtId="0" fontId="1" fillId="13" borderId="228" xfId="8" applyBorder="1"/>
    <xf numFmtId="0" fontId="1" fillId="13" borderId="229" xfId="8" applyBorder="1"/>
    <xf numFmtId="0" fontId="23" fillId="0" borderId="202" xfId="0" applyFont="1" applyBorder="1"/>
    <xf numFmtId="0" fontId="23" fillId="0" borderId="230" xfId="0" applyFont="1" applyBorder="1"/>
    <xf numFmtId="0" fontId="23" fillId="34" borderId="231" xfId="0" applyFont="1" applyFill="1" applyBorder="1"/>
    <xf numFmtId="0" fontId="23" fillId="0" borderId="232" xfId="0" applyFont="1" applyBorder="1"/>
    <xf numFmtId="0" fontId="23" fillId="0" borderId="233" xfId="0" applyFont="1" applyBorder="1"/>
    <xf numFmtId="0" fontId="23" fillId="0" borderId="231" xfId="0" applyFont="1" applyBorder="1"/>
    <xf numFmtId="0" fontId="23" fillId="34" borderId="232" xfId="0" applyFont="1" applyFill="1" applyBorder="1"/>
    <xf numFmtId="0" fontId="1" fillId="13" borderId="203" xfId="8" applyBorder="1"/>
    <xf numFmtId="0" fontId="1" fillId="13" borderId="201" xfId="8" applyBorder="1"/>
    <xf numFmtId="0" fontId="23" fillId="34" borderId="230" xfId="7" applyFont="1" applyFill="1" applyBorder="1"/>
    <xf numFmtId="0" fontId="1" fillId="20" borderId="203" xfId="13" applyBorder="1"/>
    <xf numFmtId="0" fontId="1" fillId="20" borderId="201" xfId="13" applyBorder="1"/>
    <xf numFmtId="0" fontId="23" fillId="31" borderId="202" xfId="5" applyFont="1" applyFill="1" applyBorder="1"/>
    <xf numFmtId="0" fontId="14" fillId="3" borderId="96" xfId="2" applyFont="1" applyBorder="1" applyProtection="1">
      <protection locked="0"/>
    </xf>
    <xf numFmtId="167" fontId="23" fillId="3" borderId="96" xfId="2" applyNumberFormat="1" applyFont="1" applyBorder="1" applyProtection="1"/>
    <xf numFmtId="0" fontId="23" fillId="3" borderId="96" xfId="2" applyFont="1" applyBorder="1" applyProtection="1"/>
    <xf numFmtId="2" fontId="24" fillId="3" borderId="96" xfId="2" applyNumberFormat="1" applyFont="1" applyBorder="1" applyProtection="1"/>
    <xf numFmtId="1" fontId="23" fillId="3" borderId="96" xfId="2" applyNumberFormat="1" applyFont="1" applyBorder="1"/>
    <xf numFmtId="44" fontId="23" fillId="3" borderId="96" xfId="33" applyFont="1" applyFill="1" applyBorder="1"/>
    <xf numFmtId="0" fontId="0" fillId="0" borderId="99" xfId="0" applyBorder="1" applyAlignment="1">
      <alignment horizontal="right"/>
    </xf>
    <xf numFmtId="2" fontId="4" fillId="14" borderId="134" xfId="0" applyNumberFormat="1" applyFont="1" applyFill="1" applyBorder="1"/>
    <xf numFmtId="0" fontId="0" fillId="0" borderId="234" xfId="0" applyBorder="1"/>
    <xf numFmtId="0" fontId="1" fillId="13" borderId="236" xfId="8" applyBorder="1"/>
    <xf numFmtId="0" fontId="1" fillId="13" borderId="237" xfId="8" applyBorder="1"/>
    <xf numFmtId="0" fontId="4" fillId="5" borderId="167" xfId="4" applyFont="1" applyBorder="1" applyAlignment="1"/>
    <xf numFmtId="0" fontId="6" fillId="14" borderId="0" xfId="8" applyFont="1" applyFill="1"/>
    <xf numFmtId="0" fontId="4" fillId="38" borderId="99" xfId="30" applyFont="1" applyBorder="1" applyAlignment="1" applyProtection="1">
      <alignment horizontal="center"/>
    </xf>
    <xf numFmtId="0" fontId="0" fillId="0" borderId="224" xfId="0" applyBorder="1"/>
    <xf numFmtId="0" fontId="1" fillId="13" borderId="226" xfId="8" applyBorder="1" applyAlignment="1"/>
    <xf numFmtId="0" fontId="0" fillId="11" borderId="122" xfId="0" applyFill="1" applyBorder="1"/>
    <xf numFmtId="0" fontId="0" fillId="11" borderId="120" xfId="0" applyFill="1" applyBorder="1"/>
    <xf numFmtId="0" fontId="0" fillId="11" borderId="121" xfId="0" applyFill="1" applyBorder="1"/>
    <xf numFmtId="0" fontId="76" fillId="5" borderId="96" xfId="4" applyFont="1" applyBorder="1" applyAlignment="1">
      <alignment horizontal="center" vertical="center"/>
    </xf>
    <xf numFmtId="0" fontId="4" fillId="38" borderId="96" xfId="30" applyFont="1" applyBorder="1" applyAlignment="1">
      <alignment horizontal="center"/>
    </xf>
    <xf numFmtId="0" fontId="6" fillId="30" borderId="96" xfId="26" applyBorder="1" applyAlignment="1" applyProtection="1">
      <alignment horizontal="center"/>
    </xf>
    <xf numFmtId="176" fontId="24" fillId="3" borderId="96" xfId="2" applyNumberFormat="1" applyFont="1" applyBorder="1"/>
    <xf numFmtId="44" fontId="24" fillId="3" borderId="96" xfId="2" applyNumberFormat="1" applyFont="1" applyBorder="1"/>
    <xf numFmtId="0" fontId="4" fillId="38" borderId="97" xfId="30" applyFont="1" applyBorder="1" applyAlignment="1" applyProtection="1">
      <alignment horizontal="center"/>
    </xf>
    <xf numFmtId="44" fontId="24" fillId="3" borderId="97" xfId="2" applyNumberFormat="1" applyFont="1" applyBorder="1"/>
    <xf numFmtId="0" fontId="66" fillId="35" borderId="129" xfId="4" applyFont="1" applyFill="1" applyBorder="1" applyAlignment="1" applyProtection="1">
      <alignment horizontal="center" wrapText="1"/>
    </xf>
    <xf numFmtId="0" fontId="66" fillId="35" borderId="144" xfId="4" applyFont="1" applyFill="1" applyBorder="1" applyAlignment="1" applyProtection="1">
      <alignment horizontal="center" wrapText="1"/>
    </xf>
    <xf numFmtId="0" fontId="0" fillId="11" borderId="245" xfId="0" applyFill="1" applyBorder="1"/>
    <xf numFmtId="0" fontId="0" fillId="11" borderId="224" xfId="0" applyFill="1" applyBorder="1"/>
    <xf numFmtId="0" fontId="0" fillId="11" borderId="246" xfId="0" applyFill="1" applyBorder="1"/>
    <xf numFmtId="167" fontId="24" fillId="3" borderId="96" xfId="2" applyNumberFormat="1" applyFont="1" applyBorder="1" applyProtection="1"/>
    <xf numFmtId="175" fontId="21" fillId="3" borderId="96" xfId="2" applyNumberFormat="1" applyFont="1" applyBorder="1" applyProtection="1">
      <protection locked="0"/>
    </xf>
    <xf numFmtId="167" fontId="24" fillId="3" borderId="96" xfId="2" applyNumberFormat="1" applyFont="1" applyBorder="1"/>
    <xf numFmtId="2" fontId="24" fillId="3" borderId="96" xfId="2" applyNumberFormat="1" applyFont="1" applyBorder="1"/>
    <xf numFmtId="0" fontId="0" fillId="11" borderId="97" xfId="0" applyFill="1" applyBorder="1"/>
    <xf numFmtId="0" fontId="0" fillId="11" borderId="136" xfId="0" applyFill="1" applyBorder="1"/>
    <xf numFmtId="0" fontId="0" fillId="11" borderId="98" xfId="0" applyFill="1" applyBorder="1"/>
    <xf numFmtId="176" fontId="24" fillId="3" borderId="97" xfId="2" applyNumberFormat="1" applyFont="1" applyBorder="1"/>
    <xf numFmtId="0" fontId="0" fillId="11" borderId="144" xfId="0" applyFill="1" applyBorder="1"/>
    <xf numFmtId="0" fontId="0" fillId="11" borderId="128" xfId="0" applyFill="1" applyBorder="1"/>
    <xf numFmtId="0" fontId="0" fillId="11" borderId="146" xfId="0" applyFill="1" applyBorder="1"/>
    <xf numFmtId="0" fontId="0" fillId="0" borderId="128" xfId="0" applyBorder="1"/>
    <xf numFmtId="175" fontId="72" fillId="3" borderId="96" xfId="2" applyNumberFormat="1" applyFont="1" applyBorder="1" applyAlignment="1" applyProtection="1">
      <alignment horizontal="right"/>
    </xf>
    <xf numFmtId="0" fontId="72" fillId="0" borderId="96" xfId="0" applyFont="1" applyBorder="1"/>
    <xf numFmtId="0" fontId="72" fillId="0" borderId="96" xfId="0" applyFont="1" applyBorder="1" applyAlignment="1">
      <alignment horizontal="left"/>
    </xf>
    <xf numFmtId="0" fontId="4" fillId="38" borderId="99" xfId="30" applyFont="1" applyBorder="1" applyAlignment="1">
      <alignment horizontal="center"/>
    </xf>
    <xf numFmtId="167" fontId="24" fillId="3" borderId="99" xfId="2" applyNumberFormat="1" applyFont="1" applyBorder="1" applyProtection="1"/>
    <xf numFmtId="2" fontId="24" fillId="3" borderId="99" xfId="2" applyNumberFormat="1" applyFont="1" applyBorder="1" applyProtection="1"/>
    <xf numFmtId="175" fontId="21" fillId="3" borderId="99" xfId="2" applyNumberFormat="1" applyFont="1" applyBorder="1" applyProtection="1">
      <protection locked="0"/>
    </xf>
    <xf numFmtId="176" fontId="24" fillId="3" borderId="99" xfId="2" applyNumberFormat="1" applyFont="1" applyBorder="1"/>
    <xf numFmtId="44" fontId="24" fillId="3" borderId="99" xfId="2" applyNumberFormat="1" applyFont="1" applyBorder="1"/>
    <xf numFmtId="176" fontId="18" fillId="32" borderId="96" xfId="26" applyNumberFormat="1" applyFont="1" applyFill="1" applyBorder="1" applyProtection="1"/>
    <xf numFmtId="176" fontId="18" fillId="32" borderId="96" xfId="26" applyNumberFormat="1" applyFont="1" applyFill="1" applyBorder="1" applyAlignment="1" applyProtection="1">
      <alignment horizontal="center"/>
    </xf>
    <xf numFmtId="44" fontId="18" fillId="35" borderId="96" xfId="3" applyNumberFormat="1" applyFont="1" applyFill="1" applyBorder="1"/>
    <xf numFmtId="175" fontId="78" fillId="3" borderId="96" xfId="2" applyNumberFormat="1" applyFont="1" applyBorder="1" applyAlignment="1" applyProtection="1">
      <alignment horizontal="right"/>
    </xf>
    <xf numFmtId="0" fontId="4" fillId="5" borderId="100" xfId="4" applyFont="1" applyBorder="1" applyAlignment="1"/>
    <xf numFmtId="0" fontId="1" fillId="13" borderId="179" xfId="8" applyBorder="1" applyAlignment="1">
      <alignment horizontal="right"/>
    </xf>
    <xf numFmtId="168" fontId="23" fillId="6" borderId="184" xfId="5" applyNumberFormat="1" applyFont="1" applyBorder="1"/>
    <xf numFmtId="168" fontId="23" fillId="6" borderId="181" xfId="5" applyNumberFormat="1" applyFont="1" applyBorder="1"/>
    <xf numFmtId="0" fontId="23" fillId="6" borderId="247" xfId="5" applyFont="1" applyBorder="1"/>
    <xf numFmtId="0" fontId="23" fillId="6" borderId="202" xfId="5" applyFont="1" applyBorder="1"/>
    <xf numFmtId="0" fontId="23" fillId="6" borderId="231" xfId="5" applyFont="1" applyBorder="1"/>
    <xf numFmtId="168" fontId="23" fillId="6" borderId="188" xfId="5" applyNumberFormat="1" applyFont="1" applyBorder="1"/>
    <xf numFmtId="0" fontId="23" fillId="6" borderId="207" xfId="5" applyFont="1" applyBorder="1"/>
    <xf numFmtId="0" fontId="85" fillId="0" borderId="0" xfId="0" applyFont="1" applyAlignment="1">
      <alignment horizontal="left"/>
    </xf>
    <xf numFmtId="0" fontId="85" fillId="0" borderId="201" xfId="0" applyFont="1" applyBorder="1" applyAlignment="1">
      <alignment horizontal="left"/>
    </xf>
    <xf numFmtId="0" fontId="6" fillId="11" borderId="0" xfId="0" applyFont="1" applyFill="1"/>
    <xf numFmtId="0" fontId="22" fillId="0" borderId="0" xfId="0" quotePrefix="1" applyFont="1"/>
    <xf numFmtId="0" fontId="84" fillId="0" borderId="0" xfId="0" quotePrefix="1" applyFont="1" applyAlignment="1">
      <alignment horizontal="center"/>
    </xf>
    <xf numFmtId="0" fontId="97" fillId="0" borderId="0" xfId="0" applyFont="1"/>
    <xf numFmtId="0" fontId="98" fillId="0" borderId="0" xfId="0" applyFont="1" applyAlignment="1">
      <alignment horizontal="center"/>
    </xf>
    <xf numFmtId="0" fontId="56" fillId="0" borderId="13" xfId="0" applyFont="1" applyBorder="1"/>
    <xf numFmtId="0" fontId="89" fillId="0" borderId="13" xfId="0" applyFont="1" applyBorder="1" applyAlignment="1">
      <alignment horizontal="center"/>
    </xf>
    <xf numFmtId="0" fontId="5" fillId="18" borderId="94" xfId="11" applyFont="1" applyBorder="1" applyAlignment="1">
      <alignment vertical="center" wrapText="1"/>
    </xf>
    <xf numFmtId="0" fontId="5" fillId="18" borderId="93" xfId="11" applyFont="1" applyBorder="1" applyAlignment="1">
      <alignment horizontal="center" vertical="center" wrapText="1"/>
    </xf>
    <xf numFmtId="0" fontId="5" fillId="18" borderId="14" xfId="11" applyFont="1" applyBorder="1" applyAlignment="1">
      <alignment horizontal="center" vertical="center" wrapText="1"/>
    </xf>
    <xf numFmtId="0" fontId="1" fillId="36" borderId="7" xfId="28" applyBorder="1" applyAlignment="1">
      <alignment vertical="center" wrapText="1"/>
    </xf>
    <xf numFmtId="0" fontId="0" fillId="4" borderId="7" xfId="3" applyFont="1" applyBorder="1" applyAlignment="1">
      <alignment vertical="center" wrapText="1"/>
    </xf>
    <xf numFmtId="0" fontId="0" fillId="45" borderId="7" xfId="0" applyFill="1" applyBorder="1"/>
    <xf numFmtId="0" fontId="0" fillId="0" borderId="98" xfId="0" applyBorder="1" applyAlignment="1">
      <alignment horizontal="center"/>
    </xf>
    <xf numFmtId="0" fontId="0" fillId="0" borderId="248" xfId="0" applyBorder="1" applyAlignment="1">
      <alignment horizontal="left" vertical="top" wrapText="1"/>
    </xf>
    <xf numFmtId="0" fontId="1" fillId="0" borderId="248" xfId="18" applyBorder="1" applyAlignment="1" applyProtection="1">
      <alignment horizontal="left" vertical="top" wrapText="1"/>
      <protection locked="0"/>
    </xf>
    <xf numFmtId="14" fontId="0" fillId="0" borderId="248" xfId="0" applyNumberFormat="1" applyBorder="1" applyAlignment="1">
      <alignment horizontal="left" vertical="top" wrapText="1"/>
    </xf>
    <xf numFmtId="44" fontId="0" fillId="0" borderId="248" xfId="0" applyNumberFormat="1" applyBorder="1" applyAlignment="1">
      <alignment horizontal="left" vertical="top" wrapText="1"/>
    </xf>
    <xf numFmtId="0" fontId="0" fillId="0" borderId="248" xfId="0" applyBorder="1" applyAlignment="1" applyProtection="1">
      <alignment horizontal="left" vertical="top" wrapText="1"/>
      <protection locked="0"/>
    </xf>
    <xf numFmtId="0" fontId="1" fillId="0" borderId="248" xfId="20" applyBorder="1" applyAlignment="1" applyProtection="1">
      <alignment horizontal="left" vertical="top" wrapText="1"/>
      <protection locked="0"/>
    </xf>
    <xf numFmtId="14" fontId="1" fillId="0" borderId="248" xfId="18" applyNumberFormat="1" applyBorder="1" applyAlignment="1" applyProtection="1">
      <alignment horizontal="left" vertical="top" wrapText="1"/>
      <protection locked="0"/>
    </xf>
    <xf numFmtId="44" fontId="1" fillId="0" borderId="248" xfId="19" applyNumberFormat="1" applyBorder="1" applyAlignment="1" applyProtection="1">
      <alignment horizontal="left" vertical="top" wrapText="1"/>
      <protection locked="0"/>
    </xf>
    <xf numFmtId="0" fontId="1" fillId="0" borderId="248" xfId="21" applyBorder="1" applyAlignment="1" applyProtection="1">
      <alignment horizontal="left" vertical="top" wrapText="1"/>
      <protection locked="0"/>
    </xf>
    <xf numFmtId="44" fontId="1" fillId="0" borderId="248" xfId="18" applyNumberFormat="1" applyBorder="1" applyAlignment="1" applyProtection="1">
      <alignment horizontal="left" vertical="top" wrapText="1"/>
      <protection locked="0"/>
    </xf>
    <xf numFmtId="0" fontId="0" fillId="0" borderId="248" xfId="18" applyFont="1" applyBorder="1" applyAlignment="1" applyProtection="1">
      <alignment horizontal="left" vertical="top" wrapText="1"/>
      <protection locked="0"/>
    </xf>
    <xf numFmtId="44" fontId="0" fillId="0" borderId="248" xfId="18" applyNumberFormat="1" applyFont="1" applyBorder="1" applyAlignment="1" applyProtection="1">
      <alignment horizontal="left" vertical="top" wrapText="1"/>
      <protection locked="0"/>
    </xf>
    <xf numFmtId="0" fontId="0" fillId="0" borderId="248" xfId="21" applyFont="1" applyBorder="1" applyAlignment="1" applyProtection="1">
      <alignment horizontal="left" vertical="top" wrapText="1"/>
      <protection locked="0"/>
    </xf>
    <xf numFmtId="0" fontId="101" fillId="0" borderId="248" xfId="35" applyBorder="1" applyAlignment="1" applyProtection="1">
      <alignment horizontal="left" vertical="top" wrapText="1"/>
      <protection locked="0"/>
    </xf>
    <xf numFmtId="17" fontId="1" fillId="0" borderId="248" xfId="18" applyNumberFormat="1" applyBorder="1" applyAlignment="1" applyProtection="1">
      <alignment horizontal="left" vertical="top" wrapText="1"/>
      <protection locked="0"/>
    </xf>
    <xf numFmtId="0" fontId="0" fillId="0" borderId="248" xfId="0" quotePrefix="1" applyBorder="1" applyAlignment="1">
      <alignment horizontal="left" vertical="top" wrapText="1"/>
    </xf>
    <xf numFmtId="0" fontId="51" fillId="0" borderId="7" xfId="22" applyNumberFormat="1" applyFont="1" applyBorder="1" applyAlignment="1">
      <alignment horizontal="center" vertical="center" wrapText="1"/>
    </xf>
    <xf numFmtId="0" fontId="51" fillId="27" borderId="7" xfId="22" applyNumberFormat="1" applyFont="1" applyFill="1" applyBorder="1" applyAlignment="1">
      <alignment horizontal="center" vertical="center" wrapText="1"/>
    </xf>
    <xf numFmtId="0" fontId="51" fillId="40" borderId="7" xfId="22" applyNumberFormat="1" applyFont="1" applyFill="1" applyBorder="1" applyAlignment="1">
      <alignment horizontal="center" vertical="center" wrapText="1"/>
    </xf>
    <xf numFmtId="0" fontId="52" fillId="28" borderId="7" xfId="22" applyNumberFormat="1" applyFont="1" applyFill="1" applyBorder="1" applyAlignment="1">
      <alignment horizontal="center" vertical="center" wrapText="1"/>
    </xf>
    <xf numFmtId="0" fontId="0" fillId="0" borderId="29" xfId="0" applyBorder="1"/>
    <xf numFmtId="0" fontId="23" fillId="0" borderId="29" xfId="0" applyFont="1" applyBorder="1"/>
    <xf numFmtId="0" fontId="23" fillId="0" borderId="9" xfId="0" applyFont="1" applyBorder="1"/>
    <xf numFmtId="0" fontId="0" fillId="0" borderId="9" xfId="0" applyBorder="1"/>
    <xf numFmtId="0" fontId="0" fillId="0" borderId="11" xfId="0" applyBorder="1" applyAlignment="1">
      <alignment horizontal="right"/>
    </xf>
    <xf numFmtId="14" fontId="24" fillId="0" borderId="11" xfId="0" applyNumberFormat="1" applyFont="1" applyBorder="1"/>
    <xf numFmtId="0" fontId="4" fillId="5" borderId="7" xfId="4" applyFont="1" applyBorder="1" applyAlignment="1">
      <alignment horizontal="left" vertical="center"/>
    </xf>
    <xf numFmtId="0" fontId="6" fillId="16" borderId="7" xfId="9" applyNumberFormat="1" applyBorder="1" applyAlignment="1">
      <alignment horizontal="center" vertical="center" wrapText="1"/>
    </xf>
    <xf numFmtId="0" fontId="5" fillId="0" borderId="97" xfId="0" applyFont="1" applyBorder="1" applyAlignment="1">
      <alignment horizontal="center" vertical="center"/>
    </xf>
    <xf numFmtId="0" fontId="27" fillId="4" borderId="125" xfId="3" applyFont="1" applyBorder="1" applyProtection="1">
      <protection locked="0"/>
    </xf>
    <xf numFmtId="0" fontId="27" fillId="4" borderId="27" xfId="3" applyFont="1" applyBorder="1" applyProtection="1">
      <protection locked="0"/>
    </xf>
    <xf numFmtId="0" fontId="27" fillId="4" borderId="27" xfId="3" quotePrefix="1" applyFont="1" applyBorder="1" applyProtection="1">
      <protection locked="0"/>
    </xf>
    <xf numFmtId="0" fontId="27" fillId="4" borderId="142" xfId="3" applyFont="1" applyBorder="1" applyProtection="1">
      <protection locked="0"/>
    </xf>
    <xf numFmtId="14" fontId="24" fillId="4" borderId="142" xfId="3" applyNumberFormat="1" applyFont="1" applyBorder="1" applyProtection="1"/>
    <xf numFmtId="0" fontId="24" fillId="4" borderId="150" xfId="3" applyFont="1" applyBorder="1" applyProtection="1"/>
    <xf numFmtId="0" fontId="24" fillId="4" borderId="99" xfId="3" applyFont="1" applyBorder="1" applyProtection="1"/>
    <xf numFmtId="14" fontId="24" fillId="4" borderId="27" xfId="3" applyNumberFormat="1" applyFont="1" applyBorder="1" applyProtection="1"/>
    <xf numFmtId="0" fontId="101" fillId="0" borderId="248" xfId="35" applyBorder="1" applyAlignment="1">
      <alignment horizontal="left" vertical="top" wrapText="1"/>
    </xf>
    <xf numFmtId="0" fontId="4" fillId="38" borderId="252" xfId="30" applyFont="1" applyBorder="1" applyAlignment="1">
      <alignment horizontal="center"/>
    </xf>
    <xf numFmtId="0" fontId="6" fillId="11" borderId="136" xfId="1" applyFont="1" applyFill="1" applyBorder="1" applyAlignment="1">
      <alignment horizontal="center"/>
    </xf>
    <xf numFmtId="0" fontId="4" fillId="41" borderId="96" xfId="0" applyFont="1" applyFill="1" applyBorder="1"/>
    <xf numFmtId="0" fontId="4" fillId="42" borderId="96" xfId="0" applyFont="1" applyFill="1" applyBorder="1"/>
    <xf numFmtId="0" fontId="4" fillId="9" borderId="96" xfId="0" applyFont="1" applyFill="1" applyBorder="1"/>
    <xf numFmtId="0" fontId="21" fillId="0" borderId="96" xfId="0" applyFont="1" applyBorder="1" applyAlignment="1" applyProtection="1">
      <alignment horizontal="center"/>
      <protection locked="0"/>
    </xf>
    <xf numFmtId="14" fontId="24" fillId="0" borderId="96" xfId="0" applyNumberFormat="1" applyFont="1" applyBorder="1" applyAlignment="1">
      <alignment horizontal="center"/>
    </xf>
    <xf numFmtId="0" fontId="94" fillId="47" borderId="96" xfId="34" applyBorder="1" applyAlignment="1" applyProtection="1">
      <alignment horizontal="center"/>
      <protection locked="0"/>
    </xf>
    <xf numFmtId="14" fontId="94" fillId="47" borderId="96" xfId="34" applyNumberFormat="1" applyBorder="1" applyAlignment="1">
      <alignment horizontal="center"/>
    </xf>
    <xf numFmtId="0" fontId="27" fillId="4" borderId="253" xfId="3" applyFont="1" applyBorder="1" applyAlignment="1" applyProtection="1">
      <protection locked="0"/>
    </xf>
    <xf numFmtId="44" fontId="27" fillId="4" borderId="253" xfId="3" applyNumberFormat="1" applyFont="1" applyBorder="1" applyAlignment="1" applyProtection="1">
      <protection locked="0"/>
    </xf>
    <xf numFmtId="0" fontId="102" fillId="11" borderId="136" xfId="0" applyFont="1" applyFill="1" applyBorder="1" applyAlignment="1">
      <alignment horizontal="center"/>
    </xf>
    <xf numFmtId="176" fontId="23" fillId="4" borderId="2" xfId="3" applyNumberFormat="1" applyFont="1" applyAlignment="1" applyProtection="1">
      <alignment horizontal="center"/>
    </xf>
    <xf numFmtId="168" fontId="23" fillId="4" borderId="2" xfId="3" applyNumberFormat="1" applyFont="1" applyAlignment="1">
      <alignment horizontal="right"/>
    </xf>
    <xf numFmtId="176" fontId="23" fillId="4" borderId="166" xfId="3" applyNumberFormat="1" applyFont="1" applyBorder="1" applyAlignment="1" applyProtection="1">
      <alignment horizontal="center"/>
    </xf>
    <xf numFmtId="168" fontId="23" fillId="4" borderId="166" xfId="3" applyNumberFormat="1" applyFont="1" applyBorder="1" applyAlignment="1">
      <alignment horizontal="right"/>
    </xf>
    <xf numFmtId="0" fontId="4" fillId="38" borderId="0" xfId="30" applyFont="1" applyBorder="1" applyAlignment="1" applyProtection="1">
      <alignment horizontal="center"/>
    </xf>
    <xf numFmtId="166" fontId="23" fillId="3" borderId="254" xfId="2" applyNumberFormat="1" applyFont="1" applyBorder="1" applyAlignment="1" applyProtection="1">
      <alignment wrapText="1"/>
    </xf>
    <xf numFmtId="0" fontId="24" fillId="3" borderId="254" xfId="2" applyFont="1" applyBorder="1" applyProtection="1"/>
    <xf numFmtId="0" fontId="14" fillId="3" borderId="254" xfId="2" applyFont="1" applyBorder="1" applyProtection="1">
      <protection locked="0"/>
    </xf>
    <xf numFmtId="0" fontId="6" fillId="14" borderId="254" xfId="32" applyFont="1" applyFill="1" applyBorder="1"/>
    <xf numFmtId="0" fontId="1" fillId="44" borderId="254" xfId="32" applyBorder="1"/>
    <xf numFmtId="0" fontId="4" fillId="38" borderId="97" xfId="30" applyFont="1" applyBorder="1" applyAlignment="1" applyProtection="1">
      <alignment horizontal="center"/>
      <protection locked="0"/>
    </xf>
    <xf numFmtId="0" fontId="0" fillId="0" borderId="256" xfId="0" applyBorder="1"/>
    <xf numFmtId="0" fontId="0" fillId="11" borderId="254" xfId="0" applyFill="1" applyBorder="1" applyAlignment="1">
      <alignment horizontal="right"/>
    </xf>
    <xf numFmtId="1" fontId="23" fillId="3" borderId="257" xfId="2" applyNumberFormat="1" applyFont="1" applyBorder="1"/>
    <xf numFmtId="0" fontId="6" fillId="14" borderId="259" xfId="0" applyFont="1" applyFill="1" applyBorder="1"/>
    <xf numFmtId="0" fontId="0" fillId="0" borderId="258" xfId="0" applyBorder="1"/>
    <xf numFmtId="0" fontId="0" fillId="0" borderId="261" xfId="0" applyBorder="1"/>
    <xf numFmtId="2" fontId="4" fillId="14" borderId="262" xfId="0" applyNumberFormat="1" applyFont="1" applyFill="1" applyBorder="1"/>
    <xf numFmtId="0" fontId="14" fillId="3" borderId="263" xfId="2" applyFont="1" applyBorder="1" applyProtection="1">
      <protection locked="0"/>
    </xf>
    <xf numFmtId="0" fontId="1" fillId="44" borderId="255" xfId="32" applyBorder="1"/>
    <xf numFmtId="44" fontId="23" fillId="3" borderId="254" xfId="2" applyNumberFormat="1" applyFont="1" applyBorder="1"/>
    <xf numFmtId="44" fontId="24" fillId="4" borderId="254" xfId="3" applyNumberFormat="1" applyFont="1" applyBorder="1"/>
    <xf numFmtId="0" fontId="24" fillId="3" borderId="0" xfId="2" applyFont="1" applyBorder="1" applyProtection="1"/>
    <xf numFmtId="0" fontId="6" fillId="14" borderId="260" xfId="32" applyFont="1" applyFill="1" applyBorder="1"/>
    <xf numFmtId="166" fontId="1" fillId="44" borderId="260" xfId="32" applyNumberFormat="1" applyBorder="1"/>
    <xf numFmtId="1" fontId="23" fillId="3" borderId="254" xfId="2" applyNumberFormat="1" applyFont="1" applyBorder="1"/>
    <xf numFmtId="1" fontId="6" fillId="14" borderId="254" xfId="0" applyNumberFormat="1" applyFont="1" applyFill="1" applyBorder="1"/>
    <xf numFmtId="0" fontId="0" fillId="0" borderId="254" xfId="0" applyBorder="1" applyAlignment="1">
      <alignment horizontal="center"/>
    </xf>
    <xf numFmtId="0" fontId="6" fillId="30" borderId="265" xfId="26" applyBorder="1" applyAlignment="1">
      <alignment horizontal="center"/>
    </xf>
    <xf numFmtId="0" fontId="0" fillId="11" borderId="192" xfId="0" applyFill="1" applyBorder="1" applyAlignment="1">
      <alignment horizontal="right"/>
    </xf>
    <xf numFmtId="0" fontId="23" fillId="48" borderId="231" xfId="0" applyFont="1" applyFill="1" applyBorder="1"/>
    <xf numFmtId="0" fontId="23" fillId="48" borderId="232" xfId="0" applyFont="1" applyFill="1" applyBorder="1"/>
    <xf numFmtId="0" fontId="23" fillId="48" borderId="233" xfId="0" applyFont="1" applyFill="1" applyBorder="1"/>
    <xf numFmtId="0" fontId="23" fillId="48" borderId="231" xfId="7" applyFont="1" applyFill="1" applyBorder="1"/>
    <xf numFmtId="0" fontId="23" fillId="48" borderId="232" xfId="7" applyFont="1" applyFill="1" applyBorder="1"/>
    <xf numFmtId="0" fontId="23" fillId="48" borderId="233" xfId="7" applyFont="1" applyFill="1" applyBorder="1"/>
    <xf numFmtId="0" fontId="23" fillId="48" borderId="197" xfId="7" applyFont="1" applyFill="1" applyBorder="1"/>
    <xf numFmtId="0" fontId="23" fillId="48" borderId="198" xfId="7" applyFont="1" applyFill="1" applyBorder="1"/>
    <xf numFmtId="0" fontId="23" fillId="48" borderId="200" xfId="7" applyFont="1" applyFill="1" applyBorder="1"/>
    <xf numFmtId="166" fontId="23" fillId="48" borderId="171" xfId="0" applyNumberFormat="1" applyFont="1" applyFill="1" applyBorder="1"/>
    <xf numFmtId="0" fontId="24" fillId="31" borderId="136" xfId="5" applyFont="1" applyFill="1" applyBorder="1" applyProtection="1"/>
    <xf numFmtId="44" fontId="23" fillId="0" borderId="270" xfId="0" applyNumberFormat="1" applyFont="1" applyBorder="1"/>
    <xf numFmtId="44" fontId="23" fillId="0" borderId="269" xfId="0" applyNumberFormat="1" applyFont="1" applyBorder="1"/>
    <xf numFmtId="176" fontId="23" fillId="0" borderId="273" xfId="0" applyNumberFormat="1" applyFont="1" applyBorder="1"/>
    <xf numFmtId="176" fontId="23" fillId="0" borderId="272" xfId="0" applyNumberFormat="1" applyFont="1" applyBorder="1"/>
    <xf numFmtId="44" fontId="19" fillId="35" borderId="267" xfId="16" applyNumberFormat="1" applyFont="1" applyFill="1" applyBorder="1" applyProtection="1"/>
    <xf numFmtId="176" fontId="19" fillId="35" borderId="264" xfId="16" applyNumberFormat="1" applyFont="1" applyFill="1" applyBorder="1" applyProtection="1"/>
    <xf numFmtId="44" fontId="66" fillId="35" borderId="267" xfId="1" applyNumberFormat="1" applyFont="1" applyFill="1" applyBorder="1"/>
    <xf numFmtId="2" fontId="66" fillId="35" borderId="264" xfId="1" applyNumberFormat="1" applyFont="1" applyFill="1" applyBorder="1"/>
    <xf numFmtId="176" fontId="21" fillId="3" borderId="282" xfId="2" applyNumberFormat="1" applyFont="1" applyBorder="1" applyAlignment="1" applyProtection="1">
      <alignment horizontal="center" vertical="center"/>
      <protection locked="0"/>
    </xf>
    <xf numFmtId="175" fontId="23" fillId="3" borderId="283" xfId="2" applyNumberFormat="1" applyFont="1" applyBorder="1" applyProtection="1"/>
    <xf numFmtId="176" fontId="1" fillId="0" borderId="284" xfId="0" applyNumberFormat="1" applyFont="1" applyBorder="1"/>
    <xf numFmtId="176" fontId="57" fillId="0" borderId="270" xfId="0" applyNumberFormat="1" applyFont="1" applyBorder="1"/>
    <xf numFmtId="176" fontId="21" fillId="3" borderId="285" xfId="2" applyNumberFormat="1" applyFont="1" applyBorder="1" applyAlignment="1" applyProtection="1">
      <alignment horizontal="center" vertical="center"/>
      <protection locked="0"/>
    </xf>
    <xf numFmtId="1" fontId="23" fillId="3" borderId="1" xfId="2" applyNumberFormat="1" applyFont="1" applyProtection="1"/>
    <xf numFmtId="175" fontId="21" fillId="3" borderId="1" xfId="2" applyNumberFormat="1" applyFont="1" applyProtection="1">
      <protection locked="0"/>
    </xf>
    <xf numFmtId="175" fontId="23" fillId="3" borderId="1" xfId="2" applyNumberFormat="1" applyFont="1" applyProtection="1"/>
    <xf numFmtId="175" fontId="23" fillId="3" borderId="286" xfId="2" applyNumberFormat="1" applyFont="1" applyBorder="1" applyProtection="1"/>
    <xf numFmtId="0" fontId="4" fillId="14" borderId="0" xfId="0" applyFont="1" applyFill="1"/>
    <xf numFmtId="0" fontId="1" fillId="0" borderId="270" xfId="0" applyFont="1" applyBorder="1"/>
    <xf numFmtId="176" fontId="1" fillId="0" borderId="287" xfId="0" applyNumberFormat="1" applyFont="1" applyBorder="1"/>
    <xf numFmtId="2" fontId="4" fillId="14" borderId="288" xfId="0" applyNumberFormat="1" applyFont="1" applyFill="1" applyBorder="1"/>
    <xf numFmtId="2" fontId="4" fillId="14" borderId="289" xfId="0" applyNumberFormat="1" applyFont="1" applyFill="1" applyBorder="1"/>
    <xf numFmtId="0" fontId="1" fillId="0" borderId="288" xfId="0" applyFont="1" applyBorder="1"/>
    <xf numFmtId="0" fontId="4" fillId="14" borderId="288" xfId="0" applyFont="1" applyFill="1" applyBorder="1"/>
    <xf numFmtId="0" fontId="1" fillId="0" borderId="269" xfId="0" applyFont="1" applyBorder="1"/>
    <xf numFmtId="168" fontId="66" fillId="35" borderId="167" xfId="1" applyNumberFormat="1" applyFont="1" applyFill="1" applyBorder="1" applyProtection="1"/>
    <xf numFmtId="168" fontId="18" fillId="35" borderId="96" xfId="3" applyNumberFormat="1" applyFont="1" applyFill="1" applyBorder="1"/>
    <xf numFmtId="1" fontId="0" fillId="41" borderId="0" xfId="0" applyNumberFormat="1" applyFill="1" applyAlignment="1">
      <alignment horizontal="right"/>
    </xf>
    <xf numFmtId="0" fontId="18" fillId="35" borderId="98" xfId="26" applyFont="1" applyFill="1" applyBorder="1" applyAlignment="1" applyProtection="1">
      <alignment horizontal="center" wrapText="1"/>
    </xf>
    <xf numFmtId="0" fontId="18" fillId="35" borderId="290" xfId="26" applyFont="1" applyFill="1" applyBorder="1" applyAlignment="1" applyProtection="1">
      <alignment horizontal="center" wrapText="1"/>
    </xf>
    <xf numFmtId="2" fontId="24" fillId="4" borderId="291" xfId="3" applyNumberFormat="1" applyFont="1" applyBorder="1"/>
    <xf numFmtId="2" fontId="24" fillId="4" borderId="292" xfId="3" applyNumberFormat="1" applyFont="1" applyBorder="1"/>
    <xf numFmtId="2" fontId="0" fillId="15" borderId="293" xfId="0" applyNumberFormat="1" applyFill="1" applyBorder="1"/>
    <xf numFmtId="2" fontId="24" fillId="4" borderId="294" xfId="3" applyNumberFormat="1" applyFont="1" applyBorder="1"/>
    <xf numFmtId="44" fontId="24" fillId="4" borderId="295" xfId="3" applyNumberFormat="1" applyFont="1" applyBorder="1"/>
    <xf numFmtId="0" fontId="24" fillId="4" borderId="296" xfId="3" applyFont="1" applyBorder="1"/>
    <xf numFmtId="0" fontId="24" fillId="4" borderId="296" xfId="3" applyFont="1" applyBorder="1" applyAlignment="1">
      <alignment horizontal="left"/>
    </xf>
    <xf numFmtId="44" fontId="24" fillId="4" borderId="296" xfId="3" applyNumberFormat="1" applyFont="1" applyBorder="1"/>
    <xf numFmtId="2" fontId="24" fillId="4" borderId="297" xfId="3" applyNumberFormat="1" applyFont="1" applyBorder="1"/>
    <xf numFmtId="44" fontId="24" fillId="4" borderId="298" xfId="3" applyNumberFormat="1" applyFont="1" applyBorder="1"/>
    <xf numFmtId="0" fontId="23" fillId="0" borderId="179" xfId="5" applyFont="1" applyFill="1" applyBorder="1"/>
    <xf numFmtId="0" fontId="23" fillId="0" borderId="134" xfId="5" applyFont="1" applyFill="1" applyBorder="1"/>
    <xf numFmtId="0" fontId="0" fillId="0" borderId="193" xfId="0" applyBorder="1"/>
    <xf numFmtId="165" fontId="24" fillId="0" borderId="99" xfId="0" applyNumberFormat="1" applyFont="1" applyBorder="1"/>
    <xf numFmtId="0" fontId="0" fillId="31" borderId="193" xfId="0" applyFill="1" applyBorder="1"/>
    <xf numFmtId="0" fontId="24" fillId="31" borderId="99" xfId="7" applyFont="1" applyFill="1" applyBorder="1" applyAlignment="1">
      <alignment vertical="top"/>
    </xf>
    <xf numFmtId="165" fontId="24" fillId="31" borderId="99" xfId="0" applyNumberFormat="1" applyFont="1" applyFill="1" applyBorder="1"/>
    <xf numFmtId="0" fontId="0" fillId="31" borderId="145" xfId="0" applyFill="1" applyBorder="1"/>
    <xf numFmtId="0" fontId="23" fillId="31" borderId="179" xfId="0" applyFont="1" applyFill="1" applyBorder="1"/>
    <xf numFmtId="0" fontId="23" fillId="31" borderId="134" xfId="0" applyFont="1" applyFill="1" applyBorder="1"/>
    <xf numFmtId="0" fontId="21" fillId="3" borderId="0" xfId="2" applyFont="1" applyBorder="1" applyAlignment="1" applyProtection="1">
      <alignment horizontal="center"/>
    </xf>
    <xf numFmtId="0" fontId="0" fillId="11" borderId="0" xfId="0" applyFill="1" applyAlignment="1">
      <alignment horizontal="center"/>
    </xf>
    <xf numFmtId="0" fontId="24" fillId="4" borderId="296" xfId="3" applyFont="1" applyBorder="1" applyProtection="1"/>
    <xf numFmtId="44" fontId="24" fillId="4" borderId="296" xfId="3" applyNumberFormat="1" applyFont="1" applyBorder="1" applyProtection="1"/>
    <xf numFmtId="0" fontId="24" fillId="4" borderId="299" xfId="3" applyFont="1" applyBorder="1" applyProtection="1"/>
    <xf numFmtId="0" fontId="24" fillId="4" borderId="2" xfId="3" applyFont="1" applyProtection="1"/>
    <xf numFmtId="44" fontId="24" fillId="4" borderId="2" xfId="3" applyNumberFormat="1" applyFont="1" applyProtection="1"/>
    <xf numFmtId="0" fontId="24" fillId="4" borderId="300" xfId="3" applyFont="1" applyBorder="1" applyProtection="1"/>
    <xf numFmtId="0" fontId="6" fillId="7" borderId="301" xfId="6" applyBorder="1" applyAlignment="1" applyProtection="1">
      <alignment horizontal="center" vertical="center"/>
    </xf>
    <xf numFmtId="0" fontId="24" fillId="3" borderId="302" xfId="2" applyFont="1" applyBorder="1" applyAlignment="1" applyProtection="1">
      <alignment horizontal="center" vertical="center"/>
    </xf>
    <xf numFmtId="0" fontId="3" fillId="3" borderId="302" xfId="2" applyBorder="1" applyAlignment="1" applyProtection="1">
      <alignment horizontal="center" vertical="center"/>
    </xf>
    <xf numFmtId="0" fontId="24" fillId="4" borderId="47" xfId="3" applyFont="1" applyBorder="1" applyProtection="1"/>
    <xf numFmtId="44" fontId="24" fillId="4" borderId="47" xfId="3" applyNumberFormat="1" applyFont="1" applyBorder="1" applyProtection="1"/>
    <xf numFmtId="0" fontId="58" fillId="2" borderId="306" xfId="1" applyFont="1" applyBorder="1" applyProtection="1"/>
    <xf numFmtId="0" fontId="58" fillId="2" borderId="307" xfId="1" applyFont="1" applyBorder="1" applyProtection="1"/>
    <xf numFmtId="0" fontId="18" fillId="35" borderId="307" xfId="26" applyFont="1" applyFill="1" applyBorder="1" applyAlignment="1" applyProtection="1">
      <alignment horizontal="center" wrapText="1"/>
    </xf>
    <xf numFmtId="0" fontId="18" fillId="35" borderId="308" xfId="26" applyFont="1" applyFill="1" applyBorder="1" applyAlignment="1" applyProtection="1">
      <alignment horizontal="center" wrapText="1"/>
    </xf>
    <xf numFmtId="0" fontId="24" fillId="4" borderId="309" xfId="3" applyFont="1" applyBorder="1" applyProtection="1"/>
    <xf numFmtId="44" fontId="24" fillId="4" borderId="310" xfId="3" applyNumberFormat="1" applyFont="1" applyBorder="1" applyProtection="1"/>
    <xf numFmtId="44" fontId="24" fillId="4" borderId="311" xfId="3" applyNumberFormat="1" applyFont="1" applyBorder="1" applyProtection="1"/>
    <xf numFmtId="44" fontId="24" fillId="4" borderId="312" xfId="3" applyNumberFormat="1" applyFont="1" applyBorder="1" applyProtection="1"/>
    <xf numFmtId="44" fontId="0" fillId="15" borderId="0" xfId="0" applyNumberFormat="1" applyFill="1"/>
    <xf numFmtId="2" fontId="24" fillId="4" borderId="313" xfId="3" applyNumberFormat="1" applyFont="1" applyBorder="1" applyProtection="1"/>
    <xf numFmtId="2" fontId="24" fillId="4" borderId="292" xfId="3" applyNumberFormat="1" applyFont="1" applyBorder="1" applyProtection="1"/>
    <xf numFmtId="2" fontId="24" fillId="4" borderId="312" xfId="3" applyNumberFormat="1" applyFont="1" applyBorder="1" applyProtection="1"/>
    <xf numFmtId="2" fontId="0" fillId="15" borderId="259" xfId="0" applyNumberFormat="1" applyFill="1" applyBorder="1"/>
    <xf numFmtId="2" fontId="23" fillId="4" borderId="254" xfId="3" applyNumberFormat="1" applyFont="1" applyBorder="1" applyProtection="1"/>
    <xf numFmtId="44" fontId="18" fillId="35" borderId="254" xfId="3" applyNumberFormat="1" applyFont="1" applyFill="1" applyBorder="1" applyProtection="1"/>
    <xf numFmtId="44" fontId="18" fillId="35" borderId="265" xfId="3" applyNumberFormat="1" applyFont="1" applyFill="1" applyBorder="1" applyProtection="1"/>
    <xf numFmtId="2" fontId="24" fillId="4" borderId="258" xfId="3" applyNumberFormat="1" applyFont="1" applyBorder="1" applyProtection="1"/>
    <xf numFmtId="44" fontId="24" fillId="4" borderId="258" xfId="3" applyNumberFormat="1" applyFont="1" applyBorder="1" applyProtection="1"/>
    <xf numFmtId="2" fontId="24" fillId="4" borderId="291" xfId="3" applyNumberFormat="1" applyFont="1" applyBorder="1" applyProtection="1"/>
    <xf numFmtId="2" fontId="0" fillId="14" borderId="0" xfId="0" applyNumberFormat="1" applyFill="1"/>
    <xf numFmtId="2" fontId="6" fillId="14" borderId="0" xfId="0" applyNumberFormat="1" applyFont="1" applyFill="1"/>
    <xf numFmtId="0" fontId="23" fillId="0" borderId="216" xfId="0" applyFont="1" applyBorder="1"/>
    <xf numFmtId="0" fontId="23" fillId="0" borderId="128" xfId="0" applyFont="1" applyBorder="1"/>
    <xf numFmtId="0" fontId="23" fillId="0" borderId="217" xfId="0" applyFont="1" applyBorder="1"/>
    <xf numFmtId="0" fontId="23" fillId="34" borderId="128" xfId="0" applyFont="1" applyFill="1" applyBorder="1"/>
    <xf numFmtId="0" fontId="23" fillId="34" borderId="216" xfId="0" applyFont="1" applyFill="1" applyBorder="1"/>
    <xf numFmtId="0" fontId="23" fillId="0" borderId="216" xfId="7" applyFont="1" applyFill="1" applyBorder="1"/>
    <xf numFmtId="0" fontId="23" fillId="0" borderId="128" xfId="7" applyFont="1" applyFill="1" applyBorder="1"/>
    <xf numFmtId="0" fontId="23" fillId="0" borderId="217" xfId="7" applyFont="1" applyFill="1" applyBorder="1"/>
    <xf numFmtId="0" fontId="23" fillId="0" borderId="203" xfId="7" applyFont="1" applyFill="1" applyBorder="1"/>
    <xf numFmtId="0" fontId="23" fillId="0" borderId="201" xfId="7" applyFont="1" applyFill="1" applyBorder="1"/>
    <xf numFmtId="0" fontId="23" fillId="0" borderId="170" xfId="7" applyFont="1" applyFill="1" applyBorder="1"/>
    <xf numFmtId="0" fontId="23" fillId="12" borderId="231" xfId="7" applyFont="1" applyBorder="1"/>
    <xf numFmtId="0" fontId="23" fillId="12" borderId="232" xfId="7" applyFont="1" applyBorder="1"/>
    <xf numFmtId="0" fontId="23" fillId="12" borderId="233" xfId="7" applyFont="1" applyBorder="1"/>
    <xf numFmtId="0" fontId="23" fillId="12" borderId="190" xfId="7" applyFont="1" applyBorder="1"/>
    <xf numFmtId="0" fontId="23" fillId="6" borderId="181" xfId="5" applyFont="1" applyBorder="1"/>
    <xf numFmtId="166" fontId="23" fillId="0" borderId="96" xfId="0" applyNumberFormat="1" applyFont="1" applyBorder="1"/>
    <xf numFmtId="0" fontId="23" fillId="0" borderId="181" xfId="0" applyFont="1" applyBorder="1"/>
    <xf numFmtId="0" fontId="24" fillId="3" borderId="255" xfId="2" applyFont="1" applyBorder="1" applyProtection="1"/>
    <xf numFmtId="0" fontId="1" fillId="44" borderId="261" xfId="32" applyBorder="1"/>
    <xf numFmtId="0" fontId="14" fillId="3" borderId="317" xfId="2" applyFont="1" applyBorder="1" applyAlignment="1" applyProtection="1">
      <protection locked="0"/>
    </xf>
    <xf numFmtId="0" fontId="23" fillId="3" borderId="318" xfId="2" applyFont="1" applyBorder="1"/>
    <xf numFmtId="0" fontId="1" fillId="44" borderId="319" xfId="32" applyBorder="1"/>
    <xf numFmtId="0" fontId="1" fillId="44" borderId="320" xfId="32" applyBorder="1"/>
    <xf numFmtId="0" fontId="1" fillId="44" borderId="317" xfId="32" applyBorder="1"/>
    <xf numFmtId="0" fontId="1" fillId="44" borderId="318" xfId="32" applyBorder="1"/>
    <xf numFmtId="0" fontId="1" fillId="44" borderId="321" xfId="32" applyBorder="1"/>
    <xf numFmtId="0" fontId="1" fillId="44" borderId="322" xfId="32" applyBorder="1"/>
    <xf numFmtId="0" fontId="1" fillId="44" borderId="323" xfId="32" applyBorder="1"/>
    <xf numFmtId="0" fontId="14" fillId="3" borderId="324" xfId="2" applyFont="1" applyBorder="1" applyAlignment="1" applyProtection="1">
      <protection locked="0"/>
    </xf>
    <xf numFmtId="166" fontId="23" fillId="3" borderId="325" xfId="2" applyNumberFormat="1" applyFont="1" applyBorder="1" applyAlignment="1" applyProtection="1">
      <alignment wrapText="1"/>
    </xf>
    <xf numFmtId="0" fontId="23" fillId="3" borderId="326" xfId="2" applyFont="1" applyBorder="1" applyProtection="1"/>
    <xf numFmtId="0" fontId="14" fillId="3" borderId="324" xfId="2" applyFont="1" applyBorder="1" applyProtection="1">
      <protection locked="0"/>
    </xf>
    <xf numFmtId="166" fontId="23" fillId="3" borderId="325" xfId="2" applyNumberFormat="1" applyFont="1" applyBorder="1" applyProtection="1"/>
    <xf numFmtId="0" fontId="24" fillId="3" borderId="265" xfId="2" applyFont="1" applyBorder="1" applyProtection="1"/>
    <xf numFmtId="0" fontId="14" fillId="3" borderId="258" xfId="2" applyFont="1" applyBorder="1" applyProtection="1">
      <protection locked="0"/>
    </xf>
    <xf numFmtId="0" fontId="14" fillId="3" borderId="265" xfId="2" applyFont="1" applyBorder="1" applyProtection="1">
      <protection locked="0"/>
    </xf>
    <xf numFmtId="0" fontId="14" fillId="3" borderId="226" xfId="2" applyFont="1" applyBorder="1" applyProtection="1">
      <protection locked="0"/>
    </xf>
    <xf numFmtId="0" fontId="4" fillId="38" borderId="193" xfId="30" applyFont="1" applyBorder="1" applyAlignment="1" applyProtection="1">
      <alignment horizontal="center"/>
      <protection locked="0"/>
    </xf>
    <xf numFmtId="166" fontId="1" fillId="44" borderId="320" xfId="32" applyNumberFormat="1" applyBorder="1"/>
    <xf numFmtId="0" fontId="4" fillId="38" borderId="185" xfId="30" applyFont="1" applyBorder="1" applyAlignment="1" applyProtection="1">
      <alignment horizontal="center"/>
      <protection locked="0"/>
    </xf>
    <xf numFmtId="0" fontId="4" fillId="38" borderId="186" xfId="30" applyFont="1" applyBorder="1" applyAlignment="1" applyProtection="1">
      <alignment horizontal="center"/>
      <protection locked="0"/>
    </xf>
    <xf numFmtId="0" fontId="6" fillId="14" borderId="322" xfId="32" applyFont="1" applyFill="1" applyBorder="1"/>
    <xf numFmtId="0" fontId="23" fillId="3" borderId="326" xfId="2" applyFont="1" applyBorder="1"/>
    <xf numFmtId="166" fontId="1" fillId="44" borderId="318" xfId="32" applyNumberFormat="1" applyBorder="1"/>
    <xf numFmtId="14" fontId="0" fillId="15" borderId="33" xfId="0" applyNumberFormat="1" applyFill="1" applyBorder="1" applyAlignment="1">
      <alignment horizontal="left"/>
    </xf>
    <xf numFmtId="14" fontId="0" fillId="0" borderId="0" xfId="0" applyNumberFormat="1"/>
    <xf numFmtId="14" fontId="0" fillId="15" borderId="0" xfId="0" applyNumberFormat="1" applyFill="1" applyAlignment="1">
      <alignment horizontal="left"/>
    </xf>
    <xf numFmtId="0" fontId="27" fillId="11" borderId="136" xfId="3" applyFont="1" applyFill="1" applyBorder="1" applyAlignment="1" applyProtection="1">
      <alignment wrapText="1"/>
    </xf>
    <xf numFmtId="0" fontId="27" fillId="11" borderId="97" xfId="3" applyFont="1" applyFill="1" applyBorder="1" applyAlignment="1" applyProtection="1"/>
    <xf numFmtId="44" fontId="27" fillId="11" borderId="98" xfId="3" applyNumberFormat="1" applyFont="1" applyFill="1" applyBorder="1" applyAlignment="1" applyProtection="1"/>
    <xf numFmtId="0" fontId="4" fillId="43" borderId="96" xfId="0" applyFont="1" applyFill="1" applyBorder="1"/>
    <xf numFmtId="2" fontId="14" fillId="4" borderId="123" xfId="3" applyNumberFormat="1" applyFont="1" applyBorder="1" applyProtection="1">
      <protection locked="0"/>
    </xf>
    <xf numFmtId="2" fontId="14" fillId="3" borderId="226" xfId="2" applyNumberFormat="1" applyFont="1" applyBorder="1" applyProtection="1">
      <protection locked="0"/>
    </xf>
    <xf numFmtId="0" fontId="65" fillId="0" borderId="70" xfId="22" applyFont="1" applyAlignment="1">
      <alignment horizontal="right" vertical="center"/>
    </xf>
    <xf numFmtId="0" fontId="5" fillId="0" borderId="248" xfId="0" applyFont="1" applyBorder="1" applyAlignment="1">
      <alignment horizontal="left" vertical="top" wrapText="1"/>
    </xf>
    <xf numFmtId="0" fontId="5" fillId="0" borderId="248" xfId="18" applyFont="1" applyBorder="1" applyAlignment="1" applyProtection="1">
      <alignment horizontal="left" vertical="top" wrapText="1"/>
      <protection locked="0"/>
    </xf>
    <xf numFmtId="0" fontId="4" fillId="7" borderId="0" xfId="6" applyFont="1" applyBorder="1" applyAlignment="1">
      <alignment horizontal="center" vertical="center"/>
    </xf>
    <xf numFmtId="0" fontId="4" fillId="7" borderId="33" xfId="6" applyFont="1" applyBorder="1" applyAlignment="1">
      <alignment horizontal="center" vertical="center"/>
    </xf>
    <xf numFmtId="0" fontId="0" fillId="0" borderId="9" xfId="0" applyBorder="1" applyAlignment="1">
      <alignment horizontal="right" vertical="center"/>
    </xf>
    <xf numFmtId="0" fontId="0" fillId="0" borderId="10" xfId="0" applyBorder="1" applyAlignment="1">
      <alignment horizontal="right" vertical="center"/>
    </xf>
    <xf numFmtId="0" fontId="0" fillId="0" borderId="11" xfId="0" applyBorder="1" applyAlignment="1">
      <alignment horizontal="right" vertical="center"/>
    </xf>
    <xf numFmtId="0" fontId="6" fillId="16" borderId="7" xfId="9" applyBorder="1" applyAlignment="1">
      <alignment horizontal="center" vertical="center" wrapText="1"/>
    </xf>
    <xf numFmtId="0" fontId="6" fillId="7" borderId="9" xfId="6" applyBorder="1" applyAlignment="1" applyProtection="1">
      <alignment horizontal="center"/>
    </xf>
    <xf numFmtId="0" fontId="6" fillId="7" borderId="10" xfId="6" applyBorder="1" applyAlignment="1" applyProtection="1">
      <alignment horizontal="center"/>
    </xf>
    <xf numFmtId="0" fontId="6" fillId="7" borderId="11" xfId="6" applyBorder="1" applyAlignment="1" applyProtection="1">
      <alignment horizontal="center"/>
    </xf>
    <xf numFmtId="0" fontId="1" fillId="29" borderId="7" xfId="25" applyBorder="1" applyAlignment="1">
      <alignment horizontal="left" vertical="center"/>
    </xf>
    <xf numFmtId="2" fontId="36" fillId="0" borderId="9" xfId="0" applyNumberFormat="1" applyFont="1" applyBorder="1" applyAlignment="1">
      <alignment horizontal="right" vertical="center"/>
    </xf>
    <xf numFmtId="2" fontId="36" fillId="0" borderId="10" xfId="0" applyNumberFormat="1" applyFont="1" applyBorder="1" applyAlignment="1">
      <alignment horizontal="right" vertical="center"/>
    </xf>
    <xf numFmtId="0" fontId="24" fillId="0" borderId="10" xfId="0" applyFont="1" applyBorder="1" applyAlignment="1">
      <alignment horizontal="right" vertical="center"/>
    </xf>
    <xf numFmtId="0" fontId="24" fillId="0" borderId="11" xfId="0" applyFont="1" applyBorder="1" applyAlignment="1">
      <alignment horizontal="right" vertical="center"/>
    </xf>
    <xf numFmtId="2" fontId="24" fillId="0" borderId="7" xfId="0" applyNumberFormat="1" applyFont="1" applyBorder="1" applyAlignment="1">
      <alignment horizontal="left" vertical="center"/>
    </xf>
    <xf numFmtId="0" fontId="14" fillId="0" borderId="7" xfId="0" applyFont="1" applyBorder="1" applyAlignment="1">
      <alignment horizontal="left" vertical="center"/>
    </xf>
    <xf numFmtId="2" fontId="35" fillId="4" borderId="7" xfId="0" applyNumberFormat="1" applyFont="1" applyFill="1" applyBorder="1" applyAlignment="1">
      <alignment horizontal="center" vertical="center"/>
    </xf>
    <xf numFmtId="0" fontId="14" fillId="0" borderId="9"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64" fillId="4" borderId="7" xfId="3" applyFont="1" applyBorder="1" applyAlignment="1">
      <alignment horizontal="center" vertical="center" wrapText="1"/>
    </xf>
    <xf numFmtId="0" fontId="6" fillId="19" borderId="7" xfId="12" applyFont="1" applyBorder="1" applyAlignment="1" applyProtection="1">
      <alignment horizontal="left" vertical="center" indent="1"/>
    </xf>
    <xf numFmtId="0" fontId="0" fillId="4" borderId="7" xfId="0" applyFill="1" applyBorder="1" applyAlignment="1">
      <alignment horizontal="center" vertical="center"/>
    </xf>
    <xf numFmtId="2" fontId="23" fillId="0" borderId="7" xfId="0" applyNumberFormat="1" applyFont="1" applyBorder="1" applyAlignment="1">
      <alignment horizontal="left" vertical="center"/>
    </xf>
    <xf numFmtId="0" fontId="14" fillId="0" borderId="14" xfId="0" applyFont="1" applyBorder="1" applyAlignment="1">
      <alignment horizontal="left" vertical="center"/>
    </xf>
    <xf numFmtId="0" fontId="6" fillId="16" borderId="7" xfId="9" applyBorder="1" applyAlignment="1">
      <alignment horizontal="center" vertical="center"/>
    </xf>
    <xf numFmtId="0" fontId="31" fillId="4" borderId="3" xfId="0" applyFont="1" applyFill="1" applyBorder="1" applyAlignment="1">
      <alignment horizontal="center" vertical="center"/>
    </xf>
    <xf numFmtId="0" fontId="31" fillId="4" borderId="4" xfId="0" applyFont="1" applyFill="1" applyBorder="1" applyAlignment="1">
      <alignment horizontal="center" vertical="center"/>
    </xf>
    <xf numFmtId="0" fontId="31" fillId="4" borderId="5" xfId="0" applyFont="1" applyFill="1" applyBorder="1" applyAlignment="1">
      <alignment horizontal="center" vertical="center"/>
    </xf>
    <xf numFmtId="0" fontId="7" fillId="0" borderId="6" xfId="0" applyFont="1" applyBorder="1" applyAlignment="1">
      <alignment horizontal="right" vertical="center"/>
    </xf>
    <xf numFmtId="0" fontId="7" fillId="0" borderId="7" xfId="0" applyFont="1" applyBorder="1" applyAlignment="1">
      <alignment horizontal="right" vertical="center"/>
    </xf>
    <xf numFmtId="0" fontId="7" fillId="0" borderId="6" xfId="0" applyFont="1" applyBorder="1" applyAlignment="1">
      <alignment horizontal="right" vertical="center" wrapText="1"/>
    </xf>
    <xf numFmtId="0" fontId="7" fillId="0" borderId="7" xfId="0" applyFont="1" applyBorder="1" applyAlignment="1">
      <alignment horizontal="right" vertical="center" wrapText="1"/>
    </xf>
    <xf numFmtId="0" fontId="26" fillId="0" borderId="8" xfId="0" applyFont="1" applyBorder="1" applyAlignment="1">
      <alignment horizontal="center" vertical="center"/>
    </xf>
    <xf numFmtId="49" fontId="0" fillId="0" borderId="9" xfId="0" applyNumberFormat="1" applyBorder="1" applyAlignment="1">
      <alignment horizontal="right" vertical="center"/>
    </xf>
    <xf numFmtId="49" fontId="0" fillId="0" borderId="10" xfId="0" applyNumberFormat="1" applyBorder="1" applyAlignment="1">
      <alignment horizontal="right" vertical="center"/>
    </xf>
    <xf numFmtId="0" fontId="6" fillId="19" borderId="23" xfId="12" applyFont="1" applyBorder="1" applyAlignment="1" applyProtection="1">
      <alignment horizontal="left" vertical="center" indent="1"/>
    </xf>
    <xf numFmtId="0" fontId="6" fillId="19" borderId="16" xfId="12" applyFont="1" applyBorder="1" applyAlignment="1" applyProtection="1">
      <alignment horizontal="left" vertical="center" indent="1"/>
    </xf>
    <xf numFmtId="0" fontId="6" fillId="19" borderId="17" xfId="12" applyFont="1" applyBorder="1" applyAlignment="1" applyProtection="1">
      <alignment horizontal="left" vertical="center" indent="1"/>
    </xf>
    <xf numFmtId="0" fontId="6" fillId="19" borderId="29" xfId="12" applyFont="1" applyBorder="1" applyAlignment="1" applyProtection="1">
      <alignment horizontal="left" vertical="center" indent="1"/>
    </xf>
    <xf numFmtId="0" fontId="6" fillId="19" borderId="13" xfId="12" applyFont="1" applyBorder="1" applyAlignment="1" applyProtection="1">
      <alignment horizontal="left" vertical="center" indent="1"/>
    </xf>
    <xf numFmtId="0" fontId="6" fillId="19" borderId="19" xfId="12" applyFont="1" applyBorder="1" applyAlignment="1" applyProtection="1">
      <alignment horizontal="left" vertical="center" indent="1"/>
    </xf>
    <xf numFmtId="0" fontId="24" fillId="0" borderId="7" xfId="0" applyFont="1" applyBorder="1" applyAlignment="1">
      <alignment horizontal="left" vertical="center"/>
    </xf>
    <xf numFmtId="0" fontId="24" fillId="0" borderId="9" xfId="0" applyFont="1" applyBorder="1" applyAlignment="1">
      <alignment horizontal="left" vertical="center"/>
    </xf>
    <xf numFmtId="0" fontId="24" fillId="0" borderId="10" xfId="0" applyFont="1" applyBorder="1" applyAlignment="1">
      <alignment horizontal="left" vertical="center"/>
    </xf>
    <xf numFmtId="0" fontId="24" fillId="0" borderId="11" xfId="0" applyFont="1" applyBorder="1" applyAlignment="1">
      <alignment horizontal="left" vertical="center"/>
    </xf>
    <xf numFmtId="0" fontId="35" fillId="4" borderId="9" xfId="0" applyFont="1" applyFill="1" applyBorder="1" applyAlignment="1">
      <alignment horizontal="center" vertical="center"/>
    </xf>
    <xf numFmtId="0" fontId="35" fillId="4" borderId="10" xfId="0" applyFont="1" applyFill="1" applyBorder="1" applyAlignment="1">
      <alignment horizontal="center" vertical="center"/>
    </xf>
    <xf numFmtId="2" fontId="36" fillId="0" borderId="29" xfId="0" applyNumberFormat="1" applyFont="1" applyBorder="1" applyAlignment="1">
      <alignment horizontal="right" vertical="center"/>
    </xf>
    <xf numFmtId="2" fontId="36" fillId="0" borderId="13" xfId="0" applyNumberFormat="1" applyFont="1" applyBorder="1" applyAlignment="1">
      <alignment horizontal="right" vertical="center"/>
    </xf>
    <xf numFmtId="0" fontId="14" fillId="0" borderId="9" xfId="0" applyFont="1" applyBorder="1" applyAlignment="1">
      <alignment horizontal="left" vertical="center"/>
    </xf>
    <xf numFmtId="0" fontId="14" fillId="0" borderId="10" xfId="0" applyFont="1" applyBorder="1" applyAlignment="1">
      <alignment horizontal="left" vertical="center"/>
    </xf>
    <xf numFmtId="0" fontId="14" fillId="0" borderId="11" xfId="0" applyFont="1" applyBorder="1" applyAlignment="1">
      <alignment horizontal="left" vertical="center"/>
    </xf>
    <xf numFmtId="0" fontId="38" fillId="10" borderId="14" xfId="0" applyFont="1" applyFill="1" applyBorder="1" applyAlignment="1">
      <alignment horizontal="center" vertical="center"/>
    </xf>
    <xf numFmtId="2" fontId="7" fillId="0" borderId="37" xfId="0" applyNumberFormat="1" applyFont="1" applyBorder="1" applyAlignment="1">
      <alignment horizontal="left"/>
    </xf>
    <xf numFmtId="0" fontId="7" fillId="0" borderId="37" xfId="0" applyFont="1" applyBorder="1" applyAlignment="1">
      <alignment horizontal="left"/>
    </xf>
    <xf numFmtId="0" fontId="4" fillId="38" borderId="14" xfId="30" applyFont="1" applyBorder="1" applyAlignment="1" applyProtection="1">
      <alignment horizontal="center"/>
    </xf>
    <xf numFmtId="2" fontId="7" fillId="0" borderId="7" xfId="0" applyNumberFormat="1" applyFont="1" applyBorder="1" applyAlignment="1">
      <alignment horizontal="left"/>
    </xf>
    <xf numFmtId="0" fontId="7" fillId="0" borderId="7" xfId="0" applyFont="1" applyBorder="1" applyAlignment="1">
      <alignment horizontal="left"/>
    </xf>
    <xf numFmtId="0" fontId="53" fillId="19" borderId="7" xfId="12" applyFont="1" applyBorder="1" applyAlignment="1">
      <alignment horizontal="left" vertical="center" wrapText="1" indent="1"/>
    </xf>
    <xf numFmtId="0" fontId="39" fillId="10" borderId="37" xfId="0" applyFont="1" applyFill="1" applyBorder="1" applyAlignment="1" applyProtection="1">
      <alignment horizontal="center" vertical="center"/>
      <protection locked="0"/>
    </xf>
    <xf numFmtId="0" fontId="44" fillId="0" borderId="9" xfId="0" applyFont="1" applyBorder="1" applyAlignment="1">
      <alignment horizontal="left" vertical="center"/>
    </xf>
    <xf numFmtId="0" fontId="44" fillId="0" borderId="10" xfId="0" applyFont="1" applyBorder="1" applyAlignment="1">
      <alignment horizontal="left" vertical="center"/>
    </xf>
    <xf numFmtId="0" fontId="44" fillId="0" borderId="11" xfId="0" applyFont="1" applyBorder="1" applyAlignment="1">
      <alignment horizontal="left" vertical="center"/>
    </xf>
    <xf numFmtId="0" fontId="38" fillId="10" borderId="7" xfId="0" applyFont="1" applyFill="1" applyBorder="1" applyAlignment="1" applyProtection="1">
      <alignment horizontal="center" vertical="center"/>
      <protection locked="0"/>
    </xf>
    <xf numFmtId="0" fontId="6" fillId="5" borderId="51" xfId="4" applyBorder="1" applyAlignment="1">
      <alignment horizontal="center" vertical="center" wrapText="1"/>
    </xf>
    <xf numFmtId="0" fontId="6" fillId="5" borderId="52" xfId="4" applyBorder="1" applyAlignment="1">
      <alignment horizontal="center" vertical="center" wrapText="1"/>
    </xf>
    <xf numFmtId="0" fontId="6" fillId="5" borderId="56" xfId="4" applyBorder="1" applyAlignment="1">
      <alignment horizontal="center" vertical="center" wrapText="1"/>
    </xf>
    <xf numFmtId="0" fontId="6" fillId="5" borderId="57" xfId="4" applyBorder="1" applyAlignment="1">
      <alignment horizontal="center" vertical="center" wrapText="1"/>
    </xf>
    <xf numFmtId="0" fontId="6" fillId="5" borderId="0" xfId="4" applyBorder="1" applyAlignment="1">
      <alignment horizontal="center" vertical="center" wrapText="1"/>
    </xf>
    <xf numFmtId="0" fontId="6" fillId="5" borderId="58" xfId="4" applyBorder="1" applyAlignment="1">
      <alignment horizontal="center" vertical="center" wrapText="1"/>
    </xf>
    <xf numFmtId="0" fontId="6" fillId="30" borderId="7" xfId="26" applyBorder="1" applyAlignment="1">
      <alignment horizontal="center" vertical="center"/>
    </xf>
    <xf numFmtId="0" fontId="4" fillId="7" borderId="13" xfId="6" applyFont="1" applyBorder="1" applyAlignment="1">
      <alignment horizontal="center" vertical="center"/>
    </xf>
    <xf numFmtId="0" fontId="41" fillId="0" borderId="38" xfId="0" applyFont="1" applyBorder="1" applyAlignment="1">
      <alignment horizontal="center" vertical="center" textRotation="90"/>
    </xf>
    <xf numFmtId="0" fontId="6" fillId="7" borderId="16" xfId="6" applyBorder="1" applyAlignment="1" applyProtection="1">
      <alignment horizontal="center"/>
    </xf>
    <xf numFmtId="0" fontId="6" fillId="7" borderId="17" xfId="6" applyBorder="1" applyAlignment="1" applyProtection="1">
      <alignment horizontal="center"/>
    </xf>
    <xf numFmtId="0" fontId="35" fillId="4" borderId="7" xfId="0" applyFont="1" applyFill="1" applyBorder="1" applyAlignment="1">
      <alignment horizontal="center" vertical="center"/>
    </xf>
    <xf numFmtId="0" fontId="39" fillId="4" borderId="7" xfId="0" applyFont="1" applyFill="1" applyBorder="1" applyAlignment="1">
      <alignment horizontal="center" vertical="center"/>
    </xf>
    <xf numFmtId="0" fontId="1" fillId="17" borderId="7" xfId="10" applyBorder="1" applyAlignment="1">
      <alignment horizontal="center"/>
    </xf>
    <xf numFmtId="0" fontId="1" fillId="17" borderId="7" xfId="10" applyBorder="1" applyAlignment="1">
      <alignment horizontal="center" wrapText="1"/>
    </xf>
    <xf numFmtId="0" fontId="0" fillId="0" borderId="19" xfId="0" applyBorder="1" applyAlignment="1">
      <alignment horizontal="center" vertical="center"/>
    </xf>
    <xf numFmtId="0" fontId="0" fillId="0" borderId="14" xfId="0" applyBorder="1" applyAlignment="1">
      <alignment horizontal="center" vertical="center"/>
    </xf>
    <xf numFmtId="0" fontId="18" fillId="35" borderId="9" xfId="0" applyFont="1" applyFill="1" applyBorder="1" applyAlignment="1">
      <alignment horizontal="left" vertical="center"/>
    </xf>
    <xf numFmtId="0" fontId="18" fillId="35" borderId="10" xfId="0" applyFont="1" applyFill="1" applyBorder="1" applyAlignment="1">
      <alignment horizontal="left" vertical="center"/>
    </xf>
    <xf numFmtId="0" fontId="18" fillId="35" borderId="11" xfId="0" applyFont="1" applyFill="1" applyBorder="1" applyAlignment="1">
      <alignment horizontal="left" vertical="center"/>
    </xf>
    <xf numFmtId="0" fontId="39" fillId="10" borderId="10" xfId="0" applyFont="1" applyFill="1" applyBorder="1" applyAlignment="1">
      <alignment horizontal="left" vertical="center"/>
    </xf>
    <xf numFmtId="0" fontId="39" fillId="10" borderId="11" xfId="0" applyFont="1" applyFill="1" applyBorder="1" applyAlignment="1">
      <alignment horizontal="left" vertical="center"/>
    </xf>
    <xf numFmtId="0" fontId="6" fillId="5" borderId="51" xfId="4" applyBorder="1" applyAlignment="1">
      <alignment horizontal="center"/>
    </xf>
    <xf numFmtId="0" fontId="6" fillId="5" borderId="52" xfId="4" applyBorder="1" applyAlignment="1">
      <alignment horizontal="center"/>
    </xf>
    <xf numFmtId="0" fontId="6" fillId="5" borderId="56" xfId="4" applyBorder="1" applyAlignment="1">
      <alignment horizontal="center"/>
    </xf>
    <xf numFmtId="0" fontId="2" fillId="2" borderId="57" xfId="1" applyBorder="1" applyAlignment="1">
      <alignment horizontal="center"/>
    </xf>
    <xf numFmtId="0" fontId="2" fillId="2" borderId="0" xfId="1" applyBorder="1" applyAlignment="1">
      <alignment horizontal="center"/>
    </xf>
    <xf numFmtId="0" fontId="21" fillId="3" borderId="0" xfId="2" applyFont="1" applyBorder="1" applyAlignment="1" applyProtection="1">
      <alignment horizontal="center"/>
      <protection locked="0"/>
    </xf>
    <xf numFmtId="0" fontId="2" fillId="2" borderId="53" xfId="1" applyBorder="1" applyAlignment="1">
      <alignment horizontal="right"/>
    </xf>
    <xf numFmtId="0" fontId="2" fillId="2" borderId="54" xfId="1" applyBorder="1" applyAlignment="1">
      <alignment horizontal="right"/>
    </xf>
    <xf numFmtId="2" fontId="23" fillId="21" borderId="54" xfId="15" applyNumberFormat="1" applyFont="1" applyBorder="1" applyAlignment="1">
      <alignment horizontal="center"/>
    </xf>
    <xf numFmtId="0" fontId="39" fillId="10" borderId="10" xfId="0" applyFont="1" applyFill="1" applyBorder="1" applyAlignment="1" applyProtection="1">
      <alignment horizontal="left" vertical="center"/>
      <protection locked="0"/>
    </xf>
    <xf numFmtId="0" fontId="39" fillId="10" borderId="11" xfId="0" applyFont="1" applyFill="1" applyBorder="1" applyAlignment="1" applyProtection="1">
      <alignment horizontal="left" vertical="center"/>
      <protection locked="0"/>
    </xf>
    <xf numFmtId="0" fontId="4" fillId="26" borderId="9" xfId="0" applyFont="1" applyFill="1" applyBorder="1" applyAlignment="1">
      <alignment horizontal="right" vertical="center"/>
    </xf>
    <xf numFmtId="0" fontId="4" fillId="26" borderId="10" xfId="0" applyFont="1" applyFill="1" applyBorder="1" applyAlignment="1">
      <alignment horizontal="right" vertical="center"/>
    </xf>
    <xf numFmtId="0" fontId="24" fillId="0" borderId="7" xfId="0" applyFont="1" applyBorder="1" applyAlignment="1" applyProtection="1">
      <alignment horizontal="left" vertical="center"/>
      <protection locked="0"/>
    </xf>
    <xf numFmtId="0" fontId="39" fillId="10" borderId="23" xfId="0" applyFont="1" applyFill="1" applyBorder="1" applyAlignment="1" applyProtection="1">
      <alignment horizontal="left" vertical="center"/>
      <protection locked="0"/>
    </xf>
    <xf numFmtId="0" fontId="39" fillId="10" borderId="16" xfId="0" applyFont="1" applyFill="1" applyBorder="1" applyAlignment="1" applyProtection="1">
      <alignment horizontal="left" vertical="center"/>
      <protection locked="0"/>
    </xf>
    <xf numFmtId="0" fontId="67" fillId="3" borderId="10" xfId="2" applyFont="1" applyBorder="1" applyAlignment="1" applyProtection="1">
      <alignment horizontal="left" vertical="center"/>
      <protection locked="0"/>
    </xf>
    <xf numFmtId="0" fontId="67" fillId="3" borderId="11" xfId="2" applyFont="1" applyBorder="1" applyAlignment="1" applyProtection="1">
      <alignment horizontal="left" vertical="center"/>
      <protection locked="0"/>
    </xf>
    <xf numFmtId="0" fontId="47" fillId="4" borderId="0" xfId="0" applyFont="1" applyFill="1" applyAlignment="1" applyProtection="1">
      <alignment horizontal="center" vertical="center"/>
      <protection locked="0"/>
    </xf>
    <xf numFmtId="0" fontId="47" fillId="4" borderId="33" xfId="0" applyFont="1" applyFill="1" applyBorder="1" applyAlignment="1" applyProtection="1">
      <alignment horizontal="center" vertical="center"/>
      <protection locked="0"/>
    </xf>
    <xf numFmtId="0" fontId="47" fillId="4" borderId="13" xfId="0" applyFont="1" applyFill="1" applyBorder="1" applyAlignment="1" applyProtection="1">
      <alignment horizontal="center" vertical="center"/>
      <protection locked="0"/>
    </xf>
    <xf numFmtId="0" fontId="47" fillId="4" borderId="19" xfId="0" applyFont="1" applyFill="1" applyBorder="1" applyAlignment="1" applyProtection="1">
      <alignment horizontal="center" vertical="center"/>
      <protection locked="0"/>
    </xf>
    <xf numFmtId="0" fontId="21" fillId="0" borderId="7" xfId="0" applyFont="1" applyBorder="1" applyAlignment="1" applyProtection="1">
      <alignment horizontal="left" vertical="center"/>
      <protection locked="0"/>
    </xf>
    <xf numFmtId="0" fontId="46" fillId="2" borderId="78" xfId="0" applyFont="1" applyFill="1" applyBorder="1" applyAlignment="1">
      <alignment horizontal="center" vertical="center" wrapText="1"/>
    </xf>
    <xf numFmtId="0" fontId="46" fillId="2" borderId="79" xfId="0" applyFont="1" applyFill="1" applyBorder="1" applyAlignment="1">
      <alignment horizontal="center" vertical="center" wrapText="1"/>
    </xf>
    <xf numFmtId="0" fontId="46" fillId="2" borderId="107" xfId="0" applyFont="1" applyFill="1" applyBorder="1" applyAlignment="1">
      <alignment horizontal="center" vertical="center" wrapText="1"/>
    </xf>
    <xf numFmtId="0" fontId="14" fillId="0" borderId="7" xfId="0" applyFont="1" applyBorder="1" applyAlignment="1" applyProtection="1">
      <alignment horizontal="left" vertical="center"/>
      <protection locked="0"/>
    </xf>
    <xf numFmtId="0" fontId="6" fillId="16" borderId="78" xfId="9" applyBorder="1" applyAlignment="1">
      <alignment horizontal="center" vertical="center"/>
    </xf>
    <xf numFmtId="0" fontId="6" fillId="16" borderId="107" xfId="9" applyBorder="1" applyAlignment="1">
      <alignment horizontal="center" vertical="center"/>
    </xf>
    <xf numFmtId="0" fontId="6" fillId="16" borderId="9" xfId="9" applyBorder="1" applyAlignment="1">
      <alignment horizontal="center" vertical="center"/>
    </xf>
    <xf numFmtId="0" fontId="6" fillId="16" borderId="10" xfId="9" applyBorder="1" applyAlignment="1">
      <alignment horizontal="center" vertical="center"/>
    </xf>
    <xf numFmtId="0" fontId="6" fillId="16" borderId="11" xfId="9" applyBorder="1" applyAlignment="1">
      <alignment horizontal="center" vertical="center"/>
    </xf>
    <xf numFmtId="0" fontId="39" fillId="10" borderId="9" xfId="0" applyFont="1" applyFill="1" applyBorder="1" applyAlignment="1" applyProtection="1">
      <alignment horizontal="center" vertical="center"/>
      <protection locked="0"/>
    </xf>
    <xf numFmtId="0" fontId="39" fillId="10" borderId="10" xfId="0" applyFont="1" applyFill="1" applyBorder="1" applyAlignment="1" applyProtection="1">
      <alignment horizontal="center" vertical="center"/>
      <protection locked="0"/>
    </xf>
    <xf numFmtId="0" fontId="47" fillId="4" borderId="10" xfId="0" applyFont="1" applyFill="1" applyBorder="1" applyAlignment="1" applyProtection="1">
      <alignment horizontal="center" vertical="center"/>
      <protection locked="0"/>
    </xf>
    <xf numFmtId="0" fontId="47" fillId="4" borderId="11" xfId="0" applyFont="1" applyFill="1" applyBorder="1" applyAlignment="1" applyProtection="1">
      <alignment horizontal="center" vertical="center"/>
      <protection locked="0"/>
    </xf>
    <xf numFmtId="0" fontId="53" fillId="19" borderId="23" xfId="12" applyFont="1" applyBorder="1" applyAlignment="1">
      <alignment horizontal="left" vertical="center" indent="1"/>
    </xf>
    <xf numFmtId="0" fontId="53" fillId="19" borderId="16" xfId="12" applyFont="1" applyBorder="1" applyAlignment="1">
      <alignment horizontal="left" vertical="center" indent="1"/>
    </xf>
    <xf numFmtId="0" fontId="53" fillId="19" borderId="17" xfId="12" applyFont="1" applyBorder="1" applyAlignment="1">
      <alignment horizontal="left" vertical="center" indent="1"/>
    </xf>
    <xf numFmtId="0" fontId="53" fillId="19" borderId="29" xfId="12" applyFont="1" applyBorder="1" applyAlignment="1">
      <alignment horizontal="left" vertical="center" indent="1"/>
    </xf>
    <xf numFmtId="0" fontId="53" fillId="19" borderId="0" xfId="12" applyFont="1" applyAlignment="1">
      <alignment horizontal="left" vertical="center" indent="1"/>
    </xf>
    <xf numFmtId="0" fontId="53" fillId="19" borderId="19" xfId="12" applyFont="1" applyBorder="1" applyAlignment="1">
      <alignment horizontal="left" vertical="center" indent="1"/>
    </xf>
    <xf numFmtId="0" fontId="14" fillId="10" borderId="37" xfId="0" applyFont="1" applyFill="1" applyBorder="1" applyAlignment="1" applyProtection="1">
      <alignment horizontal="center" vertical="center"/>
      <protection locked="0"/>
    </xf>
    <xf numFmtId="0" fontId="53" fillId="19" borderId="13" xfId="12" applyFont="1" applyBorder="1" applyAlignment="1">
      <alignment horizontal="left" vertical="center" indent="1"/>
    </xf>
    <xf numFmtId="0" fontId="39" fillId="10" borderId="7" xfId="0" applyFont="1" applyFill="1" applyBorder="1" applyAlignment="1" applyProtection="1">
      <alignment horizontal="center" vertical="center"/>
      <protection locked="0"/>
    </xf>
    <xf numFmtId="0" fontId="37" fillId="4" borderId="7" xfId="0" applyFont="1" applyFill="1" applyBorder="1" applyAlignment="1">
      <alignment horizontal="center" vertical="center" wrapText="1"/>
    </xf>
    <xf numFmtId="0" fontId="14" fillId="0" borderId="9" xfId="0" applyFont="1" applyBorder="1" applyAlignment="1" applyProtection="1">
      <alignment horizontal="left" vertical="center"/>
      <protection locked="0"/>
    </xf>
    <xf numFmtId="0" fontId="14" fillId="0" borderId="10" xfId="0" applyFont="1" applyBorder="1" applyAlignment="1" applyProtection="1">
      <alignment horizontal="left" vertical="center"/>
      <protection locked="0"/>
    </xf>
    <xf numFmtId="0" fontId="14" fillId="0" borderId="11" xfId="0" applyFont="1" applyBorder="1" applyAlignment="1" applyProtection="1">
      <alignment horizontal="left" vertical="center"/>
      <protection locked="0"/>
    </xf>
    <xf numFmtId="0" fontId="47" fillId="4" borderId="9" xfId="0" applyFont="1" applyFill="1" applyBorder="1" applyAlignment="1">
      <alignment horizontal="left" vertical="center"/>
    </xf>
    <xf numFmtId="0" fontId="47" fillId="4" borderId="10" xfId="0" applyFont="1" applyFill="1" applyBorder="1" applyAlignment="1">
      <alignment horizontal="left" vertical="center"/>
    </xf>
    <xf numFmtId="0" fontId="47" fillId="4" borderId="11" xfId="0" applyFont="1" applyFill="1" applyBorder="1" applyAlignment="1">
      <alignment horizontal="left" vertical="center"/>
    </xf>
    <xf numFmtId="0" fontId="21" fillId="0" borderId="9" xfId="0" applyFont="1" applyBorder="1" applyAlignment="1" applyProtection="1">
      <alignment horizontal="left" vertical="center"/>
      <protection locked="0"/>
    </xf>
    <xf numFmtId="0" fontId="21" fillId="0" borderId="10" xfId="0" applyFont="1" applyBorder="1" applyAlignment="1" applyProtection="1">
      <alignment horizontal="left" vertical="center"/>
      <protection locked="0"/>
    </xf>
    <xf numFmtId="0" fontId="21" fillId="0" borderId="11" xfId="0" applyFont="1" applyBorder="1" applyAlignment="1" applyProtection="1">
      <alignment horizontal="left" vertical="center"/>
      <protection locked="0"/>
    </xf>
    <xf numFmtId="0" fontId="46" fillId="2" borderId="23" xfId="0" applyFont="1" applyFill="1" applyBorder="1" applyAlignment="1" applyProtection="1">
      <alignment horizontal="center" vertical="center" wrapText="1"/>
      <protection locked="0"/>
    </xf>
    <xf numFmtId="0" fontId="46" fillId="2" borderId="16" xfId="0" applyFont="1" applyFill="1" applyBorder="1" applyAlignment="1" applyProtection="1">
      <alignment horizontal="center" vertical="center" wrapText="1"/>
      <protection locked="0"/>
    </xf>
    <xf numFmtId="0" fontId="46" fillId="2" borderId="17" xfId="0" applyFont="1" applyFill="1" applyBorder="1" applyAlignment="1" applyProtection="1">
      <alignment horizontal="center" vertical="center" wrapText="1"/>
      <protection locked="0"/>
    </xf>
    <xf numFmtId="0" fontId="46" fillId="2" borderId="12" xfId="0" applyFont="1" applyFill="1" applyBorder="1" applyAlignment="1" applyProtection="1">
      <alignment horizontal="center" vertical="center" wrapText="1"/>
      <protection locked="0"/>
    </xf>
    <xf numFmtId="0" fontId="46" fillId="2" borderId="0" xfId="0" applyFont="1" applyFill="1" applyAlignment="1" applyProtection="1">
      <alignment horizontal="center" vertical="center" wrapText="1"/>
      <protection locked="0"/>
    </xf>
    <xf numFmtId="0" fontId="46" fillId="2" borderId="33" xfId="0" applyFont="1" applyFill="1" applyBorder="1" applyAlignment="1" applyProtection="1">
      <alignment horizontal="center" vertical="center" wrapText="1"/>
      <protection locked="0"/>
    </xf>
    <xf numFmtId="0" fontId="46" fillId="2" borderId="29" xfId="0" applyFont="1" applyFill="1" applyBorder="1" applyAlignment="1" applyProtection="1">
      <alignment horizontal="center" vertical="center" wrapText="1"/>
      <protection locked="0"/>
    </xf>
    <xf numFmtId="0" fontId="46" fillId="2" borderId="13" xfId="0" applyFont="1" applyFill="1" applyBorder="1" applyAlignment="1" applyProtection="1">
      <alignment horizontal="center" vertical="center" wrapText="1"/>
      <protection locked="0"/>
    </xf>
    <xf numFmtId="0" fontId="46" fillId="2" borderId="19" xfId="0" applyFont="1" applyFill="1" applyBorder="1" applyAlignment="1" applyProtection="1">
      <alignment horizontal="center" vertical="center" wrapText="1"/>
      <protection locked="0"/>
    </xf>
    <xf numFmtId="0" fontId="6" fillId="19" borderId="9" xfId="12" applyFont="1" applyBorder="1" applyAlignment="1" applyProtection="1">
      <alignment horizontal="center" vertical="center"/>
      <protection locked="0"/>
    </xf>
    <xf numFmtId="0" fontId="6" fillId="19" borderId="10" xfId="12" applyFont="1" applyBorder="1" applyAlignment="1" applyProtection="1">
      <alignment horizontal="center" vertical="center"/>
      <protection locked="0"/>
    </xf>
    <xf numFmtId="0" fontId="6" fillId="19" borderId="11" xfId="12" applyFont="1" applyBorder="1" applyAlignment="1" applyProtection="1">
      <alignment horizontal="center" vertical="center"/>
      <protection locked="0"/>
    </xf>
    <xf numFmtId="0" fontId="39" fillId="10" borderId="11" xfId="0" applyFont="1" applyFill="1" applyBorder="1" applyAlignment="1" applyProtection="1">
      <alignment horizontal="center" vertical="center"/>
      <protection locked="0"/>
    </xf>
    <xf numFmtId="0" fontId="39" fillId="4" borderId="43" xfId="0" applyFont="1" applyFill="1" applyBorder="1" applyAlignment="1" applyProtection="1">
      <alignment horizontal="left" vertical="center" wrapText="1"/>
      <protection locked="0"/>
    </xf>
    <xf numFmtId="0" fontId="39" fillId="4" borderId="44" xfId="0" applyFont="1" applyFill="1" applyBorder="1" applyAlignment="1" applyProtection="1">
      <alignment horizontal="left" vertical="center" wrapText="1"/>
      <protection locked="0"/>
    </xf>
    <xf numFmtId="0" fontId="39" fillId="4" borderId="45" xfId="0" applyFont="1" applyFill="1" applyBorder="1" applyAlignment="1" applyProtection="1">
      <alignment horizontal="left" vertical="center" wrapText="1"/>
      <protection locked="0"/>
    </xf>
    <xf numFmtId="0" fontId="39" fillId="10" borderId="23" xfId="0" applyFont="1" applyFill="1" applyBorder="1" applyAlignment="1" applyProtection="1">
      <alignment horizontal="center" vertical="center"/>
      <protection locked="0"/>
    </xf>
    <xf numFmtId="0" fontId="39" fillId="10" borderId="16" xfId="0" applyFont="1" applyFill="1" applyBorder="1" applyAlignment="1" applyProtection="1">
      <alignment horizontal="center" vertical="center"/>
      <protection locked="0"/>
    </xf>
    <xf numFmtId="0" fontId="39" fillId="10" borderId="17" xfId="0" applyFont="1" applyFill="1" applyBorder="1" applyAlignment="1" applyProtection="1">
      <alignment horizontal="center" vertical="center"/>
      <protection locked="0"/>
    </xf>
    <xf numFmtId="0" fontId="39" fillId="10" borderId="29" xfId="0" applyFont="1" applyFill="1" applyBorder="1" applyAlignment="1" applyProtection="1">
      <alignment horizontal="center" vertical="center"/>
      <protection locked="0"/>
    </xf>
    <xf numFmtId="0" fontId="39" fillId="10" borderId="13" xfId="0" applyFont="1" applyFill="1" applyBorder="1" applyAlignment="1" applyProtection="1">
      <alignment horizontal="center" vertical="center"/>
      <protection locked="0"/>
    </xf>
    <xf numFmtId="0" fontId="39" fillId="10" borderId="19" xfId="0" applyFont="1" applyFill="1" applyBorder="1" applyAlignment="1" applyProtection="1">
      <alignment horizontal="center" vertical="center"/>
      <protection locked="0"/>
    </xf>
    <xf numFmtId="0" fontId="39" fillId="4" borderId="9" xfId="0" applyFont="1" applyFill="1" applyBorder="1" applyAlignment="1" applyProtection="1">
      <alignment horizontal="left" vertical="center"/>
      <protection locked="0"/>
    </xf>
    <xf numFmtId="0" fontId="39" fillId="4" borderId="10" xfId="0" applyFont="1" applyFill="1" applyBorder="1" applyAlignment="1" applyProtection="1">
      <alignment horizontal="left" vertical="center"/>
      <protection locked="0"/>
    </xf>
    <xf numFmtId="0" fontId="39" fillId="4" borderId="11" xfId="0" applyFont="1" applyFill="1" applyBorder="1" applyAlignment="1" applyProtection="1">
      <alignment horizontal="left" vertical="center"/>
      <protection locked="0"/>
    </xf>
    <xf numFmtId="0" fontId="49" fillId="4" borderId="43" xfId="0" applyFont="1" applyFill="1" applyBorder="1" applyAlignment="1" applyProtection="1">
      <alignment horizontal="left" vertical="center" wrapText="1"/>
      <protection locked="0"/>
    </xf>
    <xf numFmtId="0" fontId="6" fillId="7" borderId="51" xfId="6" applyBorder="1" applyAlignment="1">
      <alignment horizontal="center" vertical="center"/>
    </xf>
    <xf numFmtId="0" fontId="6" fillId="7" borderId="53" xfId="6" applyBorder="1" applyAlignment="1">
      <alignment horizontal="center" vertical="center"/>
    </xf>
    <xf numFmtId="2" fontId="23" fillId="0" borderId="14" xfId="0" applyNumberFormat="1" applyFont="1" applyBorder="1" applyAlignment="1">
      <alignment horizontal="left" vertical="center"/>
    </xf>
    <xf numFmtId="0" fontId="72" fillId="23" borderId="10" xfId="0" applyFont="1" applyFill="1" applyBorder="1" applyAlignment="1" applyProtection="1">
      <alignment horizontal="left" vertical="center" indent="1"/>
      <protection locked="0"/>
    </xf>
    <xf numFmtId="0" fontId="72" fillId="23" borderId="11" xfId="0" applyFont="1" applyFill="1" applyBorder="1" applyAlignment="1" applyProtection="1">
      <alignment horizontal="left" vertical="center" indent="1"/>
      <protection locked="0"/>
    </xf>
    <xf numFmtId="0" fontId="7" fillId="0" borderId="15" xfId="0" applyFont="1" applyBorder="1" applyAlignment="1">
      <alignment horizontal="right" vertical="center" wrapText="1"/>
    </xf>
    <xf numFmtId="0" fontId="7" fillId="0" borderId="16" xfId="0" applyFont="1" applyBorder="1" applyAlignment="1">
      <alignment horizontal="right" vertical="center" wrapText="1"/>
    </xf>
    <xf numFmtId="0" fontId="7" fillId="0" borderId="17" xfId="0" applyFont="1" applyBorder="1" applyAlignment="1">
      <alignment horizontal="right" vertical="center" wrapText="1"/>
    </xf>
    <xf numFmtId="0" fontId="7" fillId="0" borderId="18" xfId="0" applyFont="1" applyBorder="1" applyAlignment="1">
      <alignment horizontal="right" vertical="center" wrapText="1"/>
    </xf>
    <xf numFmtId="0" fontId="7" fillId="0" borderId="13" xfId="0" applyFont="1" applyBorder="1" applyAlignment="1">
      <alignment horizontal="right" vertical="center" wrapText="1"/>
    </xf>
    <xf numFmtId="0" fontId="7" fillId="0" borderId="19" xfId="0" applyFont="1" applyBorder="1" applyAlignment="1">
      <alignment horizontal="right" vertical="center" wrapText="1"/>
    </xf>
    <xf numFmtId="0" fontId="12" fillId="14" borderId="8" xfId="0" applyFont="1" applyFill="1" applyBorder="1" applyAlignment="1">
      <alignment horizontal="center" vertical="center"/>
    </xf>
    <xf numFmtId="0" fontId="7" fillId="0" borderId="20" xfId="0" applyFont="1" applyBorder="1" applyAlignment="1">
      <alignment horizontal="right" vertical="center"/>
    </xf>
    <xf numFmtId="0" fontId="7" fillId="0" borderId="21" xfId="0" applyFont="1" applyBorder="1" applyAlignment="1">
      <alignment horizontal="right" vertical="center"/>
    </xf>
    <xf numFmtId="0" fontId="34" fillId="0" borderId="8" xfId="0" applyFont="1" applyBorder="1" applyAlignment="1">
      <alignment horizontal="center" vertical="center" wrapText="1"/>
    </xf>
    <xf numFmtId="0" fontId="34" fillId="0" borderId="22" xfId="0" applyFont="1" applyBorder="1" applyAlignment="1">
      <alignment horizontal="center" vertical="center" wrapText="1"/>
    </xf>
    <xf numFmtId="0" fontId="18" fillId="3" borderId="71" xfId="2" applyFont="1" applyBorder="1" applyAlignment="1">
      <alignment horizontal="right" vertical="center"/>
    </xf>
    <xf numFmtId="0" fontId="18" fillId="3" borderId="72" xfId="2" applyFont="1" applyBorder="1" applyAlignment="1">
      <alignment horizontal="right" vertical="center"/>
    </xf>
    <xf numFmtId="0" fontId="21" fillId="4" borderId="73" xfId="3" applyFont="1" applyBorder="1" applyAlignment="1" applyProtection="1">
      <alignment horizontal="center" vertical="center"/>
      <protection locked="0"/>
    </xf>
    <xf numFmtId="0" fontId="21" fillId="4" borderId="74" xfId="3" applyFont="1" applyBorder="1" applyAlignment="1" applyProtection="1">
      <alignment horizontal="center" vertical="center"/>
      <protection locked="0"/>
    </xf>
    <xf numFmtId="0" fontId="18" fillId="2" borderId="75" xfId="1" applyFont="1" applyBorder="1" applyAlignment="1">
      <alignment horizontal="right" vertical="center"/>
    </xf>
    <xf numFmtId="0" fontId="18" fillId="2" borderId="76" xfId="1" applyFont="1" applyBorder="1" applyAlignment="1">
      <alignment horizontal="right" vertical="center"/>
    </xf>
    <xf numFmtId="0" fontId="21" fillId="4" borderId="76" xfId="3" applyFont="1" applyBorder="1" applyAlignment="1" applyProtection="1">
      <alignment horizontal="center" vertical="center"/>
      <protection locked="0"/>
    </xf>
    <xf numFmtId="0" fontId="21" fillId="4" borderId="77" xfId="3" applyFont="1" applyBorder="1" applyAlignment="1" applyProtection="1">
      <alignment horizontal="center" vertical="center"/>
      <protection locked="0"/>
    </xf>
    <xf numFmtId="14" fontId="0" fillId="0" borderId="10" xfId="0" applyNumberFormat="1" applyBorder="1" applyAlignment="1">
      <alignment horizontal="center"/>
    </xf>
    <xf numFmtId="14" fontId="0" fillId="0" borderId="11" xfId="0" applyNumberFormat="1" applyBorder="1" applyAlignment="1">
      <alignment horizontal="center"/>
    </xf>
    <xf numFmtId="0" fontId="4" fillId="38" borderId="35" xfId="30" applyFont="1" applyBorder="1" applyAlignment="1" applyProtection="1">
      <alignment horizontal="center"/>
      <protection locked="0"/>
    </xf>
    <xf numFmtId="0" fontId="4" fillId="38" borderId="40" xfId="30" applyFont="1" applyBorder="1" applyAlignment="1" applyProtection="1">
      <alignment horizontal="center"/>
      <protection locked="0"/>
    </xf>
    <xf numFmtId="0" fontId="4" fillId="38" borderId="35" xfId="30" applyFont="1" applyBorder="1" applyAlignment="1" applyProtection="1">
      <alignment horizontal="center"/>
    </xf>
    <xf numFmtId="0" fontId="4" fillId="38" borderId="40" xfId="30" applyFont="1" applyBorder="1" applyAlignment="1" applyProtection="1">
      <alignment horizontal="center"/>
    </xf>
    <xf numFmtId="0" fontId="63" fillId="30" borderId="23" xfId="26" applyFont="1" applyBorder="1" applyAlignment="1" applyProtection="1">
      <alignment horizontal="center" vertical="center"/>
      <protection locked="0"/>
    </xf>
    <xf numFmtId="0" fontId="63" fillId="30" borderId="16" xfId="26" applyFont="1" applyBorder="1" applyAlignment="1" applyProtection="1">
      <alignment horizontal="center" vertical="center"/>
      <protection locked="0"/>
    </xf>
    <xf numFmtId="0" fontId="63" fillId="30" borderId="17" xfId="26" applyFont="1" applyBorder="1" applyAlignment="1" applyProtection="1">
      <alignment horizontal="center" vertical="center"/>
      <protection locked="0"/>
    </xf>
    <xf numFmtId="0" fontId="63" fillId="30" borderId="29" xfId="26" applyFont="1" applyBorder="1" applyAlignment="1" applyProtection="1">
      <alignment horizontal="center" vertical="center"/>
      <protection locked="0"/>
    </xf>
    <xf numFmtId="0" fontId="63" fillId="30" borderId="13" xfId="26" applyFont="1" applyBorder="1" applyAlignment="1" applyProtection="1">
      <alignment horizontal="center" vertical="center"/>
      <protection locked="0"/>
    </xf>
    <xf numFmtId="0" fontId="63" fillId="30" borderId="19" xfId="26" applyFont="1" applyBorder="1" applyAlignment="1" applyProtection="1">
      <alignment horizontal="center" vertical="center"/>
      <protection locked="0"/>
    </xf>
    <xf numFmtId="0" fontId="6" fillId="5" borderId="54" xfId="4" applyBorder="1" applyAlignment="1">
      <alignment horizontal="center" vertical="center" wrapText="1"/>
    </xf>
    <xf numFmtId="0" fontId="73" fillId="5" borderId="70" xfId="22" applyFont="1" applyFill="1" applyAlignment="1">
      <alignment horizontal="center"/>
    </xf>
    <xf numFmtId="0" fontId="14" fillId="0" borderId="7" xfId="0" applyFont="1" applyBorder="1" applyAlignment="1">
      <alignment horizontal="left" vertical="center" indent="1"/>
    </xf>
    <xf numFmtId="0" fontId="53" fillId="19" borderId="7" xfId="12" applyFont="1" applyBorder="1" applyAlignment="1">
      <alignment horizontal="left" vertical="center" indent="1"/>
    </xf>
    <xf numFmtId="0" fontId="4" fillId="5" borderId="10" xfId="4" applyFont="1" applyBorder="1" applyAlignment="1">
      <alignment horizontal="right" vertical="center"/>
    </xf>
    <xf numFmtId="0" fontId="47" fillId="4" borderId="9" xfId="0" applyFont="1" applyFill="1" applyBorder="1" applyAlignment="1" applyProtection="1">
      <alignment horizontal="center" vertical="center"/>
      <protection locked="0"/>
    </xf>
    <xf numFmtId="0" fontId="47" fillId="10" borderId="9" xfId="0" applyFont="1" applyFill="1" applyBorder="1" applyAlignment="1" applyProtection="1">
      <alignment horizontal="center" vertical="center"/>
      <protection locked="0"/>
    </xf>
    <xf numFmtId="0" fontId="47" fillId="10" borderId="10" xfId="0" applyFont="1" applyFill="1" applyBorder="1" applyAlignment="1" applyProtection="1">
      <alignment horizontal="center" vertical="center"/>
      <protection locked="0"/>
    </xf>
    <xf numFmtId="0" fontId="47" fillId="10" borderId="11" xfId="0" applyFont="1" applyFill="1" applyBorder="1" applyAlignment="1" applyProtection="1">
      <alignment horizontal="center" vertical="center"/>
      <protection locked="0"/>
    </xf>
    <xf numFmtId="0" fontId="0" fillId="0" borderId="7" xfId="0" applyBorder="1" applyAlignment="1">
      <alignment horizontal="center" vertical="center"/>
    </xf>
    <xf numFmtId="0" fontId="45" fillId="3" borderId="0" xfId="22" applyFill="1" applyBorder="1" applyAlignment="1">
      <alignment horizontal="center" vertical="center" wrapText="1"/>
    </xf>
    <xf numFmtId="0" fontId="45" fillId="3" borderId="33" xfId="22" applyFill="1" applyBorder="1" applyAlignment="1">
      <alignment horizontal="center" vertical="center" wrapText="1"/>
    </xf>
    <xf numFmtId="0" fontId="45" fillId="3" borderId="70" xfId="22" applyFill="1" applyAlignment="1">
      <alignment horizontal="center" vertical="center" wrapText="1"/>
    </xf>
    <xf numFmtId="0" fontId="45" fillId="3" borderId="219" xfId="22" applyFill="1" applyBorder="1" applyAlignment="1">
      <alignment horizontal="center" vertical="center" wrapText="1"/>
    </xf>
    <xf numFmtId="0" fontId="0" fillId="0" borderId="38" xfId="0" applyBorder="1" applyAlignment="1">
      <alignment horizontal="center" vertical="center"/>
    </xf>
    <xf numFmtId="0" fontId="53" fillId="19" borderId="23" xfId="12" applyFont="1" applyBorder="1" applyAlignment="1">
      <alignment horizontal="center" vertical="center"/>
    </xf>
    <xf numFmtId="0" fontId="53" fillId="19" borderId="16" xfId="12" applyFont="1" applyBorder="1" applyAlignment="1">
      <alignment horizontal="center" vertical="center"/>
    </xf>
    <xf numFmtId="0" fontId="53" fillId="19" borderId="17" xfId="12" applyFont="1" applyBorder="1" applyAlignment="1">
      <alignment horizontal="center" vertical="center"/>
    </xf>
    <xf numFmtId="0" fontId="53" fillId="19" borderId="12" xfId="12" applyFont="1" applyBorder="1" applyAlignment="1">
      <alignment horizontal="center" vertical="center"/>
    </xf>
    <xf numFmtId="0" fontId="53" fillId="19" borderId="0" xfId="12" applyFont="1" applyBorder="1" applyAlignment="1">
      <alignment horizontal="center" vertical="center"/>
    </xf>
    <xf numFmtId="0" fontId="53" fillId="19" borderId="33" xfId="12" applyFont="1" applyBorder="1" applyAlignment="1">
      <alignment horizontal="center" vertical="center"/>
    </xf>
    <xf numFmtId="0" fontId="6" fillId="5" borderId="23" xfId="4" applyBorder="1" applyAlignment="1" applyProtection="1">
      <alignment horizontal="center" vertical="center"/>
      <protection locked="0"/>
    </xf>
    <xf numFmtId="0" fontId="6" fillId="5" borderId="16" xfId="4" applyBorder="1" applyAlignment="1" applyProtection="1">
      <alignment horizontal="center" vertical="center"/>
      <protection locked="0"/>
    </xf>
    <xf numFmtId="0" fontId="6" fillId="5" borderId="29" xfId="4" applyBorder="1" applyAlignment="1" applyProtection="1">
      <alignment horizontal="center" vertical="center"/>
      <protection locked="0"/>
    </xf>
    <xf numFmtId="0" fontId="6" fillId="5" borderId="13" xfId="4" applyBorder="1" applyAlignment="1" applyProtection="1">
      <alignment horizontal="center" vertical="center"/>
      <protection locked="0"/>
    </xf>
    <xf numFmtId="44" fontId="23" fillId="3" borderId="220" xfId="2" applyNumberFormat="1" applyFont="1" applyBorder="1" applyAlignment="1" applyProtection="1">
      <alignment horizontal="center" vertical="center"/>
    </xf>
    <xf numFmtId="0" fontId="23" fillId="3" borderId="221" xfId="2" applyFont="1" applyBorder="1" applyAlignment="1" applyProtection="1">
      <alignment horizontal="center" vertical="center"/>
    </xf>
    <xf numFmtId="0" fontId="14" fillId="0" borderId="14" xfId="0" applyFont="1" applyBorder="1" applyAlignment="1">
      <alignment horizontal="center"/>
    </xf>
    <xf numFmtId="0" fontId="6" fillId="37" borderId="14" xfId="29" applyBorder="1" applyAlignment="1">
      <alignment horizontal="center"/>
    </xf>
    <xf numFmtId="2" fontId="24" fillId="0" borderId="12" xfId="0" applyNumberFormat="1" applyFont="1" applyBorder="1" applyAlignment="1">
      <alignment horizontal="center" vertical="center"/>
    </xf>
    <xf numFmtId="2" fontId="24" fillId="0" borderId="0" xfId="0" applyNumberFormat="1" applyFont="1" applyAlignment="1">
      <alignment horizontal="center" vertical="center"/>
    </xf>
    <xf numFmtId="2" fontId="24" fillId="0" borderId="33" xfId="0" applyNumberFormat="1" applyFont="1" applyBorder="1" applyAlignment="1">
      <alignment horizontal="center" vertical="center"/>
    </xf>
    <xf numFmtId="165" fontId="24" fillId="0" borderId="12" xfId="0" applyNumberFormat="1" applyFont="1" applyBorder="1" applyAlignment="1">
      <alignment horizontal="center" vertical="center"/>
    </xf>
    <xf numFmtId="165" fontId="24" fillId="0" borderId="33" xfId="0" applyNumberFormat="1" applyFont="1" applyBorder="1" applyAlignment="1">
      <alignment horizontal="center" vertical="center"/>
    </xf>
    <xf numFmtId="0" fontId="4" fillId="38" borderId="7" xfId="30" applyFont="1" applyBorder="1" applyAlignment="1" applyProtection="1">
      <alignment horizontal="center"/>
    </xf>
    <xf numFmtId="0" fontId="14" fillId="0" borderId="96" xfId="0" applyFont="1" applyBorder="1" applyAlignment="1" applyProtection="1">
      <alignment horizontal="left"/>
      <protection locked="0"/>
    </xf>
    <xf numFmtId="0" fontId="27" fillId="0" borderId="97" xfId="3" applyFont="1" applyFill="1" applyBorder="1" applyAlignment="1" applyProtection="1">
      <alignment horizontal="left"/>
      <protection locked="0"/>
    </xf>
    <xf numFmtId="0" fontId="27" fillId="0" borderId="98" xfId="3" applyFont="1" applyFill="1" applyBorder="1" applyAlignment="1" applyProtection="1">
      <alignment horizontal="left"/>
      <protection locked="0"/>
    </xf>
    <xf numFmtId="0" fontId="1" fillId="12" borderId="134" xfId="7" applyBorder="1" applyAlignment="1">
      <alignment horizontal="center"/>
    </xf>
    <xf numFmtId="0" fontId="27" fillId="4" borderId="2" xfId="3" applyFont="1" applyAlignment="1" applyProtection="1">
      <alignment horizontal="left" wrapText="1"/>
      <protection locked="0"/>
    </xf>
    <xf numFmtId="0" fontId="4" fillId="7" borderId="96" xfId="6" applyFont="1" applyBorder="1" applyAlignment="1">
      <alignment horizontal="center"/>
    </xf>
    <xf numFmtId="0" fontId="4" fillId="16" borderId="144" xfId="9" applyFont="1" applyBorder="1" applyAlignment="1" applyProtection="1">
      <alignment horizontal="center" wrapText="1"/>
    </xf>
    <xf numFmtId="0" fontId="4" fillId="16" borderId="145" xfId="9" applyFont="1" applyBorder="1" applyAlignment="1" applyProtection="1">
      <alignment horizontal="center" wrapText="1"/>
    </xf>
    <xf numFmtId="0" fontId="4" fillId="16" borderId="146" xfId="9" applyFont="1" applyBorder="1" applyAlignment="1" applyProtection="1">
      <alignment horizontal="center" wrapText="1"/>
    </xf>
    <xf numFmtId="0" fontId="4" fillId="16" borderId="147" xfId="9" applyFont="1" applyBorder="1" applyAlignment="1" applyProtection="1">
      <alignment horizontal="center" wrapText="1"/>
    </xf>
    <xf numFmtId="0" fontId="4" fillId="16" borderId="96" xfId="9" applyFont="1" applyBorder="1" applyAlignment="1" applyProtection="1">
      <alignment horizontal="center" wrapText="1"/>
    </xf>
    <xf numFmtId="0" fontId="0" fillId="0" borderId="136" xfId="0" applyBorder="1" applyAlignment="1">
      <alignment horizontal="center"/>
    </xf>
    <xf numFmtId="0" fontId="0" fillId="0" borderId="98" xfId="0" applyBorder="1" applyAlignment="1">
      <alignment horizontal="center"/>
    </xf>
    <xf numFmtId="0" fontId="18" fillId="0" borderId="136" xfId="7" applyFont="1" applyFill="1" applyBorder="1" applyAlignment="1" applyProtection="1">
      <alignment horizontal="right"/>
    </xf>
    <xf numFmtId="0" fontId="21" fillId="0" borderId="136" xfId="2" applyFont="1" applyFill="1" applyBorder="1" applyAlignment="1">
      <alignment horizontal="right"/>
    </xf>
    <xf numFmtId="0" fontId="21" fillId="0" borderId="121" xfId="2" applyFont="1" applyFill="1" applyBorder="1" applyAlignment="1">
      <alignment horizontal="right"/>
    </xf>
    <xf numFmtId="0" fontId="21" fillId="0" borderId="122" xfId="2" applyFont="1" applyFill="1" applyBorder="1" applyAlignment="1">
      <alignment horizontal="right"/>
    </xf>
    <xf numFmtId="0" fontId="19" fillId="22" borderId="96" xfId="16" applyFont="1" applyBorder="1" applyAlignment="1">
      <alignment horizontal="center" wrapText="1"/>
    </xf>
    <xf numFmtId="0" fontId="4" fillId="16" borderId="129" xfId="9" applyFont="1" applyBorder="1" applyAlignment="1" applyProtection="1">
      <alignment horizontal="center" wrapText="1"/>
    </xf>
    <xf numFmtId="0" fontId="27" fillId="4" borderId="218" xfId="3" applyFont="1" applyBorder="1" applyAlignment="1" applyProtection="1">
      <alignment horizontal="left" wrapText="1"/>
      <protection locked="0"/>
    </xf>
    <xf numFmtId="0" fontId="27" fillId="4" borderId="47" xfId="3" applyFont="1" applyBorder="1" applyAlignment="1" applyProtection="1">
      <alignment horizontal="left" wrapText="1"/>
      <protection locked="0"/>
    </xf>
    <xf numFmtId="0" fontId="0" fillId="4" borderId="96" xfId="3" applyFont="1" applyBorder="1" applyAlignment="1" applyProtection="1">
      <alignment horizontal="center" wrapText="1"/>
    </xf>
    <xf numFmtId="0" fontId="18" fillId="0" borderId="249" xfId="6" applyFont="1" applyFill="1" applyBorder="1" applyAlignment="1" applyProtection="1">
      <alignment horizontal="center" vertical="center"/>
      <protection locked="0"/>
    </xf>
    <xf numFmtId="0" fontId="18" fillId="0" borderId="250" xfId="6" applyFont="1" applyFill="1" applyBorder="1" applyAlignment="1" applyProtection="1">
      <alignment horizontal="center" vertical="center"/>
      <protection locked="0"/>
    </xf>
    <xf numFmtId="0" fontId="18" fillId="0" borderId="251" xfId="6" applyFont="1" applyFill="1" applyBorder="1" applyAlignment="1" applyProtection="1">
      <alignment horizontal="center" vertical="center"/>
      <protection locked="0"/>
    </xf>
    <xf numFmtId="0" fontId="0" fillId="0" borderId="97" xfId="0" applyBorder="1" applyAlignment="1">
      <alignment horizontal="center"/>
    </xf>
    <xf numFmtId="0" fontId="6" fillId="5" borderId="97" xfId="4" applyBorder="1" applyAlignment="1">
      <alignment horizontal="center"/>
    </xf>
    <xf numFmtId="0" fontId="6" fillId="5" borderId="136" xfId="4" applyBorder="1" applyAlignment="1">
      <alignment horizontal="center"/>
    </xf>
    <xf numFmtId="0" fontId="6" fillId="5" borderId="98" xfId="4" applyBorder="1" applyAlignment="1">
      <alignment horizontal="center"/>
    </xf>
    <xf numFmtId="0" fontId="0" fillId="0" borderId="0" xfId="0" applyAlignment="1">
      <alignment horizontal="center"/>
    </xf>
    <xf numFmtId="0" fontId="19" fillId="15" borderId="0" xfId="1" applyFont="1" applyFill="1" applyBorder="1" applyAlignment="1">
      <alignment horizontal="center"/>
    </xf>
    <xf numFmtId="0" fontId="19" fillId="12" borderId="0" xfId="7" applyFont="1" applyBorder="1" applyAlignment="1">
      <alignment horizontal="center"/>
    </xf>
    <xf numFmtId="0" fontId="14" fillId="12" borderId="128" xfId="7" applyFont="1" applyBorder="1" applyAlignment="1" applyProtection="1">
      <alignment horizontal="center"/>
      <protection locked="0"/>
    </xf>
    <xf numFmtId="0" fontId="19" fillId="3" borderId="110" xfId="2" applyFont="1" applyBorder="1" applyAlignment="1">
      <alignment horizontal="center"/>
    </xf>
    <xf numFmtId="0" fontId="18" fillId="0" borderId="121" xfId="2" applyFont="1" applyFill="1" applyBorder="1" applyAlignment="1">
      <alignment horizontal="right"/>
    </xf>
    <xf numFmtId="0" fontId="18" fillId="0" borderId="122" xfId="2" applyFont="1" applyFill="1" applyBorder="1" applyAlignment="1">
      <alignment horizontal="right"/>
    </xf>
    <xf numFmtId="0" fontId="4" fillId="16" borderId="98" xfId="9" applyFont="1" applyBorder="1" applyAlignment="1">
      <alignment horizontal="center" wrapText="1"/>
    </xf>
    <xf numFmtId="0" fontId="4" fillId="16" borderId="96" xfId="9" applyFont="1" applyBorder="1" applyAlignment="1">
      <alignment horizontal="center" wrapText="1"/>
    </xf>
    <xf numFmtId="0" fontId="7" fillId="0" borderId="110" xfId="0" applyFont="1" applyBorder="1" applyAlignment="1">
      <alignment horizontal="center"/>
    </xf>
    <xf numFmtId="0" fontId="0" fillId="0" borderId="252" xfId="0" applyBorder="1" applyAlignment="1">
      <alignment horizontal="center"/>
    </xf>
    <xf numFmtId="0" fontId="7" fillId="0" borderId="252" xfId="0" applyFont="1" applyBorder="1" applyAlignment="1">
      <alignment horizontal="center"/>
    </xf>
    <xf numFmtId="0" fontId="14" fillId="4" borderId="26" xfId="3" applyFont="1" applyBorder="1" applyAlignment="1" applyProtection="1">
      <alignment horizontal="left" vertical="top"/>
      <protection locked="0"/>
    </xf>
    <xf numFmtId="0" fontId="14" fillId="4" borderId="27" xfId="3" applyFont="1" applyBorder="1" applyAlignment="1" applyProtection="1">
      <alignment horizontal="left" vertical="top"/>
      <protection locked="0"/>
    </xf>
    <xf numFmtId="0" fontId="14" fillId="4" borderId="135" xfId="3" applyFont="1" applyBorder="1" applyAlignment="1" applyProtection="1">
      <alignment horizontal="left" vertical="top"/>
      <protection locked="0"/>
    </xf>
    <xf numFmtId="0" fontId="14" fillId="4" borderId="149" xfId="3" applyFont="1" applyBorder="1" applyAlignment="1" applyProtection="1">
      <alignment horizontal="left" vertical="top"/>
      <protection locked="0"/>
    </xf>
    <xf numFmtId="0" fontId="21" fillId="0" borderId="98" xfId="2" applyFont="1" applyFill="1" applyBorder="1" applyAlignment="1">
      <alignment horizontal="right"/>
    </xf>
    <xf numFmtId="0" fontId="21" fillId="0" borderId="128" xfId="7" applyFont="1" applyFill="1" applyBorder="1" applyAlignment="1" applyProtection="1">
      <alignment horizontal="right"/>
    </xf>
    <xf numFmtId="0" fontId="69" fillId="0" borderId="134" xfId="27" applyFont="1" applyBorder="1" applyAlignment="1">
      <alignment horizontal="right"/>
    </xf>
    <xf numFmtId="166" fontId="69" fillId="0" borderId="134" xfId="27" applyNumberFormat="1" applyFont="1" applyBorder="1" applyAlignment="1">
      <alignment horizontal="left"/>
    </xf>
    <xf numFmtId="0" fontId="0" fillId="4" borderId="136" xfId="3" applyFont="1" applyBorder="1" applyAlignment="1">
      <alignment horizontal="center" wrapText="1"/>
    </xf>
    <xf numFmtId="0" fontId="0" fillId="4" borderId="98" xfId="3" applyFont="1" applyBorder="1" applyAlignment="1">
      <alignment horizontal="center" wrapText="1"/>
    </xf>
    <xf numFmtId="0" fontId="60" fillId="3" borderId="158" xfId="2" applyFont="1" applyBorder="1" applyAlignment="1">
      <alignment horizontal="right"/>
    </xf>
    <xf numFmtId="0" fontId="60" fillId="3" borderId="163" xfId="2" applyFont="1" applyBorder="1" applyAlignment="1">
      <alignment horizontal="right"/>
    </xf>
    <xf numFmtId="0" fontId="27" fillId="4" borderId="27" xfId="3" applyFont="1" applyBorder="1" applyAlignment="1" applyProtection="1">
      <alignment horizontal="left" wrapText="1"/>
      <protection locked="0"/>
    </xf>
    <xf numFmtId="0" fontId="27" fillId="4" borderId="140" xfId="3" applyFont="1" applyBorder="1" applyAlignment="1" applyProtection="1">
      <alignment horizontal="left" wrapText="1"/>
      <protection locked="0"/>
    </xf>
    <xf numFmtId="0" fontId="27" fillId="4" borderId="142" xfId="3" applyFont="1" applyBorder="1" applyAlignment="1" applyProtection="1">
      <alignment horizontal="left" wrapText="1"/>
      <protection locked="0"/>
    </xf>
    <xf numFmtId="0" fontId="27" fillId="4" borderId="143" xfId="3" applyFont="1" applyBorder="1" applyAlignment="1" applyProtection="1">
      <alignment horizontal="left" wrapText="1"/>
      <protection locked="0"/>
    </xf>
    <xf numFmtId="0" fontId="4" fillId="16" borderId="97" xfId="9" applyFont="1" applyBorder="1" applyAlignment="1" applyProtection="1">
      <alignment horizontal="center" wrapText="1"/>
    </xf>
    <xf numFmtId="0" fontId="1" fillId="18" borderId="144" xfId="11" applyBorder="1" applyAlignment="1" applyProtection="1">
      <alignment horizontal="center"/>
    </xf>
    <xf numFmtId="0" fontId="1" fillId="18" borderId="128" xfId="11" applyBorder="1" applyAlignment="1" applyProtection="1">
      <alignment horizontal="center"/>
    </xf>
    <xf numFmtId="0" fontId="1" fillId="18" borderId="146" xfId="11" applyBorder="1" applyAlignment="1" applyProtection="1">
      <alignment horizontal="center"/>
    </xf>
    <xf numFmtId="0" fontId="27" fillId="4" borderId="155" xfId="3" applyFont="1" applyBorder="1" applyAlignment="1" applyProtection="1">
      <alignment horizontal="left"/>
      <protection locked="0"/>
    </xf>
    <xf numFmtId="0" fontId="27" fillId="4" borderId="140" xfId="3" applyFont="1" applyBorder="1" applyAlignment="1" applyProtection="1">
      <alignment horizontal="left"/>
      <protection locked="0"/>
    </xf>
    <xf numFmtId="0" fontId="27" fillId="4" borderId="125" xfId="3" applyFont="1" applyBorder="1" applyAlignment="1" applyProtection="1">
      <alignment horizontal="left" wrapText="1"/>
      <protection locked="0"/>
    </xf>
    <xf numFmtId="0" fontId="27" fillId="4" borderId="138" xfId="3" applyFont="1" applyBorder="1" applyAlignment="1" applyProtection="1">
      <alignment horizontal="left" wrapText="1"/>
      <protection locked="0"/>
    </xf>
    <xf numFmtId="0" fontId="27" fillId="4" borderId="156" xfId="3" applyFont="1" applyBorder="1" applyAlignment="1" applyProtection="1">
      <alignment horizontal="left"/>
      <protection locked="0"/>
    </xf>
    <xf numFmtId="0" fontId="27" fillId="4" borderId="143" xfId="3" applyFont="1" applyBorder="1" applyAlignment="1" applyProtection="1">
      <alignment horizontal="left"/>
      <protection locked="0"/>
    </xf>
    <xf numFmtId="0" fontId="21" fillId="2" borderId="96" xfId="1" applyFont="1" applyBorder="1" applyAlignment="1" applyProtection="1">
      <alignment horizontal="right"/>
    </xf>
    <xf numFmtId="9" fontId="21" fillId="2" borderId="96" xfId="1" applyNumberFormat="1" applyFont="1" applyBorder="1" applyAlignment="1" applyProtection="1">
      <alignment horizontal="center"/>
      <protection locked="0"/>
    </xf>
    <xf numFmtId="0" fontId="22" fillId="0" borderId="96" xfId="0" applyFont="1" applyBorder="1" applyAlignment="1">
      <alignment horizontal="center"/>
    </xf>
    <xf numFmtId="0" fontId="5" fillId="30" borderId="96" xfId="26" applyFont="1" applyBorder="1" applyAlignment="1" applyProtection="1">
      <alignment horizontal="center"/>
    </xf>
    <xf numFmtId="0" fontId="69" fillId="12" borderId="115" xfId="27" applyFont="1" applyFill="1" applyBorder="1" applyAlignment="1">
      <alignment horizontal="right"/>
    </xf>
    <xf numFmtId="166" fontId="69" fillId="12" borderId="115" xfId="27" applyNumberFormat="1" applyFont="1" applyFill="1" applyBorder="1" applyAlignment="1">
      <alignment horizontal="left"/>
    </xf>
    <xf numFmtId="0" fontId="14" fillId="4" borderId="131" xfId="3" applyFont="1" applyBorder="1" applyAlignment="1" applyProtection="1">
      <alignment horizontal="left" vertical="top"/>
      <protection locked="0"/>
    </xf>
    <xf numFmtId="0" fontId="14" fillId="4" borderId="143" xfId="3" applyFont="1" applyBorder="1" applyAlignment="1" applyProtection="1">
      <alignment horizontal="left" vertical="top"/>
      <protection locked="0"/>
    </xf>
    <xf numFmtId="0" fontId="27" fillId="4" borderId="153" xfId="3" applyFont="1" applyBorder="1" applyAlignment="1" applyProtection="1">
      <alignment horizontal="left"/>
      <protection locked="0"/>
    </xf>
    <xf numFmtId="0" fontId="27" fillId="4" borderId="154" xfId="3" applyFont="1" applyBorder="1" applyAlignment="1" applyProtection="1">
      <alignment horizontal="left"/>
      <protection locked="0"/>
    </xf>
    <xf numFmtId="0" fontId="4" fillId="7" borderId="116" xfId="6" applyFont="1" applyBorder="1" applyAlignment="1">
      <alignment horizontal="center"/>
    </xf>
    <xf numFmtId="0" fontId="4" fillId="7" borderId="0" xfId="6" applyFont="1" applyBorder="1" applyAlignment="1">
      <alignment horizontal="center"/>
    </xf>
    <xf numFmtId="0" fontId="4" fillId="16" borderId="128" xfId="9" applyFont="1" applyBorder="1" applyAlignment="1" applyProtection="1">
      <alignment horizontal="center" wrapText="1"/>
    </xf>
    <xf numFmtId="0" fontId="4" fillId="16" borderId="134" xfId="9" applyFont="1" applyBorder="1" applyAlignment="1" applyProtection="1">
      <alignment horizontal="center" wrapText="1"/>
    </xf>
    <xf numFmtId="0" fontId="1" fillId="18" borderId="96" xfId="11" applyBorder="1" applyAlignment="1" applyProtection="1">
      <alignment horizontal="center"/>
    </xf>
    <xf numFmtId="0" fontId="4" fillId="30" borderId="96" xfId="26" applyFont="1" applyBorder="1" applyAlignment="1" applyProtection="1">
      <alignment horizontal="center"/>
    </xf>
    <xf numFmtId="0" fontId="23" fillId="0" borderId="158" xfId="2" applyFont="1" applyFill="1" applyBorder="1" applyAlignment="1">
      <alignment horizontal="right"/>
    </xf>
    <xf numFmtId="0" fontId="23" fillId="0" borderId="163" xfId="2" applyFont="1" applyFill="1" applyBorder="1" applyAlignment="1">
      <alignment horizontal="right"/>
    </xf>
    <xf numFmtId="0" fontId="21" fillId="0" borderId="158" xfId="2" applyFont="1" applyFill="1" applyBorder="1" applyAlignment="1">
      <alignment horizontal="right"/>
    </xf>
    <xf numFmtId="0" fontId="21" fillId="0" borderId="163" xfId="2" applyFont="1" applyFill="1" applyBorder="1" applyAlignment="1">
      <alignment horizontal="right"/>
    </xf>
    <xf numFmtId="1" fontId="21" fillId="4" borderId="96" xfId="3" applyNumberFormat="1" applyFont="1" applyBorder="1" applyAlignment="1" applyProtection="1">
      <alignment horizontal="center"/>
      <protection locked="0"/>
    </xf>
    <xf numFmtId="0" fontId="21" fillId="4" borderId="96" xfId="3" applyFont="1" applyBorder="1" applyAlignment="1" applyProtection="1">
      <alignment horizontal="center"/>
      <protection locked="0"/>
    </xf>
    <xf numFmtId="0" fontId="19" fillId="22" borderId="98" xfId="16" applyFont="1" applyBorder="1" applyAlignment="1">
      <alignment horizontal="center" wrapText="1"/>
    </xf>
    <xf numFmtId="0" fontId="1" fillId="18" borderId="129" xfId="11" applyBorder="1" applyAlignment="1" applyProtection="1">
      <alignment horizontal="center"/>
    </xf>
    <xf numFmtId="0" fontId="69" fillId="12" borderId="136" xfId="27" applyFont="1" applyFill="1" applyBorder="1" applyAlignment="1">
      <alignment horizontal="right"/>
    </xf>
    <xf numFmtId="1" fontId="23" fillId="4" borderId="96" xfId="3" applyNumberFormat="1" applyFont="1" applyBorder="1" applyAlignment="1" applyProtection="1">
      <alignment horizontal="center"/>
    </xf>
    <xf numFmtId="166" fontId="69" fillId="12" borderId="136" xfId="27" applyNumberFormat="1" applyFont="1" applyFill="1" applyBorder="1" applyAlignment="1">
      <alignment horizontal="left"/>
    </xf>
    <xf numFmtId="166" fontId="60" fillId="3" borderId="96" xfId="2" applyNumberFormat="1" applyFont="1" applyBorder="1" applyAlignment="1">
      <alignment horizontal="right"/>
    </xf>
    <xf numFmtId="0" fontId="0" fillId="0" borderId="96" xfId="0" applyBorder="1" applyAlignment="1">
      <alignment horizontal="left"/>
    </xf>
    <xf numFmtId="0" fontId="27" fillId="4" borderId="97" xfId="3" applyFont="1" applyBorder="1" applyAlignment="1" applyProtection="1">
      <alignment horizontal="left"/>
      <protection locked="0"/>
    </xf>
    <xf numFmtId="0" fontId="27" fillId="4" borderId="136" xfId="3" applyFont="1" applyBorder="1" applyAlignment="1" applyProtection="1">
      <alignment horizontal="left"/>
      <protection locked="0"/>
    </xf>
    <xf numFmtId="0" fontId="4" fillId="7" borderId="110" xfId="6" applyFont="1" applyBorder="1" applyAlignment="1">
      <alignment horizontal="center"/>
    </xf>
    <xf numFmtId="0" fontId="7" fillId="0" borderId="110" xfId="3" applyFont="1" applyFill="1" applyBorder="1" applyAlignment="1">
      <alignment horizontal="center"/>
    </xf>
    <xf numFmtId="0" fontId="7" fillId="0" borderId="252" xfId="3" applyFont="1" applyFill="1" applyBorder="1" applyAlignment="1">
      <alignment horizontal="center"/>
    </xf>
    <xf numFmtId="0" fontId="6" fillId="16" borderId="110" xfId="9" applyBorder="1" applyAlignment="1">
      <alignment horizontal="center"/>
    </xf>
    <xf numFmtId="0" fontId="0" fillId="0" borderId="110" xfId="0" applyBorder="1" applyAlignment="1">
      <alignment horizontal="center"/>
    </xf>
    <xf numFmtId="0" fontId="63" fillId="30" borderId="96" xfId="26" applyFont="1" applyBorder="1" applyAlignment="1">
      <alignment horizontal="center" vertical="center"/>
    </xf>
    <xf numFmtId="0" fontId="6" fillId="19" borderId="96" xfId="12" applyFont="1" applyBorder="1" applyAlignment="1">
      <alignment horizontal="center"/>
    </xf>
    <xf numFmtId="0" fontId="0" fillId="0" borderId="0" xfId="0" applyAlignment="1" applyProtection="1">
      <alignment horizontal="left"/>
      <protection locked="0"/>
    </xf>
    <xf numFmtId="0" fontId="4" fillId="7" borderId="99" xfId="6" applyFont="1" applyBorder="1" applyAlignment="1" applyProtection="1">
      <alignment horizontal="center" vertical="center"/>
    </xf>
    <xf numFmtId="0" fontId="6" fillId="16" borderId="96" xfId="9" applyBorder="1" applyAlignment="1">
      <alignment horizontal="center"/>
    </xf>
    <xf numFmtId="0" fontId="19" fillId="0" borderId="97" xfId="3" applyFont="1" applyFill="1" applyBorder="1" applyAlignment="1" applyProtection="1">
      <alignment horizontal="center"/>
    </xf>
    <xf numFmtId="0" fontId="19" fillId="0" borderId="98" xfId="3" applyFont="1" applyFill="1" applyBorder="1" applyAlignment="1" applyProtection="1">
      <alignment horizontal="center"/>
    </xf>
    <xf numFmtId="0" fontId="21" fillId="3" borderId="96" xfId="2" applyFont="1" applyBorder="1" applyAlignment="1" applyProtection="1">
      <alignment horizontal="center"/>
    </xf>
    <xf numFmtId="0" fontId="72" fillId="0" borderId="144" xfId="0" applyFont="1" applyBorder="1" applyAlignment="1">
      <alignment horizontal="left" vertical="top" wrapText="1"/>
    </xf>
    <xf numFmtId="0" fontId="72" fillId="0" borderId="128" xfId="0" applyFont="1" applyBorder="1" applyAlignment="1">
      <alignment horizontal="left" vertical="top" wrapText="1"/>
    </xf>
    <xf numFmtId="0" fontId="72" fillId="0" borderId="146" xfId="0" applyFont="1" applyBorder="1" applyAlignment="1">
      <alignment horizontal="left" vertical="top" wrapText="1"/>
    </xf>
    <xf numFmtId="0" fontId="72" fillId="0" borderId="191" xfId="0" applyFont="1" applyBorder="1" applyAlignment="1">
      <alignment horizontal="left" vertical="top" wrapText="1"/>
    </xf>
    <xf numFmtId="0" fontId="72" fillId="0" borderId="0" xfId="0" applyFont="1" applyAlignment="1">
      <alignment horizontal="left" vertical="top" wrapText="1"/>
    </xf>
    <xf numFmtId="0" fontId="72" fillId="0" borderId="173" xfId="0" applyFont="1" applyBorder="1" applyAlignment="1">
      <alignment horizontal="left" vertical="top" wrapText="1"/>
    </xf>
    <xf numFmtId="0" fontId="72" fillId="0" borderId="145" xfId="0" applyFont="1" applyBorder="1" applyAlignment="1">
      <alignment horizontal="left" vertical="top" wrapText="1"/>
    </xf>
    <xf numFmtId="0" fontId="72" fillId="0" borderId="134" xfId="0" applyFont="1" applyBorder="1" applyAlignment="1">
      <alignment horizontal="left" vertical="top" wrapText="1"/>
    </xf>
    <xf numFmtId="0" fontId="72" fillId="0" borderId="147" xfId="0" applyFont="1" applyBorder="1" applyAlignment="1">
      <alignment horizontal="left" vertical="top" wrapText="1"/>
    </xf>
    <xf numFmtId="0" fontId="14" fillId="0" borderId="129" xfId="0" applyFont="1" applyBorder="1" applyAlignment="1">
      <alignment horizontal="left" vertical="top" wrapText="1"/>
    </xf>
    <xf numFmtId="0" fontId="14" fillId="0" borderId="192" xfId="0" applyFont="1" applyBorder="1" applyAlignment="1">
      <alignment horizontal="left" vertical="top" wrapText="1"/>
    </xf>
    <xf numFmtId="0" fontId="14" fillId="0" borderId="99" xfId="0" applyFont="1" applyBorder="1" applyAlignment="1">
      <alignment horizontal="left" vertical="top" wrapText="1"/>
    </xf>
    <xf numFmtId="17" fontId="27" fillId="0" borderId="129" xfId="0" applyNumberFormat="1" applyFont="1" applyBorder="1" applyAlignment="1">
      <alignment horizontal="left" vertical="top" wrapText="1"/>
    </xf>
    <xf numFmtId="17" fontId="27" fillId="0" borderId="192" xfId="0" applyNumberFormat="1" applyFont="1" applyBorder="1" applyAlignment="1">
      <alignment horizontal="left" vertical="top" wrapText="1"/>
    </xf>
    <xf numFmtId="17" fontId="27" fillId="0" borderId="99" xfId="0" applyNumberFormat="1" applyFont="1" applyBorder="1" applyAlignment="1">
      <alignment horizontal="left" vertical="top" wrapText="1"/>
    </xf>
    <xf numFmtId="0" fontId="0" fillId="11" borderId="97" xfId="0" applyFill="1" applyBorder="1" applyAlignment="1">
      <alignment horizontal="center"/>
    </xf>
    <xf numFmtId="0" fontId="0" fillId="11" borderId="136" xfId="0" applyFill="1" applyBorder="1" applyAlignment="1">
      <alignment horizontal="center"/>
    </xf>
    <xf numFmtId="0" fontId="0" fillId="11" borderId="98" xfId="0" applyFill="1" applyBorder="1" applyAlignment="1">
      <alignment horizontal="center"/>
    </xf>
    <xf numFmtId="0" fontId="0" fillId="15" borderId="23" xfId="0" applyFill="1" applyBorder="1" applyAlignment="1">
      <alignment horizontal="center"/>
    </xf>
    <xf numFmtId="0" fontId="0" fillId="15" borderId="16" xfId="0" applyFill="1" applyBorder="1" applyAlignment="1">
      <alignment horizontal="center"/>
    </xf>
    <xf numFmtId="0" fontId="0" fillId="15" borderId="17" xfId="0" applyFill="1" applyBorder="1" applyAlignment="1">
      <alignment horizontal="center"/>
    </xf>
    <xf numFmtId="0" fontId="18" fillId="30" borderId="7" xfId="26" applyFont="1" applyBorder="1" applyAlignment="1" applyProtection="1">
      <alignment horizontal="center" vertical="center"/>
    </xf>
    <xf numFmtId="0" fontId="21" fillId="2" borderId="9" xfId="1" applyFont="1" applyBorder="1" applyAlignment="1" applyProtection="1">
      <alignment horizontal="right"/>
    </xf>
    <xf numFmtId="0" fontId="21" fillId="2" borderId="10" xfId="1" applyFont="1" applyBorder="1" applyAlignment="1" applyProtection="1">
      <alignment horizontal="right"/>
    </xf>
    <xf numFmtId="0" fontId="21" fillId="2" borderId="11" xfId="1" applyFont="1" applyBorder="1" applyAlignment="1" applyProtection="1">
      <alignment horizontal="right"/>
    </xf>
    <xf numFmtId="9" fontId="21" fillId="2" borderId="9" xfId="1" applyNumberFormat="1" applyFont="1" applyBorder="1" applyAlignment="1" applyProtection="1">
      <alignment horizontal="center"/>
    </xf>
    <xf numFmtId="9" fontId="21" fillId="2" borderId="11" xfId="1" applyNumberFormat="1" applyFont="1" applyBorder="1" applyAlignment="1" applyProtection="1">
      <alignment horizontal="center"/>
    </xf>
    <xf numFmtId="0" fontId="4" fillId="7" borderId="7" xfId="6" applyFont="1" applyBorder="1" applyAlignment="1" applyProtection="1">
      <alignment horizontal="center"/>
    </xf>
    <xf numFmtId="0" fontId="27" fillId="4" borderId="134" xfId="3" applyFont="1" applyBorder="1" applyAlignment="1" applyProtection="1">
      <alignment horizontal="left" wrapText="1"/>
    </xf>
    <xf numFmtId="0" fontId="27" fillId="4" borderId="147" xfId="3" applyFont="1" applyBorder="1" applyAlignment="1" applyProtection="1">
      <alignment horizontal="left" wrapText="1"/>
    </xf>
    <xf numFmtId="0" fontId="0" fillId="4" borderId="136" xfId="3" applyFont="1" applyBorder="1" applyAlignment="1" applyProtection="1">
      <alignment horizontal="center" wrapText="1"/>
    </xf>
    <xf numFmtId="0" fontId="0" fillId="4" borderId="98" xfId="3" applyFont="1" applyBorder="1" applyAlignment="1" applyProtection="1">
      <alignment horizontal="center" wrapText="1"/>
    </xf>
    <xf numFmtId="0" fontId="27" fillId="4" borderId="149" xfId="3" applyFont="1" applyBorder="1" applyAlignment="1" applyProtection="1">
      <alignment horizontal="left" wrapText="1"/>
    </xf>
    <xf numFmtId="0" fontId="27" fillId="4" borderId="154" xfId="3" applyFont="1" applyBorder="1" applyAlignment="1" applyProtection="1">
      <alignment horizontal="left" wrapText="1"/>
    </xf>
    <xf numFmtId="0" fontId="27" fillId="4" borderId="125" xfId="3" applyFont="1" applyBorder="1" applyAlignment="1" applyProtection="1">
      <alignment horizontal="left" wrapText="1"/>
    </xf>
    <xf numFmtId="0" fontId="27" fillId="4" borderId="138" xfId="3" applyFont="1" applyBorder="1" applyAlignment="1" applyProtection="1">
      <alignment horizontal="left" wrapText="1"/>
    </xf>
    <xf numFmtId="0" fontId="18" fillId="5" borderId="206" xfId="4" applyFont="1" applyBorder="1" applyAlignment="1" applyProtection="1">
      <alignment horizontal="center" vertical="center"/>
    </xf>
    <xf numFmtId="0" fontId="18" fillId="5" borderId="210" xfId="4" applyFont="1" applyBorder="1" applyAlignment="1" applyProtection="1">
      <alignment horizontal="center" vertical="center"/>
    </xf>
    <xf numFmtId="0" fontId="18" fillId="5" borderId="211" xfId="4" applyFont="1" applyBorder="1" applyAlignment="1" applyProtection="1">
      <alignment horizontal="center" vertical="center"/>
    </xf>
    <xf numFmtId="0" fontId="18" fillId="5" borderId="197" xfId="4" applyFont="1" applyBorder="1" applyAlignment="1" applyProtection="1">
      <alignment horizontal="center" vertical="center"/>
    </xf>
    <xf numFmtId="0" fontId="18" fillId="5" borderId="198" xfId="4" applyFont="1" applyBorder="1" applyAlignment="1" applyProtection="1">
      <alignment horizontal="center" vertical="center"/>
    </xf>
    <xf numFmtId="0" fontId="18" fillId="5" borderId="200" xfId="4" applyFont="1" applyBorder="1" applyAlignment="1" applyProtection="1">
      <alignment horizontal="center" vertical="center"/>
    </xf>
    <xf numFmtId="0" fontId="19" fillId="4" borderId="191" xfId="3" applyFont="1" applyBorder="1" applyAlignment="1" applyProtection="1">
      <alignment horizontal="center" vertical="center" wrapText="1"/>
    </xf>
    <xf numFmtId="0" fontId="19" fillId="4" borderId="0" xfId="3" applyFont="1" applyBorder="1" applyAlignment="1" applyProtection="1">
      <alignment horizontal="center" vertical="center" wrapText="1"/>
    </xf>
    <xf numFmtId="0" fontId="19" fillId="4" borderId="173" xfId="3" applyFont="1" applyBorder="1" applyAlignment="1" applyProtection="1">
      <alignment horizontal="center" vertical="center" wrapText="1"/>
    </xf>
    <xf numFmtId="0" fontId="19" fillId="4" borderId="145" xfId="3" applyFont="1" applyBorder="1" applyAlignment="1" applyProtection="1">
      <alignment horizontal="center" vertical="center" wrapText="1"/>
    </xf>
    <xf numFmtId="0" fontId="19" fillId="4" borderId="134" xfId="3" applyFont="1" applyBorder="1" applyAlignment="1" applyProtection="1">
      <alignment horizontal="center" vertical="center" wrapText="1"/>
    </xf>
    <xf numFmtId="0" fontId="19" fillId="4" borderId="147" xfId="3" applyFont="1" applyBorder="1" applyAlignment="1" applyProtection="1">
      <alignment horizontal="center" vertical="center" wrapText="1"/>
    </xf>
    <xf numFmtId="0" fontId="47" fillId="4" borderId="96" xfId="0" applyFont="1" applyFill="1" applyBorder="1" applyAlignment="1">
      <alignment horizontal="center" vertical="center"/>
    </xf>
    <xf numFmtId="0" fontId="47" fillId="4" borderId="96" xfId="0" applyFont="1" applyFill="1" applyBorder="1" applyAlignment="1">
      <alignment horizontal="left" vertical="center"/>
    </xf>
    <xf numFmtId="0" fontId="23" fillId="3" borderId="254" xfId="2" applyFont="1" applyBorder="1" applyAlignment="1" applyProtection="1">
      <alignment horizontal="left"/>
    </xf>
    <xf numFmtId="0" fontId="1" fillId="24" borderId="0" xfId="23" applyBorder="1" applyAlignment="1" applyProtection="1">
      <alignment horizontal="center"/>
    </xf>
    <xf numFmtId="0" fontId="6" fillId="19" borderId="0" xfId="12" applyFont="1" applyBorder="1" applyAlignment="1" applyProtection="1">
      <alignment horizontal="center"/>
    </xf>
    <xf numFmtId="0" fontId="6" fillId="30" borderId="303" xfId="26" applyBorder="1" applyAlignment="1" applyProtection="1">
      <alignment horizontal="center"/>
    </xf>
    <xf numFmtId="0" fontId="6" fillId="30" borderId="304" xfId="26" applyBorder="1" applyAlignment="1" applyProtection="1">
      <alignment horizontal="center"/>
    </xf>
    <xf numFmtId="0" fontId="18" fillId="35" borderId="304" xfId="26" applyFont="1" applyFill="1" applyBorder="1" applyAlignment="1" applyProtection="1">
      <alignment horizontal="center" wrapText="1"/>
    </xf>
    <xf numFmtId="0" fontId="18" fillId="35" borderId="305" xfId="26" applyFont="1" applyFill="1" applyBorder="1" applyAlignment="1" applyProtection="1">
      <alignment horizontal="center" wrapText="1"/>
    </xf>
    <xf numFmtId="0" fontId="4" fillId="16" borderId="0" xfId="9" applyFont="1" applyBorder="1" applyAlignment="1" applyProtection="1">
      <alignment horizontal="center" wrapText="1"/>
    </xf>
    <xf numFmtId="0" fontId="92" fillId="3" borderId="110" xfId="2" applyFont="1" applyBorder="1" applyAlignment="1" applyProtection="1">
      <alignment horizontal="right" vertical="center" wrapText="1"/>
    </xf>
    <xf numFmtId="166" fontId="92" fillId="3" borderId="110" xfId="2" applyNumberFormat="1" applyFont="1" applyBorder="1" applyAlignment="1" applyProtection="1">
      <alignment horizontal="center" vertical="center"/>
    </xf>
    <xf numFmtId="0" fontId="0" fillId="0" borderId="97" xfId="0" applyBorder="1" applyAlignment="1">
      <alignment horizontal="left"/>
    </xf>
    <xf numFmtId="0" fontId="0" fillId="0" borderId="98" xfId="0" applyBorder="1" applyAlignment="1">
      <alignment horizontal="left"/>
    </xf>
    <xf numFmtId="0" fontId="0" fillId="0" borderId="96" xfId="0" applyBorder="1"/>
    <xf numFmtId="0" fontId="19" fillId="22" borderId="98" xfId="16" applyFont="1" applyBorder="1" applyAlignment="1" applyProtection="1">
      <alignment horizontal="center" wrapText="1"/>
    </xf>
    <xf numFmtId="0" fontId="19" fillId="22" borderId="146" xfId="16" applyFont="1" applyBorder="1" applyAlignment="1" applyProtection="1">
      <alignment horizontal="center" wrapText="1"/>
    </xf>
    <xf numFmtId="0" fontId="69" fillId="12" borderId="115" xfId="27" applyFont="1" applyFill="1" applyBorder="1" applyAlignment="1" applyProtection="1">
      <alignment horizontal="right"/>
    </xf>
    <xf numFmtId="166" fontId="69" fillId="12" borderId="115" xfId="27" applyNumberFormat="1" applyFont="1" applyFill="1" applyBorder="1" applyAlignment="1" applyProtection="1">
      <alignment horizontal="left"/>
    </xf>
    <xf numFmtId="0" fontId="4" fillId="16" borderId="98" xfId="9" applyFont="1" applyBorder="1" applyAlignment="1" applyProtection="1">
      <alignment horizontal="center" wrapText="1"/>
    </xf>
    <xf numFmtId="0" fontId="69" fillId="12" borderId="136" xfId="27" applyFont="1" applyFill="1" applyBorder="1" applyAlignment="1" applyProtection="1">
      <alignment horizontal="right"/>
    </xf>
    <xf numFmtId="166" fontId="69" fillId="12" borderId="136" xfId="27" applyNumberFormat="1" applyFont="1" applyFill="1" applyBorder="1" applyAlignment="1" applyProtection="1">
      <alignment horizontal="left"/>
    </xf>
    <xf numFmtId="0" fontId="21" fillId="0" borderId="136" xfId="2" applyFont="1" applyFill="1" applyBorder="1" applyAlignment="1" applyProtection="1">
      <alignment horizontal="right"/>
    </xf>
    <xf numFmtId="0" fontId="21" fillId="0" borderId="98" xfId="2" applyFont="1" applyFill="1" applyBorder="1" applyAlignment="1" applyProtection="1">
      <alignment horizontal="right"/>
    </xf>
    <xf numFmtId="0" fontId="21" fillId="0" borderId="146" xfId="7" applyFont="1" applyFill="1" applyBorder="1" applyAlignment="1" applyProtection="1">
      <alignment horizontal="right"/>
    </xf>
    <xf numFmtId="0" fontId="18" fillId="0" borderId="98" xfId="7" applyFont="1" applyFill="1" applyBorder="1" applyAlignment="1" applyProtection="1">
      <alignment horizontal="right"/>
    </xf>
    <xf numFmtId="0" fontId="21" fillId="0" borderId="121" xfId="2" applyFont="1" applyFill="1" applyBorder="1" applyAlignment="1" applyProtection="1">
      <alignment horizontal="right"/>
    </xf>
    <xf numFmtId="0" fontId="21" fillId="0" borderId="122" xfId="2" applyFont="1" applyFill="1" applyBorder="1" applyAlignment="1" applyProtection="1">
      <alignment horizontal="right"/>
    </xf>
    <xf numFmtId="0" fontId="21" fillId="0" borderId="224" xfId="2" applyFont="1" applyFill="1" applyBorder="1" applyAlignment="1" applyProtection="1">
      <alignment horizontal="right" wrapText="1"/>
    </xf>
    <xf numFmtId="0" fontId="21" fillId="0" borderId="115" xfId="2" applyFont="1" applyFill="1" applyBorder="1" applyAlignment="1" applyProtection="1">
      <alignment horizontal="right" wrapText="1"/>
    </xf>
    <xf numFmtId="1" fontId="93" fillId="4" borderId="110" xfId="3" applyNumberFormat="1" applyFont="1" applyBorder="1" applyAlignment="1" applyProtection="1">
      <alignment horizontal="center" vertical="center" wrapText="1"/>
    </xf>
    <xf numFmtId="0" fontId="0" fillId="0" borderId="128" xfId="0" applyBorder="1" applyAlignment="1">
      <alignment horizontal="center"/>
    </xf>
    <xf numFmtId="0" fontId="4" fillId="7" borderId="97" xfId="6" applyFont="1" applyBorder="1" applyAlignment="1" applyProtection="1">
      <alignment horizontal="center"/>
    </xf>
    <xf numFmtId="0" fontId="4" fillId="7" borderId="136" xfId="6" applyFont="1" applyBorder="1" applyAlignment="1" applyProtection="1">
      <alignment horizontal="center"/>
    </xf>
    <xf numFmtId="0" fontId="4" fillId="7" borderId="98" xfId="6" applyFont="1" applyBorder="1" applyAlignment="1" applyProtection="1">
      <alignment horizontal="center"/>
    </xf>
    <xf numFmtId="0" fontId="21" fillId="0" borderId="97" xfId="2" applyFont="1" applyFill="1" applyBorder="1" applyAlignment="1" applyProtection="1">
      <alignment horizontal="center"/>
    </xf>
    <xf numFmtId="0" fontId="21" fillId="0" borderId="136" xfId="2" applyFont="1" applyFill="1" applyBorder="1" applyAlignment="1" applyProtection="1">
      <alignment horizontal="center"/>
    </xf>
    <xf numFmtId="0" fontId="21" fillId="0" borderId="98" xfId="2" applyFont="1" applyFill="1" applyBorder="1" applyAlignment="1" applyProtection="1">
      <alignment horizontal="center"/>
    </xf>
    <xf numFmtId="0" fontId="4" fillId="16" borderId="191" xfId="9" applyFont="1" applyBorder="1" applyAlignment="1" applyProtection="1">
      <alignment horizontal="center" wrapText="1"/>
    </xf>
    <xf numFmtId="0" fontId="4" fillId="16" borderId="173" xfId="9" applyFont="1" applyBorder="1" applyAlignment="1" applyProtection="1">
      <alignment horizontal="center" wrapText="1"/>
    </xf>
    <xf numFmtId="0" fontId="6" fillId="5" borderId="96" xfId="4" applyBorder="1" applyAlignment="1">
      <alignment horizontal="center"/>
    </xf>
    <xf numFmtId="0" fontId="0" fillId="0" borderId="96" xfId="0" applyBorder="1" applyAlignment="1">
      <alignment horizontal="center"/>
    </xf>
    <xf numFmtId="0" fontId="4" fillId="41" borderId="96" xfId="0" applyFont="1" applyFill="1" applyBorder="1" applyAlignment="1">
      <alignment horizontal="center"/>
    </xf>
    <xf numFmtId="0" fontId="4" fillId="41" borderId="97" xfId="0" applyFont="1" applyFill="1" applyBorder="1" applyAlignment="1">
      <alignment horizontal="center"/>
    </xf>
    <xf numFmtId="0" fontId="4" fillId="42" borderId="96" xfId="0" applyFont="1" applyFill="1" applyBorder="1" applyAlignment="1">
      <alignment horizontal="center"/>
    </xf>
    <xf numFmtId="0" fontId="4" fillId="42" borderId="97" xfId="0" applyFont="1" applyFill="1" applyBorder="1" applyAlignment="1">
      <alignment horizontal="center"/>
    </xf>
    <xf numFmtId="0" fontId="4" fillId="9" borderId="96" xfId="0" applyFont="1" applyFill="1" applyBorder="1" applyAlignment="1">
      <alignment horizontal="center"/>
    </xf>
    <xf numFmtId="0" fontId="4" fillId="9" borderId="97" xfId="0" applyFont="1" applyFill="1" applyBorder="1" applyAlignment="1">
      <alignment horizontal="center"/>
    </xf>
    <xf numFmtId="0" fontId="61" fillId="43" borderId="96" xfId="0" applyFont="1" applyFill="1" applyBorder="1" applyAlignment="1">
      <alignment horizontal="center"/>
    </xf>
    <xf numFmtId="0" fontId="61" fillId="43" borderId="97" xfId="0" applyFont="1" applyFill="1" applyBorder="1" applyAlignment="1">
      <alignment horizontal="center"/>
    </xf>
    <xf numFmtId="0" fontId="21" fillId="4" borderId="145" xfId="3" applyFont="1" applyBorder="1" applyAlignment="1" applyProtection="1">
      <alignment horizontal="left" vertical="center" wrapText="1"/>
      <protection locked="0"/>
    </xf>
    <xf numFmtId="0" fontId="21" fillId="4" borderId="134" xfId="3" applyFont="1" applyBorder="1" applyAlignment="1" applyProtection="1">
      <alignment horizontal="left" vertical="center" wrapText="1"/>
      <protection locked="0"/>
    </xf>
    <xf numFmtId="0" fontId="21" fillId="4" borderId="147" xfId="3" applyFont="1" applyBorder="1" applyAlignment="1" applyProtection="1">
      <alignment horizontal="left" vertical="center" wrapText="1"/>
      <protection locked="0"/>
    </xf>
    <xf numFmtId="0" fontId="6" fillId="30" borderId="317" xfId="26" applyBorder="1" applyAlignment="1">
      <alignment horizontal="center" vertical="center" wrapText="1"/>
    </xf>
    <xf numFmtId="0" fontId="0" fillId="0" borderId="314" xfId="0" applyBorder="1" applyAlignment="1">
      <alignment horizontal="center"/>
    </xf>
    <xf numFmtId="0" fontId="0" fillId="0" borderId="315" xfId="0" applyBorder="1" applyAlignment="1">
      <alignment horizontal="center"/>
    </xf>
    <xf numFmtId="0" fontId="0" fillId="0" borderId="316" xfId="0" applyBorder="1" applyAlignment="1">
      <alignment horizontal="center"/>
    </xf>
    <xf numFmtId="0" fontId="67" fillId="4" borderId="185" xfId="3" applyFont="1" applyBorder="1" applyAlignment="1" applyProtection="1">
      <alignment horizontal="center" vertical="center" wrapText="1"/>
      <protection locked="0"/>
    </xf>
    <xf numFmtId="0" fontId="67" fillId="4" borderId="181" xfId="3" applyFont="1" applyBorder="1" applyAlignment="1" applyProtection="1">
      <alignment horizontal="center" vertical="center" wrapText="1"/>
      <protection locked="0"/>
    </xf>
    <xf numFmtId="0" fontId="67" fillId="4" borderId="186" xfId="3" applyFont="1" applyBorder="1" applyAlignment="1" applyProtection="1">
      <alignment horizontal="center" vertical="center" wrapText="1"/>
      <protection locked="0"/>
    </xf>
    <xf numFmtId="0" fontId="67" fillId="4" borderId="188" xfId="3" applyFont="1" applyBorder="1" applyAlignment="1" applyProtection="1">
      <alignment horizontal="center" vertical="center" wrapText="1"/>
      <protection locked="0"/>
    </xf>
    <xf numFmtId="0" fontId="21" fillId="4" borderId="136" xfId="3" applyFont="1" applyBorder="1" applyAlignment="1" applyProtection="1">
      <alignment horizontal="left" vertical="center" wrapText="1"/>
      <protection locked="0"/>
    </xf>
    <xf numFmtId="0" fontId="21" fillId="4" borderId="98" xfId="3" applyFont="1" applyBorder="1" applyAlignment="1" applyProtection="1">
      <alignment horizontal="left" vertical="center" wrapText="1"/>
      <protection locked="0"/>
    </xf>
    <xf numFmtId="0" fontId="1" fillId="20" borderId="182" xfId="13" applyBorder="1" applyAlignment="1">
      <alignment horizontal="center"/>
    </xf>
    <xf numFmtId="0" fontId="1" fillId="20" borderId="184" xfId="13" applyBorder="1" applyAlignment="1">
      <alignment horizontal="center"/>
    </xf>
    <xf numFmtId="0" fontId="4" fillId="5" borderId="100" xfId="4" applyFont="1" applyBorder="1" applyAlignment="1">
      <alignment horizontal="center"/>
    </xf>
    <xf numFmtId="0" fontId="4" fillId="5" borderId="101" xfId="4" applyFont="1" applyBorder="1" applyAlignment="1">
      <alignment horizontal="center"/>
    </xf>
    <xf numFmtId="0" fontId="4" fillId="5" borderId="102" xfId="4" applyFont="1" applyBorder="1" applyAlignment="1">
      <alignment horizontal="center"/>
    </xf>
    <xf numFmtId="0" fontId="1" fillId="20" borderId="100" xfId="13" applyBorder="1" applyAlignment="1">
      <alignment horizontal="center"/>
    </xf>
    <xf numFmtId="0" fontId="1" fillId="20" borderId="101" xfId="13" applyBorder="1" applyAlignment="1">
      <alignment horizontal="center"/>
    </xf>
    <xf numFmtId="0" fontId="1" fillId="20" borderId="102" xfId="13" applyBorder="1" applyAlignment="1">
      <alignment horizontal="center"/>
    </xf>
    <xf numFmtId="0" fontId="1" fillId="13" borderId="100" xfId="8" applyBorder="1" applyAlignment="1">
      <alignment horizontal="center"/>
    </xf>
    <xf numFmtId="0" fontId="1" fillId="13" borderId="101" xfId="8" applyBorder="1" applyAlignment="1">
      <alignment horizontal="center"/>
    </xf>
    <xf numFmtId="0" fontId="1" fillId="13" borderId="102" xfId="8" applyBorder="1" applyAlignment="1">
      <alignment horizontal="center"/>
    </xf>
    <xf numFmtId="0" fontId="6" fillId="14" borderId="175" xfId="0" applyFont="1" applyFill="1" applyBorder="1" applyAlignment="1">
      <alignment horizontal="center" wrapText="1"/>
    </xf>
    <xf numFmtId="0" fontId="6" fillId="14" borderId="170" xfId="0" applyFont="1" applyFill="1" applyBorder="1" applyAlignment="1">
      <alignment horizontal="center" wrapText="1"/>
    </xf>
    <xf numFmtId="0" fontId="1" fillId="20" borderId="266" xfId="13" applyBorder="1" applyAlignment="1">
      <alignment horizontal="center"/>
    </xf>
    <xf numFmtId="0" fontId="1" fillId="20" borderId="267" xfId="13" applyBorder="1" applyAlignment="1">
      <alignment horizontal="center"/>
    </xf>
    <xf numFmtId="0" fontId="6" fillId="5" borderId="96" xfId="4" applyBorder="1" applyAlignment="1" applyProtection="1">
      <alignment horizontal="center" wrapText="1"/>
    </xf>
    <xf numFmtId="0" fontId="0" fillId="0" borderId="254" xfId="0" applyBorder="1" applyAlignment="1">
      <alignment horizontal="center" wrapText="1"/>
    </xf>
    <xf numFmtId="0" fontId="0" fillId="0" borderId="254" xfId="0" applyBorder="1" applyAlignment="1">
      <alignment horizontal="center"/>
    </xf>
    <xf numFmtId="0" fontId="0" fillId="0" borderId="255" xfId="0" applyBorder="1" applyAlignment="1">
      <alignment horizontal="center"/>
    </xf>
    <xf numFmtId="0" fontId="4" fillId="30" borderId="254" xfId="26" applyFont="1" applyBorder="1" applyAlignment="1">
      <alignment horizontal="center" wrapText="1"/>
    </xf>
    <xf numFmtId="0" fontId="6" fillId="30" borderId="255" xfId="26" applyBorder="1" applyAlignment="1">
      <alignment horizontal="center" wrapText="1"/>
    </xf>
    <xf numFmtId="0" fontId="24" fillId="0" borderId="97" xfId="0" applyFont="1" applyBorder="1" applyAlignment="1">
      <alignment horizontal="left"/>
    </xf>
    <xf numFmtId="0" fontId="24" fillId="0" borderId="98" xfId="0" applyFont="1" applyBorder="1" applyAlignment="1">
      <alignment horizontal="left"/>
    </xf>
    <xf numFmtId="0" fontId="6" fillId="16" borderId="97" xfId="9" applyBorder="1" applyAlignment="1">
      <alignment horizontal="left"/>
    </xf>
    <xf numFmtId="0" fontId="6" fillId="16" borderId="136" xfId="9" applyBorder="1" applyAlignment="1">
      <alignment horizontal="left"/>
    </xf>
    <xf numFmtId="0" fontId="6" fillId="16" borderId="98" xfId="9" applyBorder="1" applyAlignment="1">
      <alignment horizontal="left"/>
    </xf>
    <xf numFmtId="0" fontId="24" fillId="0" borderId="175" xfId="0" applyFont="1" applyBorder="1" applyAlignment="1">
      <alignment horizontal="center" wrapText="1"/>
    </xf>
    <xf numFmtId="0" fontId="24" fillId="0" borderId="170" xfId="0" applyFont="1" applyBorder="1" applyAlignment="1">
      <alignment horizontal="center" wrapText="1"/>
    </xf>
    <xf numFmtId="0" fontId="23" fillId="0" borderId="100" xfId="0" applyFont="1" applyBorder="1" applyAlignment="1">
      <alignment horizontal="right" vertical="center"/>
    </xf>
    <xf numFmtId="0" fontId="23" fillId="0" borderId="101" xfId="0" applyFont="1" applyBorder="1" applyAlignment="1">
      <alignment horizontal="right" vertical="center"/>
    </xf>
    <xf numFmtId="0" fontId="27" fillId="4" borderId="2" xfId="3" applyFont="1" applyAlignment="1" applyProtection="1">
      <alignment horizontal="left"/>
      <protection locked="0"/>
    </xf>
    <xf numFmtId="0" fontId="27" fillId="4" borderId="165" xfId="3" applyFont="1" applyBorder="1" applyAlignment="1" applyProtection="1">
      <alignment horizontal="left"/>
      <protection locked="0"/>
    </xf>
    <xf numFmtId="0" fontId="27" fillId="4" borderId="165" xfId="3" applyFont="1" applyBorder="1" applyAlignment="1" applyProtection="1">
      <alignment horizontal="left" wrapText="1"/>
      <protection locked="0"/>
    </xf>
    <xf numFmtId="0" fontId="6" fillId="30" borderId="317" xfId="26" applyBorder="1" applyAlignment="1">
      <alignment horizontal="center" vertical="center"/>
    </xf>
    <xf numFmtId="0" fontId="6" fillId="30" borderId="254" xfId="26" applyBorder="1" applyAlignment="1">
      <alignment horizontal="center" wrapText="1"/>
    </xf>
    <xf numFmtId="0" fontId="6" fillId="30" borderId="318" xfId="26" applyBorder="1" applyAlignment="1">
      <alignment horizontal="center" wrapText="1"/>
    </xf>
    <xf numFmtId="0" fontId="14" fillId="0" borderId="97" xfId="0" applyFont="1" applyBorder="1" applyAlignment="1" applyProtection="1">
      <alignment horizontal="left"/>
      <protection locked="0"/>
    </xf>
    <xf numFmtId="0" fontId="14" fillId="0" borderId="98" xfId="0" applyFont="1" applyBorder="1" applyAlignment="1" applyProtection="1">
      <alignment horizontal="left"/>
      <protection locked="0"/>
    </xf>
    <xf numFmtId="0" fontId="19" fillId="0" borderId="97" xfId="3" applyFont="1" applyFill="1" applyBorder="1" applyAlignment="1" applyProtection="1">
      <alignment horizontal="left" wrapText="1"/>
    </xf>
    <xf numFmtId="0" fontId="19" fillId="0" borderId="136" xfId="3" applyFont="1" applyFill="1" applyBorder="1" applyAlignment="1" applyProtection="1">
      <alignment horizontal="left" wrapText="1"/>
    </xf>
    <xf numFmtId="0" fontId="19" fillId="0" borderId="98" xfId="3" applyFont="1" applyFill="1" applyBorder="1" applyAlignment="1" applyProtection="1">
      <alignment horizontal="left" wrapText="1"/>
    </xf>
    <xf numFmtId="0" fontId="18" fillId="0" borderId="35" xfId="0" applyFont="1" applyBorder="1" applyAlignment="1">
      <alignment horizontal="right" vertical="center"/>
    </xf>
    <xf numFmtId="0" fontId="18" fillId="0" borderId="40" xfId="0" applyFont="1" applyBorder="1" applyAlignment="1">
      <alignment horizontal="right" vertical="center"/>
    </xf>
    <xf numFmtId="0" fontId="0" fillId="0" borderId="225" xfId="0" applyBorder="1" applyAlignment="1">
      <alignment horizontal="center"/>
    </xf>
    <xf numFmtId="0" fontId="18" fillId="0" borderId="100" xfId="0" applyFont="1" applyBorder="1" applyAlignment="1">
      <alignment horizontal="right" vertical="center"/>
    </xf>
    <xf numFmtId="0" fontId="18" fillId="0" borderId="101" xfId="0" applyFont="1" applyBorder="1" applyAlignment="1">
      <alignment horizontal="right" vertical="center"/>
    </xf>
    <xf numFmtId="0" fontId="0" fillId="0" borderId="265" xfId="0" applyBorder="1" applyAlignment="1">
      <alignment horizontal="center"/>
    </xf>
    <xf numFmtId="0" fontId="6" fillId="30" borderId="265" xfId="26" applyBorder="1" applyAlignment="1">
      <alignment horizontal="center" vertical="center" wrapText="1"/>
    </xf>
    <xf numFmtId="0" fontId="4" fillId="30" borderId="254" xfId="26" applyFont="1" applyBorder="1" applyAlignment="1">
      <alignment horizontal="center" vertical="center" wrapText="1"/>
    </xf>
    <xf numFmtId="0" fontId="6" fillId="30" borderId="254" xfId="26" applyBorder="1" applyAlignment="1">
      <alignment horizontal="center" vertical="center"/>
    </xf>
    <xf numFmtId="0" fontId="6" fillId="30" borderId="254" xfId="26" applyBorder="1" applyAlignment="1">
      <alignment horizontal="center" vertical="center" wrapText="1"/>
    </xf>
    <xf numFmtId="0" fontId="0" fillId="0" borderId="324" xfId="0" applyBorder="1" applyAlignment="1">
      <alignment horizontal="center"/>
    </xf>
    <xf numFmtId="0" fontId="0" fillId="0" borderId="325" xfId="0" applyBorder="1" applyAlignment="1">
      <alignment horizontal="center"/>
    </xf>
    <xf numFmtId="0" fontId="0" fillId="0" borderId="326" xfId="0" applyBorder="1" applyAlignment="1">
      <alignment horizontal="center"/>
    </xf>
    <xf numFmtId="0" fontId="4" fillId="16" borderId="100" xfId="9" applyFont="1" applyBorder="1" applyAlignment="1">
      <alignment horizontal="center"/>
    </xf>
    <xf numFmtId="0" fontId="4" fillId="16" borderId="101" xfId="9" applyFont="1" applyBorder="1" applyAlignment="1">
      <alignment horizontal="center"/>
    </xf>
    <xf numFmtId="0" fontId="4" fillId="16" borderId="102" xfId="9" applyFont="1" applyBorder="1" applyAlignment="1">
      <alignment horizontal="center"/>
    </xf>
    <xf numFmtId="0" fontId="14" fillId="0" borderId="96" xfId="0" applyFont="1" applyBorder="1" applyAlignment="1">
      <alignment horizontal="left"/>
    </xf>
    <xf numFmtId="0" fontId="14" fillId="0" borderId="97" xfId="3" applyFont="1" applyFill="1" applyBorder="1" applyAlignment="1" applyProtection="1">
      <alignment horizontal="left" wrapText="1"/>
    </xf>
    <xf numFmtId="0" fontId="14" fillId="0" borderId="136" xfId="3" applyFont="1" applyFill="1" applyBorder="1" applyAlignment="1" applyProtection="1">
      <alignment horizontal="left" wrapText="1"/>
    </xf>
    <xf numFmtId="0" fontId="14" fillId="0" borderId="98" xfId="3" applyFont="1" applyFill="1" applyBorder="1" applyAlignment="1" applyProtection="1">
      <alignment horizontal="left" wrapText="1"/>
    </xf>
    <xf numFmtId="0" fontId="14" fillId="0" borderId="96" xfId="3" applyFont="1" applyFill="1" applyBorder="1" applyAlignment="1" applyProtection="1">
      <alignment horizontal="center" wrapText="1"/>
    </xf>
    <xf numFmtId="0" fontId="6" fillId="30" borderId="97" xfId="26" applyBorder="1" applyAlignment="1" applyProtection="1">
      <alignment horizontal="center" wrapText="1"/>
      <protection locked="0"/>
    </xf>
    <xf numFmtId="0" fontId="6" fillId="30" borderId="136" xfId="26" applyBorder="1" applyAlignment="1" applyProtection="1">
      <alignment horizontal="center" wrapText="1"/>
      <protection locked="0"/>
    </xf>
    <xf numFmtId="0" fontId="6" fillId="30" borderId="98" xfId="26" applyBorder="1" applyAlignment="1" applyProtection="1">
      <alignment horizontal="center" wrapText="1"/>
      <protection locked="0"/>
    </xf>
    <xf numFmtId="0" fontId="6" fillId="7" borderId="0" xfId="6" applyBorder="1" applyAlignment="1">
      <alignment horizontal="center"/>
    </xf>
    <xf numFmtId="0" fontId="6" fillId="30" borderId="96" xfId="26" applyBorder="1" applyAlignment="1">
      <alignment horizontal="center" wrapText="1"/>
    </xf>
    <xf numFmtId="0" fontId="6" fillId="30" borderId="97" xfId="26" applyBorder="1" applyAlignment="1">
      <alignment horizontal="center"/>
    </xf>
    <xf numFmtId="0" fontId="6" fillId="30" borderId="98" xfId="26" applyBorder="1" applyAlignment="1">
      <alignment horizontal="center"/>
    </xf>
    <xf numFmtId="0" fontId="6" fillId="30" borderId="96" xfId="26" applyBorder="1" applyAlignment="1">
      <alignment horizontal="center" vertical="center" wrapText="1"/>
    </xf>
    <xf numFmtId="0" fontId="6" fillId="30" borderId="129" xfId="26" applyBorder="1" applyAlignment="1">
      <alignment horizontal="center" vertical="center" wrapText="1"/>
    </xf>
    <xf numFmtId="0" fontId="6" fillId="30" borderId="96" xfId="26" applyBorder="1" applyAlignment="1">
      <alignment horizontal="center" vertical="center"/>
    </xf>
    <xf numFmtId="0" fontId="6" fillId="30" borderId="129" xfId="26" applyBorder="1" applyAlignment="1">
      <alignment horizontal="center" vertical="center"/>
    </xf>
    <xf numFmtId="0" fontId="7" fillId="0" borderId="0" xfId="0" applyFont="1" applyAlignment="1">
      <alignment horizontal="center" wrapText="1"/>
    </xf>
    <xf numFmtId="0" fontId="29" fillId="0" borderId="0" xfId="0" applyFont="1" applyAlignment="1">
      <alignment horizontal="center" wrapText="1"/>
    </xf>
    <xf numFmtId="0" fontId="6" fillId="30" borderId="100" xfId="26" applyBorder="1" applyAlignment="1">
      <alignment horizontal="center"/>
    </xf>
    <xf numFmtId="0" fontId="6" fillId="30" borderId="101" xfId="26" applyBorder="1" applyAlignment="1">
      <alignment horizontal="center"/>
    </xf>
    <xf numFmtId="0" fontId="6" fillId="30" borderId="102" xfId="26" applyBorder="1" applyAlignment="1">
      <alignment horizontal="center"/>
    </xf>
    <xf numFmtId="0" fontId="0" fillId="0" borderId="96" xfId="0" applyBorder="1" applyAlignment="1">
      <alignment horizontal="center" wrapText="1"/>
    </xf>
    <xf numFmtId="0" fontId="6" fillId="7" borderId="182" xfId="6" applyBorder="1" applyAlignment="1">
      <alignment horizontal="center" vertical="center"/>
    </xf>
    <xf numFmtId="0" fontId="6" fillId="7" borderId="183" xfId="6" applyBorder="1" applyAlignment="1">
      <alignment horizontal="center" vertical="center"/>
    </xf>
    <xf numFmtId="0" fontId="6" fillId="7" borderId="184" xfId="6" applyBorder="1" applyAlignment="1">
      <alignment horizontal="center" vertical="center"/>
    </xf>
    <xf numFmtId="0" fontId="7" fillId="0" borderId="185" xfId="0" applyFont="1" applyBorder="1" applyAlignment="1">
      <alignment horizontal="right" vertical="center"/>
    </xf>
    <xf numFmtId="0" fontId="7" fillId="0" borderId="96" xfId="0" applyFont="1" applyBorder="1" applyAlignment="1">
      <alignment horizontal="right" vertical="center"/>
    </xf>
    <xf numFmtId="0" fontId="7" fillId="0" borderId="185" xfId="0" applyFont="1" applyBorder="1" applyAlignment="1">
      <alignment horizontal="right" vertical="center" wrapText="1"/>
    </xf>
    <xf numFmtId="0" fontId="7" fillId="0" borderId="96" xfId="0" applyFont="1" applyBorder="1" applyAlignment="1">
      <alignment horizontal="right" vertical="center" wrapText="1"/>
    </xf>
    <xf numFmtId="0" fontId="26" fillId="0" borderId="181" xfId="0" applyFont="1" applyBorder="1" applyAlignment="1">
      <alignment horizontal="center" vertical="center"/>
    </xf>
    <xf numFmtId="0" fontId="7" fillId="0" borderId="186" xfId="0" applyFont="1" applyBorder="1" applyAlignment="1">
      <alignment horizontal="right" vertical="center"/>
    </xf>
    <xf numFmtId="0" fontId="7" fillId="0" borderId="187" xfId="0" applyFont="1" applyBorder="1" applyAlignment="1">
      <alignment horizontal="right" vertical="center"/>
    </xf>
    <xf numFmtId="0" fontId="13" fillId="0" borderId="181" xfId="0" applyFont="1" applyBorder="1" applyAlignment="1">
      <alignment horizontal="center" vertical="center" wrapText="1"/>
    </xf>
    <xf numFmtId="0" fontId="13" fillId="0" borderId="188" xfId="0" applyFont="1" applyBorder="1" applyAlignment="1">
      <alignment horizontal="center" vertical="center" wrapText="1"/>
    </xf>
    <xf numFmtId="0" fontId="12" fillId="10" borderId="181" xfId="0" applyFont="1" applyFill="1" applyBorder="1" applyAlignment="1">
      <alignment horizontal="center" vertical="center"/>
    </xf>
    <xf numFmtId="0" fontId="23" fillId="3" borderId="97" xfId="2" applyFont="1" applyBorder="1" applyAlignment="1" applyProtection="1">
      <alignment horizontal="left" wrapText="1"/>
    </xf>
    <xf numFmtId="0" fontId="23" fillId="3" borderId="136" xfId="2" applyFont="1" applyBorder="1" applyAlignment="1" applyProtection="1">
      <alignment horizontal="left" wrapText="1"/>
    </xf>
    <xf numFmtId="0" fontId="23" fillId="3" borderId="98" xfId="2" applyFont="1" applyBorder="1" applyAlignment="1" applyProtection="1">
      <alignment horizontal="left" wrapText="1"/>
    </xf>
    <xf numFmtId="0" fontId="27" fillId="4" borderId="2" xfId="3" quotePrefix="1" applyFont="1" applyAlignment="1" applyProtection="1">
      <alignment horizontal="left" wrapText="1"/>
      <protection locked="0"/>
    </xf>
    <xf numFmtId="0" fontId="27" fillId="4" borderId="2" xfId="3" quotePrefix="1" applyFont="1" applyAlignment="1" applyProtection="1">
      <alignment horizontal="left"/>
      <protection locked="0"/>
    </xf>
    <xf numFmtId="0" fontId="0" fillId="0" borderId="99" xfId="0" applyBorder="1" applyAlignment="1">
      <alignment horizontal="left"/>
    </xf>
    <xf numFmtId="0" fontId="23" fillId="0" borderId="102" xfId="0" applyFont="1" applyBorder="1" applyAlignment="1">
      <alignment horizontal="right" vertical="center"/>
    </xf>
    <xf numFmtId="0" fontId="7" fillId="0" borderId="185" xfId="0" applyFont="1" applyBorder="1" applyAlignment="1">
      <alignment horizontal="left" vertical="center" wrapText="1" indent="2"/>
    </xf>
    <xf numFmtId="0" fontId="7" fillId="0" borderId="96" xfId="0" applyFont="1" applyBorder="1" applyAlignment="1">
      <alignment horizontal="left" vertical="center" wrapText="1" indent="2"/>
    </xf>
    <xf numFmtId="0" fontId="7" fillId="0" borderId="181" xfId="0" applyFont="1" applyBorder="1" applyAlignment="1">
      <alignment horizontal="left" vertical="center" wrapText="1" indent="2"/>
    </xf>
    <xf numFmtId="0" fontId="1" fillId="18" borderId="182" xfId="11" applyBorder="1" applyAlignment="1">
      <alignment horizontal="center"/>
    </xf>
    <xf numFmtId="0" fontId="1" fillId="18" borderId="183" xfId="11" applyBorder="1" applyAlignment="1">
      <alignment horizontal="center"/>
    </xf>
    <xf numFmtId="0" fontId="1" fillId="18" borderId="184" xfId="11" applyBorder="1" applyAlignment="1">
      <alignment horizontal="center"/>
    </xf>
    <xf numFmtId="0" fontId="7" fillId="0" borderId="186" xfId="0" applyFont="1" applyBorder="1" applyAlignment="1">
      <alignment horizontal="left" vertical="center" wrapText="1" indent="2"/>
    </xf>
    <xf numFmtId="0" fontId="7" fillId="0" borderId="187" xfId="0" applyFont="1" applyBorder="1" applyAlignment="1">
      <alignment horizontal="left" vertical="center" wrapText="1" indent="2"/>
    </xf>
    <xf numFmtId="0" fontId="7" fillId="0" borderId="188" xfId="0" applyFont="1" applyBorder="1" applyAlignment="1">
      <alignment horizontal="left" vertical="center" wrapText="1" indent="2"/>
    </xf>
    <xf numFmtId="0" fontId="27" fillId="4" borderId="166" xfId="3" applyFont="1" applyBorder="1" applyAlignment="1" applyProtection="1">
      <alignment horizontal="left" wrapText="1"/>
      <protection locked="0"/>
    </xf>
    <xf numFmtId="0" fontId="27" fillId="4" borderId="157" xfId="3" applyFont="1" applyBorder="1" applyAlignment="1" applyProtection="1">
      <alignment horizontal="left" wrapText="1"/>
      <protection locked="0"/>
    </xf>
    <xf numFmtId="0" fontId="0" fillId="0" borderId="129" xfId="0" applyBorder="1" applyAlignment="1">
      <alignment horizontal="center"/>
    </xf>
    <xf numFmtId="0" fontId="1" fillId="18" borderId="100" xfId="11" applyBorder="1" applyAlignment="1">
      <alignment horizontal="left"/>
    </xf>
    <xf numFmtId="0" fontId="1" fillId="18" borderId="101" xfId="11" applyBorder="1" applyAlignment="1">
      <alignment horizontal="left"/>
    </xf>
    <xf numFmtId="0" fontId="1" fillId="18" borderId="102" xfId="11" applyBorder="1" applyAlignment="1">
      <alignment horizontal="left"/>
    </xf>
    <xf numFmtId="0" fontId="27" fillId="4" borderId="47" xfId="3" applyFont="1" applyBorder="1" applyAlignment="1">
      <alignment horizontal="center" wrapText="1"/>
    </xf>
    <xf numFmtId="0" fontId="27" fillId="4" borderId="164" xfId="3" applyFont="1" applyBorder="1" applyAlignment="1">
      <alignment horizontal="center" wrapText="1"/>
    </xf>
    <xf numFmtId="0" fontId="18" fillId="5" borderId="212" xfId="4" applyFont="1" applyBorder="1" applyAlignment="1">
      <alignment horizontal="center" wrapText="1"/>
    </xf>
    <xf numFmtId="0" fontId="18" fillId="5" borderId="189" xfId="4" applyFont="1" applyBorder="1" applyAlignment="1">
      <alignment horizontal="center" wrapText="1"/>
    </xf>
    <xf numFmtId="0" fontId="0" fillId="0" borderId="100" xfId="0" applyBorder="1" applyAlignment="1">
      <alignment horizontal="center"/>
    </xf>
    <xf numFmtId="0" fontId="0" fillId="0" borderId="101" xfId="0" applyBorder="1" applyAlignment="1">
      <alignment horizontal="center"/>
    </xf>
    <xf numFmtId="0" fontId="0" fillId="0" borderId="102" xfId="0" applyBorder="1" applyAlignment="1">
      <alignment horizontal="center"/>
    </xf>
    <xf numFmtId="0" fontId="14" fillId="3" borderId="97" xfId="2" applyFont="1" applyBorder="1" applyAlignment="1" applyProtection="1">
      <alignment horizontal="center"/>
      <protection locked="0"/>
    </xf>
    <xf numFmtId="0" fontId="14" fillId="3" borderId="98" xfId="2" applyFont="1" applyBorder="1" applyAlignment="1" applyProtection="1">
      <alignment horizontal="center"/>
      <protection locked="0"/>
    </xf>
    <xf numFmtId="0" fontId="6" fillId="30" borderId="206" xfId="26" applyBorder="1" applyAlignment="1">
      <alignment horizontal="center"/>
    </xf>
    <xf numFmtId="0" fontId="6" fillId="30" borderId="210" xfId="26" applyBorder="1" applyAlignment="1">
      <alignment horizontal="center"/>
    </xf>
    <xf numFmtId="0" fontId="6" fillId="30" borderId="129" xfId="26" applyBorder="1" applyAlignment="1">
      <alignment horizontal="center"/>
    </xf>
    <xf numFmtId="0" fontId="6" fillId="30" borderId="144" xfId="26" applyBorder="1" applyAlignment="1">
      <alignment horizontal="center"/>
    </xf>
    <xf numFmtId="0" fontId="27" fillId="0" borderId="97" xfId="0" applyFont="1" applyBorder="1" applyAlignment="1">
      <alignment horizontal="center"/>
    </xf>
    <xf numFmtId="0" fontId="27" fillId="0" borderId="136" xfId="0" applyFont="1" applyBorder="1" applyAlignment="1">
      <alignment horizontal="center"/>
    </xf>
    <xf numFmtId="0" fontId="27" fillId="0" borderId="98" xfId="0" applyFont="1" applyBorder="1" applyAlignment="1">
      <alignment horizontal="center"/>
    </xf>
    <xf numFmtId="0" fontId="14" fillId="4" borderId="47" xfId="3" applyFont="1" applyBorder="1" applyAlignment="1" applyProtection="1">
      <alignment horizontal="left"/>
      <protection locked="0"/>
    </xf>
    <xf numFmtId="0" fontId="14" fillId="4" borderId="2" xfId="3" applyFont="1" applyAlignment="1" applyProtection="1">
      <alignment horizontal="left"/>
      <protection locked="0"/>
    </xf>
    <xf numFmtId="0" fontId="24" fillId="3" borderId="96" xfId="2" applyFont="1" applyBorder="1" applyAlignment="1" applyProtection="1">
      <alignment horizontal="left" wrapText="1"/>
    </xf>
    <xf numFmtId="0" fontId="103" fillId="3" borderId="96" xfId="2" applyFont="1" applyBorder="1" applyAlignment="1" applyProtection="1">
      <alignment horizontal="left"/>
    </xf>
    <xf numFmtId="0" fontId="24" fillId="3" borderId="96" xfId="2" applyFont="1" applyBorder="1" applyAlignment="1">
      <alignment horizontal="center"/>
    </xf>
    <xf numFmtId="0" fontId="24" fillId="3" borderId="96" xfId="2" applyFont="1" applyBorder="1" applyAlignment="1" applyProtection="1">
      <alignment horizontal="center"/>
    </xf>
    <xf numFmtId="0" fontId="24" fillId="3" borderId="96" xfId="2" applyFont="1" applyBorder="1" applyAlignment="1">
      <alignment horizontal="left" wrapText="1"/>
    </xf>
    <xf numFmtId="0" fontId="66" fillId="35" borderId="129" xfId="9" applyFont="1" applyFill="1" applyBorder="1" applyAlignment="1" applyProtection="1">
      <alignment horizontal="center" vertical="center" wrapText="1"/>
    </xf>
    <xf numFmtId="0" fontId="66" fillId="35" borderId="99" xfId="9" applyFont="1" applyFill="1" applyBorder="1" applyAlignment="1" applyProtection="1">
      <alignment horizontal="center" vertical="center" wrapText="1"/>
    </xf>
    <xf numFmtId="0" fontId="6" fillId="30" borderId="144" xfId="26" applyBorder="1" applyAlignment="1" applyProtection="1">
      <alignment horizontal="center" vertical="center" wrapText="1"/>
    </xf>
    <xf numFmtId="0" fontId="6" fillId="30" borderId="145" xfId="26" applyBorder="1" applyAlignment="1" applyProtection="1">
      <alignment horizontal="center" vertical="center" wrapText="1"/>
    </xf>
    <xf numFmtId="0" fontId="6" fillId="30" borderId="129" xfId="26" applyBorder="1" applyAlignment="1" applyProtection="1">
      <alignment horizontal="center" vertical="center" wrapText="1"/>
    </xf>
    <xf numFmtId="0" fontId="6" fillId="30" borderId="99" xfId="26" applyBorder="1" applyAlignment="1" applyProtection="1">
      <alignment horizontal="center" vertical="center" wrapText="1"/>
    </xf>
    <xf numFmtId="0" fontId="6" fillId="30" borderId="146" xfId="26" applyBorder="1" applyAlignment="1" applyProtection="1">
      <alignment horizontal="center" vertical="center" wrapText="1"/>
    </xf>
    <xf numFmtId="0" fontId="6" fillId="30" borderId="147" xfId="26" applyBorder="1" applyAlignment="1" applyProtection="1">
      <alignment horizontal="center" vertical="center" wrapText="1"/>
    </xf>
    <xf numFmtId="0" fontId="55" fillId="33" borderId="129" xfId="4" applyFont="1" applyFill="1" applyBorder="1" applyAlignment="1" applyProtection="1">
      <alignment horizontal="center" vertical="center" wrapText="1"/>
    </xf>
    <xf numFmtId="0" fontId="55" fillId="33" borderId="99" xfId="4" applyFont="1" applyFill="1" applyBorder="1" applyAlignment="1" applyProtection="1">
      <alignment horizontal="center" vertical="center" wrapText="1"/>
    </xf>
    <xf numFmtId="0" fontId="56" fillId="33" borderId="129" xfId="4" applyFont="1" applyFill="1" applyBorder="1" applyAlignment="1" applyProtection="1">
      <alignment horizontal="center" wrapText="1"/>
    </xf>
    <xf numFmtId="0" fontId="56" fillId="33" borderId="99" xfId="4" applyFont="1" applyFill="1" applyBorder="1" applyAlignment="1" applyProtection="1">
      <alignment horizontal="center" wrapText="1"/>
    </xf>
    <xf numFmtId="0" fontId="6" fillId="30" borderId="136" xfId="26" applyBorder="1" applyAlignment="1">
      <alignment horizontal="center"/>
    </xf>
    <xf numFmtId="0" fontId="6" fillId="30" borderId="279" xfId="26" applyBorder="1" applyAlignment="1" applyProtection="1">
      <alignment horizontal="center" wrapText="1"/>
    </xf>
    <xf numFmtId="0" fontId="6" fillId="30" borderId="281" xfId="26" applyBorder="1" applyAlignment="1" applyProtection="1">
      <alignment horizontal="center" wrapText="1"/>
    </xf>
    <xf numFmtId="0" fontId="6" fillId="5" borderId="275" xfId="4" applyBorder="1" applyAlignment="1">
      <alignment horizontal="center"/>
    </xf>
    <xf numFmtId="0" fontId="6" fillId="5" borderId="276" xfId="4" applyBorder="1" applyAlignment="1">
      <alignment horizontal="center"/>
    </xf>
    <xf numFmtId="0" fontId="6" fillId="5" borderId="277" xfId="4" applyBorder="1" applyAlignment="1">
      <alignment horizontal="center"/>
    </xf>
    <xf numFmtId="0" fontId="56" fillId="33" borderId="278" xfId="4" applyFont="1" applyFill="1" applyBorder="1" applyAlignment="1" applyProtection="1">
      <alignment horizontal="center" wrapText="1"/>
    </xf>
    <xf numFmtId="0" fontId="56" fillId="33" borderId="280" xfId="4" applyFont="1" applyFill="1" applyBorder="1" applyAlignment="1" applyProtection="1">
      <alignment horizontal="center" wrapText="1"/>
    </xf>
    <xf numFmtId="0" fontId="56" fillId="33" borderId="129" xfId="4" applyFont="1" applyFill="1" applyBorder="1" applyAlignment="1" applyProtection="1">
      <alignment horizontal="center" vertical="center" wrapText="1"/>
    </xf>
    <xf numFmtId="0" fontId="56" fillId="33" borderId="99" xfId="4" applyFont="1" applyFill="1" applyBorder="1" applyAlignment="1" applyProtection="1">
      <alignment horizontal="center" vertical="center" wrapText="1"/>
    </xf>
    <xf numFmtId="0" fontId="6" fillId="30" borderId="129" xfId="26" applyBorder="1" applyAlignment="1" applyProtection="1">
      <alignment horizontal="center" wrapText="1"/>
    </xf>
    <xf numFmtId="0" fontId="6" fillId="30" borderId="99" xfId="26" applyBorder="1" applyAlignment="1" applyProtection="1">
      <alignment horizontal="center" wrapText="1"/>
    </xf>
    <xf numFmtId="0" fontId="76" fillId="30" borderId="96" xfId="26" applyFont="1" applyBorder="1" applyAlignment="1" applyProtection="1">
      <alignment horizontal="center" wrapText="1"/>
    </xf>
    <xf numFmtId="0" fontId="66" fillId="35" borderId="100" xfId="4" applyFont="1" applyFill="1" applyBorder="1" applyAlignment="1" applyProtection="1">
      <alignment horizontal="center" wrapText="1"/>
    </xf>
    <xf numFmtId="0" fontId="66" fillId="35" borderId="102" xfId="4" applyFont="1" applyFill="1" applyBorder="1" applyAlignment="1" applyProtection="1">
      <alignment horizontal="center" wrapText="1"/>
    </xf>
    <xf numFmtId="0" fontId="7" fillId="0" borderId="128" xfId="0" applyFont="1" applyBorder="1" applyAlignment="1">
      <alignment horizontal="center" wrapText="1"/>
    </xf>
    <xf numFmtId="0" fontId="7" fillId="0" borderId="134" xfId="0" applyFont="1" applyBorder="1" applyAlignment="1">
      <alignment horizontal="center" wrapText="1"/>
    </xf>
    <xf numFmtId="0" fontId="29" fillId="0" borderId="128" xfId="0" applyFont="1" applyBorder="1" applyAlignment="1">
      <alignment horizontal="center" wrapText="1"/>
    </xf>
    <xf numFmtId="0" fontId="29" fillId="0" borderId="134" xfId="0" applyFont="1" applyBorder="1" applyAlignment="1">
      <alignment horizontal="center" wrapText="1"/>
    </xf>
    <xf numFmtId="0" fontId="6" fillId="30" borderId="96" xfId="26" applyBorder="1" applyAlignment="1">
      <alignment horizontal="center"/>
    </xf>
    <xf numFmtId="0" fontId="24" fillId="3" borderId="99" xfId="2" applyFont="1" applyBorder="1" applyAlignment="1" applyProtection="1">
      <alignment horizontal="center"/>
    </xf>
    <xf numFmtId="0" fontId="23" fillId="0" borderId="100" xfId="0" applyFont="1" applyBorder="1" applyAlignment="1">
      <alignment horizontal="left" vertical="center"/>
    </xf>
    <xf numFmtId="0" fontId="23" fillId="0" borderId="101" xfId="0" applyFont="1" applyBorder="1" applyAlignment="1">
      <alignment horizontal="left" vertical="center"/>
    </xf>
    <xf numFmtId="0" fontId="23" fillId="0" borderId="102" xfId="0" applyFont="1" applyBorder="1" applyAlignment="1">
      <alignment horizontal="left" vertical="center"/>
    </xf>
    <xf numFmtId="0" fontId="24" fillId="0" borderId="212" xfId="0" applyFont="1" applyBorder="1" applyAlignment="1">
      <alignment horizontal="center" wrapText="1"/>
    </xf>
    <xf numFmtId="0" fontId="24" fillId="0" borderId="189" xfId="0" applyFont="1" applyBorder="1" applyAlignment="1">
      <alignment horizontal="center" wrapText="1"/>
    </xf>
    <xf numFmtId="0" fontId="6" fillId="9" borderId="100" xfId="13" applyFont="1" applyFill="1" applyBorder="1" applyAlignment="1">
      <alignment horizontal="center"/>
    </xf>
    <xf numFmtId="0" fontId="6" fillId="9" borderId="101" xfId="13" applyFont="1" applyFill="1" applyBorder="1" applyAlignment="1">
      <alignment horizontal="center"/>
    </xf>
    <xf numFmtId="0" fontId="6" fillId="9" borderId="102" xfId="13" applyFont="1" applyFill="1" applyBorder="1" applyAlignment="1">
      <alignment horizontal="center"/>
    </xf>
    <xf numFmtId="0" fontId="81" fillId="13" borderId="96" xfId="8" applyFont="1" applyBorder="1" applyAlignment="1">
      <alignment horizontal="center" vertical="center" textRotation="255"/>
    </xf>
    <xf numFmtId="0" fontId="81" fillId="20" borderId="96" xfId="13" applyFont="1" applyBorder="1" applyAlignment="1">
      <alignment horizontal="center" vertical="center" textRotation="255"/>
    </xf>
    <xf numFmtId="0" fontId="24" fillId="3" borderId="99" xfId="2" applyFont="1" applyBorder="1" applyAlignment="1" applyProtection="1">
      <alignment horizontal="left" wrapText="1"/>
    </xf>
    <xf numFmtId="0" fontId="21" fillId="3" borderId="97" xfId="2" applyFont="1" applyBorder="1" applyAlignment="1" applyProtection="1">
      <alignment horizontal="center"/>
      <protection locked="0"/>
    </xf>
    <xf numFmtId="0" fontId="21" fillId="3" borderId="98" xfId="2" applyFont="1" applyBorder="1" applyAlignment="1" applyProtection="1">
      <alignment horizontal="center"/>
      <protection locked="0"/>
    </xf>
    <xf numFmtId="0" fontId="47" fillId="4" borderId="97" xfId="0" applyFont="1" applyFill="1" applyBorder="1" applyAlignment="1">
      <alignment horizontal="center" vertical="center"/>
    </xf>
    <xf numFmtId="0" fontId="47" fillId="4" borderId="98" xfId="0" applyFont="1" applyFill="1" applyBorder="1" applyAlignment="1">
      <alignment horizontal="center" vertical="center"/>
    </xf>
    <xf numFmtId="17" fontId="27" fillId="0" borderId="129" xfId="0" applyNumberFormat="1" applyFont="1" applyBorder="1" applyAlignment="1" applyProtection="1">
      <alignment horizontal="left" vertical="top" wrapText="1"/>
      <protection locked="0"/>
    </xf>
    <xf numFmtId="17" fontId="27" fillId="0" borderId="192" xfId="0" applyNumberFormat="1" applyFont="1" applyBorder="1" applyAlignment="1" applyProtection="1">
      <alignment horizontal="left" vertical="top" wrapText="1"/>
      <protection locked="0"/>
    </xf>
    <xf numFmtId="17" fontId="27" fillId="0" borderId="99" xfId="0" applyNumberFormat="1" applyFont="1" applyBorder="1" applyAlignment="1" applyProtection="1">
      <alignment horizontal="left" vertical="top" wrapText="1"/>
      <protection locked="0"/>
    </xf>
    <xf numFmtId="0" fontId="72" fillId="0" borderId="144" xfId="0" applyFont="1" applyBorder="1" applyAlignment="1" applyProtection="1">
      <alignment horizontal="left" vertical="top" wrapText="1"/>
      <protection locked="0"/>
    </xf>
    <xf numFmtId="0" fontId="72" fillId="0" borderId="128" xfId="0" applyFont="1" applyBorder="1" applyAlignment="1" applyProtection="1">
      <alignment horizontal="left" vertical="top" wrapText="1"/>
      <protection locked="0"/>
    </xf>
    <xf numFmtId="0" fontId="72" fillId="0" borderId="146" xfId="0" applyFont="1" applyBorder="1" applyAlignment="1" applyProtection="1">
      <alignment horizontal="left" vertical="top" wrapText="1"/>
      <protection locked="0"/>
    </xf>
    <xf numFmtId="0" fontId="72" fillId="0" borderId="191" xfId="0" applyFont="1" applyBorder="1" applyAlignment="1" applyProtection="1">
      <alignment horizontal="left" vertical="top" wrapText="1"/>
      <protection locked="0"/>
    </xf>
    <xf numFmtId="0" fontId="72" fillId="0" borderId="0" xfId="0" applyFont="1" applyAlignment="1" applyProtection="1">
      <alignment horizontal="left" vertical="top" wrapText="1"/>
      <protection locked="0"/>
    </xf>
    <xf numFmtId="0" fontId="72" fillId="0" borderId="173" xfId="0" applyFont="1" applyBorder="1" applyAlignment="1" applyProtection="1">
      <alignment horizontal="left" vertical="top" wrapText="1"/>
      <protection locked="0"/>
    </xf>
    <xf numFmtId="0" fontId="72" fillId="0" borderId="145" xfId="0" applyFont="1" applyBorder="1" applyAlignment="1" applyProtection="1">
      <alignment horizontal="left" vertical="top" wrapText="1"/>
      <protection locked="0"/>
    </xf>
    <xf numFmtId="0" fontId="72" fillId="0" borderId="134" xfId="0" applyFont="1" applyBorder="1" applyAlignment="1" applyProtection="1">
      <alignment horizontal="left" vertical="top" wrapText="1"/>
      <protection locked="0"/>
    </xf>
    <xf numFmtId="0" fontId="72" fillId="0" borderId="147" xfId="0" applyFont="1" applyBorder="1" applyAlignment="1" applyProtection="1">
      <alignment horizontal="left" vertical="top" wrapText="1"/>
      <protection locked="0"/>
    </xf>
    <xf numFmtId="0" fontId="47" fillId="4" borderId="97" xfId="0" applyFont="1" applyFill="1" applyBorder="1" applyAlignment="1">
      <alignment horizontal="left" vertical="center"/>
    </xf>
    <xf numFmtId="0" fontId="47" fillId="4" borderId="136" xfId="0" applyFont="1" applyFill="1" applyBorder="1" applyAlignment="1">
      <alignment horizontal="left" vertical="center"/>
    </xf>
    <xf numFmtId="0" fontId="47" fillId="4" borderId="98" xfId="0" applyFont="1" applyFill="1" applyBorder="1" applyAlignment="1">
      <alignment horizontal="left" vertical="center"/>
    </xf>
    <xf numFmtId="0" fontId="14" fillId="0" borderId="129" xfId="0" applyFont="1" applyBorder="1" applyAlignment="1" applyProtection="1">
      <alignment horizontal="left" vertical="top" wrapText="1"/>
      <protection locked="0"/>
    </xf>
    <xf numFmtId="0" fontId="14" fillId="0" borderId="192" xfId="0" applyFont="1" applyBorder="1" applyAlignment="1" applyProtection="1">
      <alignment horizontal="left" vertical="top" wrapText="1"/>
      <protection locked="0"/>
    </xf>
    <xf numFmtId="0" fontId="14" fillId="0" borderId="99" xfId="0" applyFont="1" applyBorder="1" applyAlignment="1" applyProtection="1">
      <alignment horizontal="left" vertical="top" wrapText="1"/>
      <protection locked="0"/>
    </xf>
    <xf numFmtId="0" fontId="6" fillId="30" borderId="129" xfId="26" applyBorder="1" applyAlignment="1" applyProtection="1">
      <alignment horizontal="center" vertical="top" wrapText="1"/>
    </xf>
    <xf numFmtId="0" fontId="6" fillId="30" borderId="192" xfId="26" applyBorder="1" applyAlignment="1" applyProtection="1">
      <alignment horizontal="center" vertical="top" wrapText="1"/>
    </xf>
    <xf numFmtId="0" fontId="6" fillId="30" borderId="99" xfId="26" applyBorder="1" applyAlignment="1" applyProtection="1">
      <alignment horizontal="center" vertical="top" wrapText="1"/>
    </xf>
    <xf numFmtId="0" fontId="23" fillId="0" borderId="266" xfId="0" applyFont="1" applyBorder="1" applyAlignment="1">
      <alignment horizontal="right" vertical="center"/>
    </xf>
    <xf numFmtId="0" fontId="23" fillId="0" borderId="274" xfId="0" applyFont="1" applyBorder="1" applyAlignment="1">
      <alignment horizontal="right" vertical="center"/>
    </xf>
    <xf numFmtId="0" fontId="29" fillId="0" borderId="49" xfId="0" applyFont="1" applyBorder="1" applyAlignment="1">
      <alignment horizontal="center" wrapText="1"/>
    </xf>
    <xf numFmtId="0" fontId="7" fillId="0" borderId="49" xfId="0" applyFont="1" applyBorder="1" applyAlignment="1">
      <alignment horizontal="center" wrapText="1"/>
    </xf>
    <xf numFmtId="0" fontId="19" fillId="4" borderId="244" xfId="3" applyFont="1" applyBorder="1" applyAlignment="1">
      <alignment horizontal="center" vertical="center" wrapText="1"/>
    </xf>
    <xf numFmtId="0" fontId="19" fillId="4" borderId="210" xfId="3" applyFont="1" applyBorder="1" applyAlignment="1">
      <alignment horizontal="center" vertical="center" wrapText="1"/>
    </xf>
    <xf numFmtId="0" fontId="19" fillId="4" borderId="235" xfId="3" applyFont="1" applyBorder="1" applyAlignment="1">
      <alignment horizontal="center" vertical="center" wrapText="1"/>
    </xf>
    <xf numFmtId="0" fontId="19" fillId="4" borderId="145" xfId="3" applyFont="1" applyBorder="1" applyAlignment="1">
      <alignment horizontal="center" vertical="center" wrapText="1"/>
    </xf>
    <xf numFmtId="0" fontId="19" fillId="4" borderId="134" xfId="3" applyFont="1" applyBorder="1" applyAlignment="1">
      <alignment horizontal="center" vertical="center" wrapText="1"/>
    </xf>
    <xf numFmtId="0" fontId="19" fillId="4" borderId="147" xfId="3" applyFont="1" applyBorder="1" applyAlignment="1">
      <alignment horizontal="center" vertical="center" wrapText="1"/>
    </xf>
    <xf numFmtId="0" fontId="18" fillId="5" borderId="206" xfId="4" applyFont="1" applyBorder="1" applyAlignment="1">
      <alignment horizontal="center" vertical="center"/>
    </xf>
    <xf numFmtId="0" fontId="18" fillId="5" borderId="210" xfId="4" applyFont="1" applyBorder="1" applyAlignment="1">
      <alignment horizontal="center" vertical="center"/>
    </xf>
    <xf numFmtId="0" fontId="18" fillId="5" borderId="211" xfId="4" applyFont="1" applyBorder="1" applyAlignment="1">
      <alignment horizontal="center" vertical="center"/>
    </xf>
    <xf numFmtId="0" fontId="18" fillId="5" borderId="197" xfId="4" applyFont="1" applyBorder="1" applyAlignment="1">
      <alignment horizontal="center" vertical="center"/>
    </xf>
    <xf numFmtId="0" fontId="18" fillId="5" borderId="198" xfId="4" applyFont="1" applyBorder="1" applyAlignment="1">
      <alignment horizontal="center" vertical="center"/>
    </xf>
    <xf numFmtId="0" fontId="18" fillId="5" borderId="200" xfId="4" applyFont="1" applyBorder="1" applyAlignment="1">
      <alignment horizontal="center" vertical="center"/>
    </xf>
    <xf numFmtId="0" fontId="21" fillId="3" borderId="238" xfId="2" applyFont="1" applyBorder="1" applyAlignment="1" applyProtection="1">
      <alignment horizontal="left"/>
      <protection locked="0"/>
    </xf>
    <xf numFmtId="0" fontId="21" fillId="3" borderId="103" xfId="2" applyFont="1" applyBorder="1" applyAlignment="1" applyProtection="1">
      <alignment horizontal="left"/>
      <protection locked="0"/>
    </xf>
    <xf numFmtId="0" fontId="21" fillId="3" borderId="95" xfId="2" applyFont="1" applyBorder="1" applyAlignment="1" applyProtection="1">
      <alignment horizontal="left"/>
    </xf>
    <xf numFmtId="0" fontId="21" fillId="3" borderId="103" xfId="2" applyFont="1" applyBorder="1" applyAlignment="1" applyProtection="1">
      <alignment horizontal="left"/>
    </xf>
    <xf numFmtId="0" fontId="21" fillId="3" borderId="242" xfId="2" applyFont="1" applyBorder="1" applyAlignment="1" applyProtection="1">
      <alignment horizontal="left"/>
      <protection locked="0"/>
    </xf>
    <xf numFmtId="0" fontId="21" fillId="3" borderId="243" xfId="2" applyFont="1" applyBorder="1" applyAlignment="1" applyProtection="1">
      <alignment horizontal="left"/>
      <protection locked="0"/>
    </xf>
    <xf numFmtId="0" fontId="21" fillId="3" borderId="241" xfId="2" applyFont="1" applyBorder="1" applyAlignment="1" applyProtection="1">
      <alignment horizontal="left"/>
      <protection locked="0"/>
    </xf>
    <xf numFmtId="0" fontId="21" fillId="3" borderId="240" xfId="2" applyFont="1" applyBorder="1" applyAlignment="1" applyProtection="1">
      <alignment horizontal="left"/>
      <protection locked="0"/>
    </xf>
    <xf numFmtId="0" fontId="21" fillId="3" borderId="239" xfId="2" applyFont="1" applyBorder="1" applyAlignment="1" applyProtection="1">
      <alignment horizontal="left"/>
    </xf>
    <xf numFmtId="0" fontId="21" fillId="3" borderId="240" xfId="2" applyFont="1" applyBorder="1" applyAlignment="1" applyProtection="1">
      <alignment horizontal="left"/>
    </xf>
    <xf numFmtId="0" fontId="6" fillId="30" borderId="97" xfId="26" applyBorder="1" applyAlignment="1" applyProtection="1">
      <alignment horizontal="center"/>
    </xf>
    <xf numFmtId="0" fontId="6" fillId="30" borderId="136" xfId="26" applyBorder="1" applyAlignment="1" applyProtection="1">
      <alignment horizontal="center"/>
    </xf>
    <xf numFmtId="0" fontId="6" fillId="30" borderId="98" xfId="26" applyBorder="1" applyAlignment="1" applyProtection="1">
      <alignment horizontal="center"/>
    </xf>
    <xf numFmtId="0" fontId="18" fillId="35" borderId="96" xfId="26" applyFont="1" applyFill="1" applyBorder="1" applyAlignment="1" applyProtection="1">
      <alignment horizontal="center" wrapText="1"/>
    </xf>
    <xf numFmtId="0" fontId="0" fillId="15" borderId="144" xfId="0" applyFill="1" applyBorder="1" applyAlignment="1">
      <alignment horizontal="center"/>
    </xf>
    <xf numFmtId="0" fontId="0" fillId="15" borderId="128" xfId="0" applyFill="1" applyBorder="1" applyAlignment="1">
      <alignment horizontal="center"/>
    </xf>
    <xf numFmtId="0" fontId="0" fillId="15" borderId="146" xfId="0" applyFill="1" applyBorder="1" applyAlignment="1">
      <alignment horizontal="center"/>
    </xf>
    <xf numFmtId="0" fontId="0" fillId="15" borderId="191" xfId="0" applyFill="1" applyBorder="1" applyAlignment="1">
      <alignment horizontal="center"/>
    </xf>
    <xf numFmtId="0" fontId="59" fillId="15" borderId="191" xfId="0" applyFont="1" applyFill="1" applyBorder="1" applyAlignment="1">
      <alignment horizontal="center" vertical="center"/>
    </xf>
    <xf numFmtId="0" fontId="1" fillId="24" borderId="96" xfId="23" applyBorder="1" applyAlignment="1">
      <alignment horizontal="center"/>
    </xf>
    <xf numFmtId="0" fontId="6" fillId="19" borderId="96" xfId="12" applyFont="1" applyBorder="1" applyAlignment="1" applyProtection="1">
      <alignment horizontal="center"/>
    </xf>
    <xf numFmtId="0" fontId="23" fillId="3" borderId="96" xfId="2" applyFont="1" applyBorder="1" applyAlignment="1">
      <alignment horizontal="left"/>
    </xf>
    <xf numFmtId="0" fontId="6" fillId="7" borderId="96" xfId="6" applyBorder="1" applyAlignment="1">
      <alignment horizontal="center"/>
    </xf>
    <xf numFmtId="0" fontId="81" fillId="18" borderId="96" xfId="11" applyFont="1" applyBorder="1" applyAlignment="1">
      <alignment horizontal="center" vertical="center" textRotation="255" wrapText="1"/>
    </xf>
    <xf numFmtId="0" fontId="6" fillId="5" borderId="98" xfId="4" applyBorder="1" applyAlignment="1" applyProtection="1">
      <alignment horizontal="center"/>
    </xf>
    <xf numFmtId="0" fontId="6" fillId="5" borderId="96" xfId="4" applyBorder="1" applyAlignment="1" applyProtection="1">
      <alignment horizontal="center"/>
    </xf>
    <xf numFmtId="0" fontId="66" fillId="35" borderId="271" xfId="4" applyFont="1" applyFill="1" applyBorder="1" applyAlignment="1" applyProtection="1">
      <alignment horizontal="center" wrapText="1"/>
    </xf>
    <xf numFmtId="0" fontId="66" fillId="35" borderId="272" xfId="4" applyFont="1" applyFill="1" applyBorder="1" applyAlignment="1" applyProtection="1">
      <alignment horizontal="center" wrapText="1"/>
    </xf>
    <xf numFmtId="0" fontId="66" fillId="35" borderId="268" xfId="4" applyFont="1" applyFill="1" applyBorder="1" applyAlignment="1" applyProtection="1">
      <alignment horizontal="center" wrapText="1"/>
    </xf>
    <xf numFmtId="0" fontId="66" fillId="35" borderId="269" xfId="4" applyFont="1" applyFill="1" applyBorder="1" applyAlignment="1" applyProtection="1">
      <alignment horizontal="center" wrapText="1"/>
    </xf>
    <xf numFmtId="0" fontId="7" fillId="0" borderId="96" xfId="0" applyFont="1" applyBorder="1" applyAlignment="1">
      <alignment horizontal="center" wrapText="1"/>
    </xf>
    <xf numFmtId="0" fontId="7" fillId="0" borderId="129" xfId="0" applyFont="1" applyBorder="1" applyAlignment="1">
      <alignment horizontal="center" wrapText="1"/>
    </xf>
    <xf numFmtId="0" fontId="6" fillId="30" borderId="96" xfId="26" applyBorder="1" applyAlignment="1" applyProtection="1">
      <alignment horizontal="center"/>
    </xf>
    <xf numFmtId="0" fontId="18" fillId="33" borderId="128" xfId="4" applyFont="1" applyFill="1" applyBorder="1" applyAlignment="1">
      <alignment horizontal="center" wrapText="1"/>
    </xf>
    <xf numFmtId="0" fontId="18" fillId="33" borderId="49" xfId="4" applyFont="1" applyFill="1" applyBorder="1" applyAlignment="1">
      <alignment horizontal="center" wrapText="1"/>
    </xf>
    <xf numFmtId="44" fontId="27" fillId="4" borderId="2" xfId="3" applyNumberFormat="1" applyFont="1" applyAlignment="1" applyProtection="1">
      <alignment horizontal="left" wrapText="1"/>
      <protection locked="0"/>
    </xf>
    <xf numFmtId="0" fontId="29" fillId="0" borderId="155" xfId="3" applyFont="1" applyFill="1" applyBorder="1" applyAlignment="1">
      <alignment horizontal="center"/>
    </xf>
    <xf numFmtId="0" fontId="29" fillId="0" borderId="27" xfId="3" applyFont="1" applyFill="1" applyBorder="1" applyAlignment="1">
      <alignment horizontal="center"/>
    </xf>
    <xf numFmtId="0" fontId="29" fillId="0" borderId="140" xfId="3" applyFont="1" applyFill="1" applyBorder="1" applyAlignment="1">
      <alignment horizontal="center"/>
    </xf>
    <xf numFmtId="0" fontId="29" fillId="0" borderId="145" xfId="0" applyFont="1" applyBorder="1" applyAlignment="1">
      <alignment horizontal="center"/>
    </xf>
    <xf numFmtId="0" fontId="29" fillId="0" borderId="147" xfId="0" applyFont="1" applyBorder="1" applyAlignment="1">
      <alignment horizontal="center"/>
    </xf>
    <xf numFmtId="0" fontId="29" fillId="0" borderId="134" xfId="0" applyFont="1" applyBorder="1" applyAlignment="1">
      <alignment horizontal="center"/>
    </xf>
    <xf numFmtId="0" fontId="1" fillId="18" borderId="97" xfId="11" applyBorder="1" applyAlignment="1">
      <alignment horizontal="left"/>
    </xf>
    <xf numFmtId="0" fontId="1" fillId="18" borderId="136" xfId="11" applyBorder="1" applyAlignment="1">
      <alignment horizontal="left"/>
    </xf>
    <xf numFmtId="0" fontId="1" fillId="18" borderId="98" xfId="11" applyBorder="1" applyAlignment="1">
      <alignment horizontal="left"/>
    </xf>
    <xf numFmtId="0" fontId="27" fillId="4" borderId="205" xfId="3" applyFont="1" applyBorder="1" applyAlignment="1">
      <alignment horizontal="center" wrapText="1"/>
    </xf>
    <xf numFmtId="0" fontId="27" fillId="4" borderId="172" xfId="3" applyFont="1" applyBorder="1" applyAlignment="1">
      <alignment horizontal="center" wrapText="1"/>
    </xf>
    <xf numFmtId="0" fontId="29" fillId="0" borderId="156" xfId="3" applyFont="1" applyFill="1" applyBorder="1" applyAlignment="1">
      <alignment horizontal="center"/>
    </xf>
    <xf numFmtId="0" fontId="29" fillId="0" borderId="142" xfId="3" applyFont="1" applyFill="1" applyBorder="1" applyAlignment="1">
      <alignment horizontal="center"/>
    </xf>
    <xf numFmtId="0" fontId="29" fillId="0" borderId="143" xfId="3" applyFont="1" applyFill="1" applyBorder="1" applyAlignment="1">
      <alignment horizontal="center"/>
    </xf>
    <xf numFmtId="0" fontId="6" fillId="5" borderId="100" xfId="4" applyBorder="1" applyAlignment="1">
      <alignment horizontal="center"/>
    </xf>
    <xf numFmtId="0" fontId="6" fillId="5" borderId="101" xfId="4" applyBorder="1" applyAlignment="1">
      <alignment horizontal="center"/>
    </xf>
    <xf numFmtId="0" fontId="6" fillId="5" borderId="102" xfId="4" applyBorder="1" applyAlignment="1">
      <alignment horizontal="center"/>
    </xf>
    <xf numFmtId="0" fontId="6" fillId="30" borderId="100" xfId="26" applyBorder="1" applyAlignment="1" applyProtection="1">
      <alignment horizontal="center"/>
    </xf>
    <xf numFmtId="0" fontId="6" fillId="30" borderId="101" xfId="26" applyBorder="1" applyAlignment="1" applyProtection="1">
      <alignment horizontal="center"/>
    </xf>
    <xf numFmtId="0" fontId="66" fillId="35" borderId="96" xfId="4" applyFont="1" applyFill="1" applyBorder="1" applyAlignment="1" applyProtection="1">
      <alignment horizontal="center" wrapText="1"/>
    </xf>
    <xf numFmtId="0" fontId="66" fillId="35" borderId="97" xfId="4" applyFont="1" applyFill="1" applyBorder="1" applyAlignment="1" applyProtection="1">
      <alignment horizontal="center" wrapText="1"/>
    </xf>
    <xf numFmtId="0" fontId="1" fillId="18" borderId="96" xfId="11" applyBorder="1" applyAlignment="1">
      <alignment horizontal="center"/>
    </xf>
    <xf numFmtId="0" fontId="4" fillId="38" borderId="96" xfId="30" applyFont="1" applyBorder="1" applyAlignment="1">
      <alignment horizontal="center"/>
    </xf>
    <xf numFmtId="0" fontId="29" fillId="0" borderId="144" xfId="0" applyFont="1" applyBorder="1" applyAlignment="1">
      <alignment horizontal="center"/>
    </xf>
    <xf numFmtId="0" fontId="29" fillId="0" borderId="146" xfId="0" applyFont="1" applyBorder="1" applyAlignment="1">
      <alignment horizontal="center"/>
    </xf>
    <xf numFmtId="0" fontId="29" fillId="0" borderId="128" xfId="0" applyFont="1" applyBorder="1" applyAlignment="1">
      <alignment horizontal="center"/>
    </xf>
    <xf numFmtId="0" fontId="29" fillId="0" borderId="153" xfId="3" applyFont="1" applyFill="1" applyBorder="1" applyAlignment="1">
      <alignment horizontal="center"/>
    </xf>
    <xf numFmtId="0" fontId="29" fillId="0" borderId="149" xfId="3" applyFont="1" applyFill="1" applyBorder="1" applyAlignment="1">
      <alignment horizontal="center"/>
    </xf>
    <xf numFmtId="0" fontId="29" fillId="0" borderId="154" xfId="3" applyFont="1" applyFill="1" applyBorder="1" applyAlignment="1">
      <alignment horizontal="center"/>
    </xf>
    <xf numFmtId="0" fontId="29" fillId="0" borderId="191" xfId="0" applyFont="1" applyBorder="1" applyAlignment="1">
      <alignment horizontal="center"/>
    </xf>
    <xf numFmtId="0" fontId="29" fillId="0" borderId="173" xfId="0" applyFont="1" applyBorder="1" applyAlignment="1">
      <alignment horizontal="center"/>
    </xf>
    <xf numFmtId="0" fontId="29" fillId="0" borderId="0" xfId="0" applyFont="1" applyAlignment="1">
      <alignment horizontal="center"/>
    </xf>
    <xf numFmtId="0" fontId="29" fillId="0" borderId="96" xfId="0" applyFont="1" applyBorder="1" applyAlignment="1">
      <alignment horizontal="center" wrapText="1"/>
    </xf>
    <xf numFmtId="0" fontId="91" fillId="0" borderId="101" xfId="0" applyFont="1" applyBorder="1" applyAlignment="1">
      <alignment horizontal="left"/>
    </xf>
    <xf numFmtId="0" fontId="91" fillId="0" borderId="102" xfId="0" applyFont="1" applyBorder="1" applyAlignment="1">
      <alignment horizontal="left"/>
    </xf>
    <xf numFmtId="0" fontId="82" fillId="0" borderId="134" xfId="0" applyFont="1" applyBorder="1" applyAlignment="1">
      <alignment horizontal="center"/>
    </xf>
    <xf numFmtId="0" fontId="82" fillId="0" borderId="199" xfId="0" applyFont="1" applyBorder="1" applyAlignment="1">
      <alignment horizontal="center"/>
    </xf>
    <xf numFmtId="0" fontId="85" fillId="0" borderId="128" xfId="0" applyFont="1" applyBorder="1" applyAlignment="1">
      <alignment horizontal="left"/>
    </xf>
    <xf numFmtId="0" fontId="85" fillId="0" borderId="217" xfId="0" applyFont="1" applyBorder="1" applyAlignment="1">
      <alignment horizontal="left"/>
    </xf>
    <xf numFmtId="0" fontId="85" fillId="0" borderId="0" xfId="0" applyFont="1" applyAlignment="1">
      <alignment horizontal="left"/>
    </xf>
    <xf numFmtId="0" fontId="85" fillId="0" borderId="201" xfId="0" applyFont="1" applyBorder="1" applyAlignment="1">
      <alignment horizontal="left"/>
    </xf>
    <xf numFmtId="0" fontId="90" fillId="0" borderId="0" xfId="0" applyFont="1" applyAlignment="1">
      <alignment horizontal="left"/>
    </xf>
    <xf numFmtId="0" fontId="90" fillId="0" borderId="201" xfId="0" applyFont="1" applyBorder="1" applyAlignment="1">
      <alignment horizontal="left"/>
    </xf>
    <xf numFmtId="0" fontId="0" fillId="0" borderId="207" xfId="0" applyBorder="1" applyAlignment="1">
      <alignment horizontal="center"/>
    </xf>
    <xf numFmtId="0" fontId="0" fillId="0" borderId="208" xfId="0" applyBorder="1" applyAlignment="1">
      <alignment horizontal="center"/>
    </xf>
    <xf numFmtId="0" fontId="0" fillId="0" borderId="209" xfId="0" applyBorder="1" applyAlignment="1">
      <alignment horizontal="center"/>
    </xf>
    <xf numFmtId="14" fontId="0" fillId="0" borderId="0" xfId="0" applyNumberFormat="1" applyAlignment="1">
      <alignment horizontal="left"/>
    </xf>
    <xf numFmtId="0" fontId="0" fillId="0" borderId="0" xfId="0" applyAlignment="1">
      <alignment horizontal="left"/>
    </xf>
    <xf numFmtId="0" fontId="0" fillId="0" borderId="201" xfId="0" applyBorder="1" applyAlignment="1">
      <alignment horizontal="left"/>
    </xf>
    <xf numFmtId="0" fontId="0" fillId="0" borderId="179" xfId="0" applyBorder="1" applyAlignment="1">
      <alignment horizontal="left"/>
    </xf>
    <xf numFmtId="0" fontId="0" fillId="0" borderId="134" xfId="0" applyBorder="1" applyAlignment="1">
      <alignment horizontal="left"/>
    </xf>
    <xf numFmtId="0" fontId="82" fillId="0" borderId="0" xfId="0" applyFont="1" applyAlignment="1">
      <alignment horizontal="center"/>
    </xf>
    <xf numFmtId="0" fontId="82" fillId="0" borderId="201" xfId="0" applyFont="1" applyBorder="1" applyAlignment="1">
      <alignment horizontal="center"/>
    </xf>
    <xf numFmtId="0" fontId="0" fillId="0" borderId="199" xfId="0" applyBorder="1" applyAlignment="1">
      <alignment horizontal="left"/>
    </xf>
    <xf numFmtId="0" fontId="5" fillId="45" borderId="206" xfId="0" applyFont="1" applyFill="1" applyBorder="1" applyAlignment="1">
      <alignment horizontal="center"/>
    </xf>
    <xf numFmtId="0" fontId="5" fillId="45" borderId="210" xfId="0" applyFont="1" applyFill="1" applyBorder="1" applyAlignment="1">
      <alignment horizontal="center"/>
    </xf>
    <xf numFmtId="0" fontId="5" fillId="45" borderId="211" xfId="0" applyFont="1" applyFill="1" applyBorder="1" applyAlignment="1">
      <alignment horizontal="center"/>
    </xf>
    <xf numFmtId="0" fontId="18" fillId="45" borderId="206" xfId="0" applyFont="1" applyFill="1" applyBorder="1" applyAlignment="1">
      <alignment horizontal="center"/>
    </xf>
    <xf numFmtId="0" fontId="18" fillId="45" borderId="210" xfId="0" applyFont="1" applyFill="1" applyBorder="1" applyAlignment="1">
      <alignment horizontal="center"/>
    </xf>
    <xf numFmtId="0" fontId="18" fillId="45" borderId="211" xfId="0" applyFont="1" applyFill="1" applyBorder="1" applyAlignment="1">
      <alignment horizontal="center"/>
    </xf>
    <xf numFmtId="0" fontId="0" fillId="45" borderId="0" xfId="0" applyFill="1" applyAlignment="1">
      <alignment horizontal="left"/>
    </xf>
    <xf numFmtId="0" fontId="88" fillId="0" borderId="0" xfId="0" applyFont="1" applyAlignment="1">
      <alignment horizontal="left" vertical="top" wrapText="1"/>
    </xf>
    <xf numFmtId="0" fontId="88" fillId="0" borderId="201" xfId="0" applyFont="1" applyBorder="1" applyAlignment="1">
      <alignment horizontal="left" vertical="top" wrapText="1"/>
    </xf>
    <xf numFmtId="0" fontId="88" fillId="0" borderId="13" xfId="0" applyFont="1" applyBorder="1" applyAlignment="1">
      <alignment horizontal="left" vertical="top" wrapText="1"/>
    </xf>
    <xf numFmtId="0" fontId="88" fillId="0" borderId="215" xfId="0" applyFont="1" applyBorder="1" applyAlignment="1">
      <alignment horizontal="left" vertical="top" wrapText="1"/>
    </xf>
    <xf numFmtId="0" fontId="88" fillId="0" borderId="134" xfId="0" applyFont="1" applyBorder="1" applyAlignment="1">
      <alignment horizontal="left" vertical="top" wrapText="1"/>
    </xf>
    <xf numFmtId="0" fontId="88" fillId="0" borderId="199" xfId="0" applyFont="1" applyBorder="1" applyAlignment="1">
      <alignment horizontal="left" vertical="top" wrapText="1"/>
    </xf>
    <xf numFmtId="0" fontId="99" fillId="0" borderId="0" xfId="0" applyFont="1" applyAlignment="1">
      <alignment horizontal="left" vertical="top" wrapText="1"/>
    </xf>
    <xf numFmtId="0" fontId="99" fillId="0" borderId="201" xfId="0" applyFont="1" applyBorder="1" applyAlignment="1">
      <alignment horizontal="left" vertical="top" wrapText="1"/>
    </xf>
    <xf numFmtId="0" fontId="99" fillId="0" borderId="13" xfId="0" applyFont="1" applyBorder="1" applyAlignment="1">
      <alignment horizontal="left" vertical="top" wrapText="1"/>
    </xf>
    <xf numFmtId="0" fontId="99" fillId="0" borderId="215" xfId="0" applyFont="1" applyBorder="1" applyAlignment="1">
      <alignment horizontal="left" vertical="top" wrapText="1"/>
    </xf>
    <xf numFmtId="0" fontId="5" fillId="45" borderId="203" xfId="0" applyFont="1" applyFill="1" applyBorder="1" applyAlignment="1">
      <alignment horizontal="center"/>
    </xf>
    <xf numFmtId="0" fontId="5" fillId="45" borderId="0" xfId="0" applyFont="1" applyFill="1" applyAlignment="1">
      <alignment horizontal="center"/>
    </xf>
    <xf numFmtId="0" fontId="5" fillId="45" borderId="201" xfId="0" applyFont="1" applyFill="1" applyBorder="1" applyAlignment="1">
      <alignment horizontal="center"/>
    </xf>
    <xf numFmtId="0" fontId="85" fillId="0" borderId="13" xfId="0" applyFont="1" applyBorder="1" applyAlignment="1">
      <alignment horizontal="left"/>
    </xf>
    <xf numFmtId="0" fontId="85" fillId="0" borderId="215" xfId="0" applyFont="1" applyBorder="1" applyAlignment="1">
      <alignment horizontal="left"/>
    </xf>
    <xf numFmtId="0" fontId="65" fillId="0" borderId="70" xfId="22" applyFont="1" applyAlignment="1">
      <alignment horizontal="left" vertical="center" indent="1"/>
    </xf>
    <xf numFmtId="0" fontId="65" fillId="0" borderId="70" xfId="22" applyFont="1" applyAlignment="1">
      <alignment horizontal="right" vertical="center"/>
    </xf>
    <xf numFmtId="0" fontId="0" fillId="4" borderId="7" xfId="3" applyFont="1" applyBorder="1" applyAlignment="1">
      <alignment horizontal="left" vertical="center" wrapText="1"/>
    </xf>
    <xf numFmtId="0" fontId="1" fillId="36" borderId="7" xfId="28" quotePrefix="1" applyBorder="1" applyAlignment="1">
      <alignment horizontal="center" vertical="center" wrapText="1"/>
    </xf>
    <xf numFmtId="0" fontId="1" fillId="36" borderId="7" xfId="28" applyBorder="1" applyAlignment="1">
      <alignment horizontal="center" vertical="center" wrapText="1"/>
    </xf>
    <xf numFmtId="0" fontId="0" fillId="0" borderId="7" xfId="0" applyBorder="1" applyAlignment="1">
      <alignment horizontal="center"/>
    </xf>
    <xf numFmtId="0" fontId="4" fillId="41" borderId="7" xfId="0" applyFont="1" applyFill="1" applyBorder="1" applyAlignment="1">
      <alignment horizontal="center"/>
    </xf>
    <xf numFmtId="0" fontId="4" fillId="42" borderId="7" xfId="0" applyFont="1" applyFill="1" applyBorder="1" applyAlignment="1">
      <alignment horizontal="center"/>
    </xf>
    <xf numFmtId="0" fontId="4" fillId="9" borderId="7" xfId="0" applyFont="1" applyFill="1" applyBorder="1" applyAlignment="1">
      <alignment horizontal="center"/>
    </xf>
    <xf numFmtId="0" fontId="61" fillId="43" borderId="7" xfId="0" applyFont="1" applyFill="1" applyBorder="1" applyAlignment="1">
      <alignment horizontal="center"/>
    </xf>
    <xf numFmtId="0" fontId="6" fillId="5" borderId="7" xfId="4" applyBorder="1" applyAlignment="1">
      <alignment horizontal="center"/>
    </xf>
    <xf numFmtId="0" fontId="0" fillId="0" borderId="37" xfId="0" applyBorder="1" applyAlignment="1">
      <alignment horizontal="center"/>
    </xf>
    <xf numFmtId="0" fontId="100" fillId="30" borderId="7" xfId="26" applyFont="1" applyBorder="1" applyAlignment="1">
      <alignment horizontal="center" wrapText="1"/>
    </xf>
    <xf numFmtId="0" fontId="100" fillId="30" borderId="7" xfId="26" applyFont="1" applyBorder="1" applyAlignment="1">
      <alignment horizontal="center"/>
    </xf>
    <xf numFmtId="0" fontId="5" fillId="18" borderId="9" xfId="11" applyFont="1" applyBorder="1" applyAlignment="1">
      <alignment horizontal="center" vertical="center" wrapText="1"/>
    </xf>
    <xf numFmtId="0" fontId="5" fillId="18" borderId="10" xfId="11" applyFont="1" applyBorder="1" applyAlignment="1">
      <alignment horizontal="center" vertical="center" wrapText="1"/>
    </xf>
    <xf numFmtId="0" fontId="5" fillId="18" borderId="11" xfId="11" applyFont="1" applyBorder="1" applyAlignment="1">
      <alignment horizontal="center" vertical="center" wrapText="1"/>
    </xf>
    <xf numFmtId="0" fontId="1" fillId="18" borderId="35" xfId="11" applyBorder="1" applyAlignment="1">
      <alignment horizontal="center"/>
    </xf>
    <xf numFmtId="0" fontId="1" fillId="18" borderId="40" xfId="11" applyBorder="1" applyAlignment="1">
      <alignment horizontal="center"/>
    </xf>
    <xf numFmtId="0" fontId="27" fillId="4" borderId="16" xfId="3" applyFont="1" applyBorder="1" applyAlignment="1" applyProtection="1">
      <alignment horizontal="left" vertical="top" wrapText="1"/>
    </xf>
    <xf numFmtId="0" fontId="14" fillId="0" borderId="51" xfId="0" applyFont="1" applyBorder="1" applyAlignment="1" applyProtection="1">
      <alignment horizontal="center" vertical="top" wrapText="1"/>
      <protection locked="0"/>
    </xf>
    <xf numFmtId="0" fontId="14" fillId="0" borderId="56" xfId="0" applyFont="1" applyBorder="1" applyAlignment="1" applyProtection="1">
      <alignment horizontal="center" vertical="top" wrapText="1"/>
      <protection locked="0"/>
    </xf>
    <xf numFmtId="0" fontId="14" fillId="0" borderId="57" xfId="0" applyFont="1" applyBorder="1" applyAlignment="1" applyProtection="1">
      <alignment horizontal="center" vertical="top" wrapText="1"/>
      <protection locked="0"/>
    </xf>
    <xf numFmtId="0" fontId="14" fillId="0" borderId="58" xfId="0" applyFont="1" applyBorder="1" applyAlignment="1" applyProtection="1">
      <alignment horizontal="center" vertical="top" wrapText="1"/>
      <protection locked="0"/>
    </xf>
    <xf numFmtId="0" fontId="14" fillId="0" borderId="53" xfId="0" applyFont="1" applyBorder="1" applyAlignment="1" applyProtection="1">
      <alignment horizontal="center" vertical="top" wrapText="1"/>
      <protection locked="0"/>
    </xf>
    <xf numFmtId="0" fontId="14" fillId="0" borderId="62" xfId="0" applyFont="1" applyBorder="1" applyAlignment="1" applyProtection="1">
      <alignment horizontal="center" vertical="top" wrapText="1"/>
      <protection locked="0"/>
    </xf>
    <xf numFmtId="0" fontId="27" fillId="4" borderId="12" xfId="3" applyFont="1" applyBorder="1" applyAlignment="1" applyProtection="1">
      <alignment horizontal="left" vertical="top" wrapText="1" indent="2"/>
      <protection locked="0"/>
    </xf>
    <xf numFmtId="0" fontId="27" fillId="4" borderId="0" xfId="3" applyFont="1" applyBorder="1" applyAlignment="1" applyProtection="1">
      <alignment horizontal="left" vertical="top" wrapText="1" indent="2"/>
      <protection locked="0"/>
    </xf>
    <xf numFmtId="0" fontId="27" fillId="4" borderId="33" xfId="3" applyFont="1" applyBorder="1" applyAlignment="1" applyProtection="1">
      <alignment horizontal="left" vertical="top" wrapText="1" indent="2"/>
      <protection locked="0"/>
    </xf>
    <xf numFmtId="0" fontId="27" fillId="4" borderId="29" xfId="3" applyFont="1" applyBorder="1" applyAlignment="1" applyProtection="1">
      <alignment horizontal="left" vertical="top" wrapText="1" indent="2"/>
      <protection locked="0"/>
    </xf>
    <xf numFmtId="0" fontId="27" fillId="4" borderId="13" xfId="3" applyFont="1" applyBorder="1" applyAlignment="1" applyProtection="1">
      <alignment horizontal="left" vertical="top" wrapText="1" indent="2"/>
      <protection locked="0"/>
    </xf>
    <xf numFmtId="0" fontId="27" fillId="4" borderId="19" xfId="3" applyFont="1" applyBorder="1" applyAlignment="1" applyProtection="1">
      <alignment horizontal="left" vertical="top" wrapText="1" indent="2"/>
      <protection locked="0"/>
    </xf>
    <xf numFmtId="0" fontId="0" fillId="0" borderId="35" xfId="0" applyBorder="1" applyAlignment="1">
      <alignment horizontal="center"/>
    </xf>
    <xf numFmtId="0" fontId="0" fillId="0" borderId="39" xfId="0" applyBorder="1" applyAlignment="1">
      <alignment horizontal="center"/>
    </xf>
    <xf numFmtId="169" fontId="6" fillId="11" borderId="0" xfId="16" applyNumberFormat="1" applyFill="1" applyAlignment="1">
      <alignment horizontal="center"/>
    </xf>
    <xf numFmtId="0" fontId="6" fillId="7" borderId="0" xfId="6" applyAlignment="1">
      <alignment horizontal="center"/>
    </xf>
    <xf numFmtId="0" fontId="15" fillId="0" borderId="60" xfId="0" applyFont="1" applyBorder="1" applyAlignment="1">
      <alignment horizontal="center"/>
    </xf>
    <xf numFmtId="0" fontId="15" fillId="0" borderId="61" xfId="0" applyFont="1" applyBorder="1" applyAlignment="1">
      <alignment horizontal="center"/>
    </xf>
    <xf numFmtId="0" fontId="6" fillId="7" borderId="16" xfId="6" applyBorder="1" applyAlignment="1">
      <alignment horizontal="center"/>
    </xf>
    <xf numFmtId="0" fontId="27" fillId="0" borderId="10" xfId="0" applyFont="1" applyBorder="1" applyAlignment="1" applyProtection="1">
      <alignment horizontal="left"/>
      <protection locked="0"/>
    </xf>
    <xf numFmtId="0" fontId="27" fillId="0" borderId="11" xfId="0" applyFont="1" applyBorder="1" applyAlignment="1" applyProtection="1">
      <alignment horizontal="left"/>
      <protection locked="0"/>
    </xf>
    <xf numFmtId="0" fontId="27" fillId="0" borderId="13" xfId="0" applyFont="1" applyBorder="1" applyAlignment="1" applyProtection="1">
      <alignment horizontal="left"/>
      <protection locked="0"/>
    </xf>
    <xf numFmtId="0" fontId="27" fillId="0" borderId="19" xfId="0" applyFont="1" applyBorder="1" applyAlignment="1" applyProtection="1">
      <alignment horizontal="left"/>
      <protection locked="0"/>
    </xf>
    <xf numFmtId="0" fontId="1" fillId="20" borderId="7" xfId="13" applyBorder="1" applyAlignment="1">
      <alignment horizontal="center"/>
    </xf>
    <xf numFmtId="0" fontId="1" fillId="20" borderId="9" xfId="13" applyBorder="1" applyAlignment="1">
      <alignment horizontal="center"/>
    </xf>
    <xf numFmtId="0" fontId="1" fillId="20" borderId="11" xfId="13" applyBorder="1" applyAlignment="1">
      <alignment horizontal="center"/>
    </xf>
    <xf numFmtId="1" fontId="6" fillId="16" borderId="9" xfId="9" applyNumberFormat="1" applyBorder="1" applyAlignment="1">
      <alignment horizontal="center"/>
    </xf>
    <xf numFmtId="1" fontId="6" fillId="16" borderId="11" xfId="9" applyNumberFormat="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6" fillId="30" borderId="7" xfId="26" applyBorder="1" applyAlignment="1">
      <alignment horizontal="center"/>
    </xf>
    <xf numFmtId="0" fontId="6" fillId="5" borderId="0" xfId="4" applyAlignment="1" applyProtection="1">
      <alignment horizontal="center"/>
    </xf>
    <xf numFmtId="0" fontId="7" fillId="0" borderId="7" xfId="0" applyFont="1" applyBorder="1" applyAlignment="1">
      <alignment horizontal="left" vertical="center" wrapText="1" indent="2"/>
    </xf>
    <xf numFmtId="0" fontId="16" fillId="3" borderId="7" xfId="2" applyFont="1" applyBorder="1" applyAlignment="1">
      <alignment horizontal="center"/>
    </xf>
    <xf numFmtId="0" fontId="12" fillId="10" borderId="8" xfId="0" applyFont="1" applyFill="1" applyBorder="1" applyAlignment="1">
      <alignment horizontal="center" vertical="center"/>
    </xf>
    <xf numFmtId="0" fontId="13" fillId="0" borderId="8" xfId="0" applyFont="1" applyBorder="1" applyAlignment="1">
      <alignment horizontal="center" vertical="center" wrapText="1"/>
    </xf>
    <xf numFmtId="0" fontId="13" fillId="0" borderId="22" xfId="0" applyFont="1" applyBorder="1" applyAlignment="1">
      <alignment horizontal="center" vertical="center" wrapText="1"/>
    </xf>
    <xf numFmtId="0" fontId="4" fillId="7" borderId="0" xfId="6" applyFont="1" applyAlignment="1" applyProtection="1">
      <alignment horizontal="center"/>
    </xf>
    <xf numFmtId="0" fontId="42" fillId="0" borderId="35" xfId="0" applyFont="1" applyBorder="1" applyAlignment="1">
      <alignment horizontal="center"/>
    </xf>
    <xf numFmtId="0" fontId="42" fillId="0" borderId="40" xfId="0" applyFont="1" applyBorder="1" applyAlignment="1">
      <alignment horizontal="center"/>
    </xf>
    <xf numFmtId="0" fontId="27" fillId="4" borderId="16" xfId="3" applyFont="1" applyBorder="1" applyAlignment="1" applyProtection="1">
      <alignment horizontal="left" vertical="top" wrapText="1"/>
      <protection locked="0"/>
    </xf>
    <xf numFmtId="0" fontId="27" fillId="4" borderId="17" xfId="3" applyFont="1" applyBorder="1" applyAlignment="1" applyProtection="1">
      <alignment horizontal="left" vertical="top" wrapText="1"/>
      <protection locked="0"/>
    </xf>
    <xf numFmtId="1" fontId="6" fillId="16" borderId="12" xfId="9" applyNumberFormat="1" applyBorder="1" applyAlignment="1">
      <alignment horizontal="center"/>
    </xf>
    <xf numFmtId="1" fontId="6" fillId="16" borderId="0" xfId="9" applyNumberFormat="1" applyBorder="1" applyAlignment="1">
      <alignment horizontal="center"/>
    </xf>
    <xf numFmtId="0" fontId="32" fillId="0" borderId="8" xfId="0" applyFont="1" applyBorder="1" applyAlignment="1">
      <alignment horizontal="center" vertical="center"/>
    </xf>
    <xf numFmtId="0" fontId="4" fillId="7" borderId="0" xfId="6" applyNumberFormat="1" applyFont="1" applyAlignment="1" applyProtection="1">
      <alignment horizontal="center"/>
    </xf>
    <xf numFmtId="0" fontId="27" fillId="0" borderId="9" xfId="0" applyFont="1" applyBorder="1" applyAlignment="1" applyProtection="1">
      <alignment horizontal="left"/>
      <protection locked="0"/>
    </xf>
    <xf numFmtId="0" fontId="27" fillId="0" borderId="9" xfId="0" applyFont="1" applyBorder="1" applyAlignment="1" applyProtection="1">
      <alignment horizontal="left" readingOrder="1"/>
      <protection locked="0"/>
    </xf>
    <xf numFmtId="0" fontId="27" fillId="0" borderId="10" xfId="0" applyFont="1" applyBorder="1" applyAlignment="1" applyProtection="1">
      <alignment horizontal="left" readingOrder="1"/>
      <protection locked="0"/>
    </xf>
    <xf numFmtId="0" fontId="27" fillId="0" borderId="11" xfId="0" applyFont="1" applyBorder="1" applyAlignment="1" applyProtection="1">
      <alignment horizontal="left" readingOrder="1"/>
      <protection locked="0"/>
    </xf>
    <xf numFmtId="0" fontId="6" fillId="30" borderId="0" xfId="26" applyBorder="1" applyAlignment="1">
      <alignment horizontal="center"/>
    </xf>
    <xf numFmtId="0" fontId="24" fillId="0" borderId="7" xfId="0" applyFont="1" applyBorder="1" applyAlignment="1">
      <alignment horizontal="left"/>
    </xf>
    <xf numFmtId="0" fontId="24" fillId="0" borderId="7" xfId="0" applyFont="1" applyBorder="1" applyAlignment="1">
      <alignment horizontal="left" readingOrder="1"/>
    </xf>
    <xf numFmtId="0" fontId="6" fillId="5" borderId="0" xfId="4" applyAlignment="1">
      <alignment horizontal="center"/>
    </xf>
    <xf numFmtId="0" fontId="0" fillId="0" borderId="40" xfId="0" applyBorder="1" applyAlignment="1">
      <alignment horizontal="center"/>
    </xf>
    <xf numFmtId="0" fontId="6" fillId="5" borderId="0" xfId="4" applyBorder="1" applyAlignment="1">
      <alignment horizontal="center"/>
    </xf>
    <xf numFmtId="0" fontId="1" fillId="24" borderId="88" xfId="23" applyBorder="1" applyAlignment="1">
      <alignment horizontal="center"/>
    </xf>
    <xf numFmtId="0" fontId="27" fillId="0" borderId="80" xfId="0" applyFont="1" applyBorder="1" applyAlignment="1" applyProtection="1">
      <alignment horizontal="left"/>
      <protection locked="0"/>
    </xf>
    <xf numFmtId="0" fontId="14" fillId="0" borderId="112" xfId="0" applyFont="1" applyBorder="1" applyAlignment="1" applyProtection="1">
      <alignment horizontal="left" readingOrder="1"/>
      <protection locked="0"/>
    </xf>
    <xf numFmtId="0" fontId="14" fillId="0" borderId="113" xfId="0" applyFont="1" applyBorder="1" applyAlignment="1" applyProtection="1">
      <alignment horizontal="left" readingOrder="1"/>
      <protection locked="0"/>
    </xf>
    <xf numFmtId="0" fontId="14" fillId="0" borderId="114" xfId="0" applyFont="1" applyBorder="1" applyAlignment="1" applyProtection="1">
      <alignment horizontal="left" readingOrder="1"/>
      <protection locked="0"/>
    </xf>
    <xf numFmtId="0" fontId="14" fillId="0" borderId="111" xfId="0" applyFont="1" applyBorder="1" applyAlignment="1" applyProtection="1">
      <alignment horizontal="left" readingOrder="1"/>
      <protection locked="0"/>
    </xf>
    <xf numFmtId="0" fontId="6" fillId="19" borderId="7" xfId="12" applyFont="1" applyBorder="1" applyAlignment="1">
      <alignment horizontal="center"/>
    </xf>
    <xf numFmtId="174" fontId="24" fillId="0" borderId="7" xfId="0" applyNumberFormat="1" applyFont="1" applyBorder="1" applyAlignment="1">
      <alignment horizontal="center"/>
    </xf>
    <xf numFmtId="0" fontId="1" fillId="24" borderId="7" xfId="23" applyBorder="1" applyAlignment="1">
      <alignment horizontal="left"/>
    </xf>
    <xf numFmtId="174" fontId="14" fillId="0" borderId="7" xfId="0" applyNumberFormat="1" applyFont="1" applyBorder="1" applyAlignment="1" applyProtection="1">
      <alignment horizontal="center"/>
      <protection locked="0"/>
    </xf>
    <xf numFmtId="0" fontId="18" fillId="2" borderId="7" xfId="1" applyFont="1" applyBorder="1" applyAlignment="1">
      <alignment horizontal="right" vertical="center"/>
    </xf>
    <xf numFmtId="0" fontId="14" fillId="0" borderId="85" xfId="0" applyFont="1" applyBorder="1" applyAlignment="1" applyProtection="1">
      <alignment horizontal="left" wrapText="1"/>
      <protection locked="0"/>
    </xf>
    <xf numFmtId="0" fontId="14" fillId="0" borderId="86" xfId="0" applyFont="1" applyBorder="1" applyAlignment="1" applyProtection="1">
      <alignment horizontal="left" wrapText="1"/>
      <protection locked="0"/>
    </xf>
    <xf numFmtId="0" fontId="14" fillId="0" borderId="87" xfId="0" applyFont="1" applyBorder="1" applyAlignment="1" applyProtection="1">
      <alignment horizontal="left" wrapText="1"/>
      <protection locked="0"/>
    </xf>
    <xf numFmtId="0" fontId="0" fillId="0" borderId="13" xfId="0" applyBorder="1" applyAlignment="1">
      <alignment horizontal="left"/>
    </xf>
    <xf numFmtId="0" fontId="0" fillId="0" borderId="19" xfId="0" applyBorder="1" applyAlignment="1">
      <alignment horizontal="left"/>
    </xf>
    <xf numFmtId="0" fontId="23" fillId="0" borderId="9" xfId="0" applyFont="1" applyBorder="1" applyAlignment="1">
      <alignment horizontal="center"/>
    </xf>
    <xf numFmtId="0" fontId="23" fillId="0" borderId="10" xfId="0" applyFont="1" applyBorder="1" applyAlignment="1">
      <alignment horizontal="center"/>
    </xf>
    <xf numFmtId="0" fontId="23" fillId="0" borderId="11" xfId="0" applyFont="1" applyBorder="1" applyAlignment="1">
      <alignment horizontal="center"/>
    </xf>
    <xf numFmtId="0" fontId="14" fillId="0" borderId="90" xfId="0" applyFont="1" applyBorder="1" applyAlignment="1" applyProtection="1">
      <alignment horizontal="center"/>
      <protection locked="0"/>
    </xf>
    <xf numFmtId="0" fontId="14" fillId="0" borderId="91" xfId="0" applyFont="1" applyBorder="1" applyAlignment="1" applyProtection="1">
      <alignment horizontal="center"/>
      <protection locked="0"/>
    </xf>
    <xf numFmtId="0" fontId="14" fillId="0" borderId="89" xfId="0" applyFont="1" applyBorder="1" applyAlignment="1" applyProtection="1">
      <alignment horizontal="center"/>
      <protection locked="0"/>
    </xf>
    <xf numFmtId="0" fontId="6" fillId="7" borderId="7" xfId="6" applyBorder="1" applyAlignment="1">
      <alignment horizontal="center"/>
    </xf>
    <xf numFmtId="0" fontId="6" fillId="7" borderId="9" xfId="6" applyBorder="1" applyAlignment="1">
      <alignment horizontal="center"/>
    </xf>
    <xf numFmtId="0" fontId="1" fillId="20" borderId="0" xfId="13" applyAlignment="1">
      <alignment horizontal="left"/>
    </xf>
    <xf numFmtId="0" fontId="1" fillId="20" borderId="33" xfId="13" applyBorder="1" applyAlignment="1">
      <alignment horizontal="left"/>
    </xf>
    <xf numFmtId="0" fontId="0" fillId="0" borderId="10" xfId="0" applyBorder="1" applyAlignment="1">
      <alignment horizontal="left"/>
    </xf>
    <xf numFmtId="0" fontId="0" fillId="0" borderId="11" xfId="0" applyBorder="1" applyAlignment="1">
      <alignment horizontal="left"/>
    </xf>
    <xf numFmtId="20" fontId="18" fillId="2" borderId="7" xfId="1" applyNumberFormat="1" applyFont="1" applyBorder="1" applyAlignment="1">
      <alignment horizontal="center" vertical="center"/>
    </xf>
    <xf numFmtId="0" fontId="18" fillId="2" borderId="7" xfId="1" applyNumberFormat="1" applyFont="1" applyBorder="1" applyAlignment="1">
      <alignment horizontal="center" vertical="center"/>
    </xf>
    <xf numFmtId="0" fontId="0" fillId="0" borderId="82" xfId="0" applyBorder="1" applyAlignment="1">
      <alignment horizontal="center"/>
    </xf>
    <xf numFmtId="0" fontId="0" fillId="0" borderId="83" xfId="0" applyBorder="1" applyAlignment="1">
      <alignment horizontal="center"/>
    </xf>
    <xf numFmtId="0" fontId="0" fillId="0" borderId="84" xfId="0" applyBorder="1" applyAlignment="1">
      <alignment horizontal="center"/>
    </xf>
    <xf numFmtId="0" fontId="1" fillId="18" borderId="9" xfId="11" applyBorder="1" applyAlignment="1">
      <alignment horizontal="left"/>
    </xf>
    <xf numFmtId="0" fontId="1" fillId="18" borderId="10" xfId="11" applyBorder="1" applyAlignment="1">
      <alignment horizontal="left"/>
    </xf>
    <xf numFmtId="0" fontId="1" fillId="18" borderId="11" xfId="11" applyBorder="1" applyAlignment="1">
      <alignment horizontal="left"/>
    </xf>
    <xf numFmtId="0" fontId="27" fillId="4" borderId="48" xfId="3" applyFont="1" applyBorder="1" applyAlignment="1">
      <alignment horizontal="center" wrapText="1"/>
    </xf>
    <xf numFmtId="0" fontId="27" fillId="4" borderId="25" xfId="3" applyFont="1" applyBorder="1" applyAlignment="1" applyProtection="1">
      <alignment horizontal="left" wrapText="1"/>
      <protection locked="0"/>
    </xf>
    <xf numFmtId="44" fontId="27" fillId="4" borderId="26" xfId="3" applyNumberFormat="1" applyFont="1" applyBorder="1" applyAlignment="1" applyProtection="1">
      <alignment horizontal="left" wrapText="1"/>
      <protection locked="0"/>
    </xf>
    <xf numFmtId="44" fontId="27" fillId="4" borderId="27" xfId="3" applyNumberFormat="1" applyFont="1" applyBorder="1" applyAlignment="1" applyProtection="1">
      <alignment horizontal="left" wrapText="1"/>
      <protection locked="0"/>
    </xf>
    <xf numFmtId="44" fontId="27" fillId="4" borderId="28" xfId="3" applyNumberFormat="1" applyFont="1" applyBorder="1" applyAlignment="1" applyProtection="1">
      <alignment horizontal="left" wrapText="1"/>
      <protection locked="0"/>
    </xf>
    <xf numFmtId="0" fontId="27" fillId="4" borderId="26" xfId="3" applyFont="1" applyBorder="1" applyAlignment="1" applyProtection="1">
      <alignment horizontal="left" wrapText="1"/>
      <protection locked="0"/>
    </xf>
    <xf numFmtId="0" fontId="27" fillId="4" borderId="28" xfId="3" applyFont="1" applyBorder="1" applyAlignment="1" applyProtection="1">
      <alignment horizontal="left" wrapText="1"/>
      <protection locked="0"/>
    </xf>
    <xf numFmtId="8" fontId="27" fillId="4" borderId="26" xfId="3" applyNumberFormat="1" applyFont="1" applyBorder="1" applyAlignment="1" applyProtection="1">
      <alignment horizontal="left" wrapText="1"/>
      <protection locked="0"/>
    </xf>
    <xf numFmtId="8" fontId="27" fillId="4" borderId="27" xfId="3" applyNumberFormat="1" applyFont="1" applyBorder="1" applyAlignment="1" applyProtection="1">
      <alignment horizontal="left" wrapText="1"/>
      <protection locked="0"/>
    </xf>
    <xf numFmtId="8" fontId="27" fillId="4" borderId="28" xfId="3" applyNumberFormat="1" applyFont="1" applyBorder="1" applyAlignment="1" applyProtection="1">
      <alignment horizontal="left" wrapText="1"/>
      <protection locked="0"/>
    </xf>
    <xf numFmtId="166" fontId="27" fillId="4" borderId="31" xfId="3" applyNumberFormat="1" applyFont="1" applyBorder="1" applyAlignment="1" applyProtection="1">
      <alignment horizontal="left" wrapText="1"/>
      <protection locked="0"/>
    </xf>
    <xf numFmtId="0" fontId="27" fillId="4" borderId="31" xfId="3" applyFont="1" applyBorder="1" applyAlignment="1" applyProtection="1">
      <alignment horizontal="left" wrapText="1"/>
      <protection locked="0"/>
    </xf>
    <xf numFmtId="0" fontId="27" fillId="4" borderId="32" xfId="3" applyFont="1" applyBorder="1" applyAlignment="1" applyProtection="1">
      <alignment horizontal="left" wrapText="1"/>
      <protection locked="0"/>
    </xf>
    <xf numFmtId="166" fontId="27" fillId="4" borderId="26" xfId="3" applyNumberFormat="1" applyFont="1" applyBorder="1" applyAlignment="1" applyProtection="1">
      <alignment horizontal="left" wrapText="1"/>
      <protection locked="0"/>
    </xf>
    <xf numFmtId="166" fontId="27" fillId="4" borderId="27" xfId="3" applyNumberFormat="1" applyFont="1" applyBorder="1" applyAlignment="1" applyProtection="1">
      <alignment horizontal="left" wrapText="1"/>
      <protection locked="0"/>
    </xf>
    <xf numFmtId="166" fontId="27" fillId="4" borderId="28" xfId="3" applyNumberFormat="1" applyFont="1" applyBorder="1" applyAlignment="1" applyProtection="1">
      <alignment horizontal="left" wrapText="1"/>
      <protection locked="0"/>
    </xf>
    <xf numFmtId="8" fontId="27" fillId="4" borderId="2" xfId="3" applyNumberFormat="1" applyFont="1" applyAlignment="1" applyProtection="1">
      <alignment horizontal="left" wrapText="1"/>
      <protection locked="0"/>
    </xf>
  </cellXfs>
  <cellStyles count="36">
    <cellStyle name="20% - Ênfase1" xfId="7" builtinId="30"/>
    <cellStyle name="20% - Ênfase2" xfId="10" builtinId="34"/>
    <cellStyle name="20% - Ênfase3" xfId="32" builtinId="38"/>
    <cellStyle name="20% - Ênfase4" xfId="28" builtinId="42"/>
    <cellStyle name="20% - Ênfase6" xfId="23" builtinId="50"/>
    <cellStyle name="40% - Ênfase2" xfId="13" builtinId="35"/>
    <cellStyle name="40% - Ênfase3" xfId="5" builtinId="39"/>
    <cellStyle name="40% - Ênfase4" xfId="8" builtinId="43"/>
    <cellStyle name="40% - Ênfase6" xfId="24" builtinId="51"/>
    <cellStyle name="60% - Ênfase2" xfId="11" builtinId="36"/>
    <cellStyle name="60% - Ênfase3" xfId="31" builtinId="40"/>
    <cellStyle name="60% - Ênfase4" xfId="25" builtinId="44"/>
    <cellStyle name="60% - Ênfase5" xfId="30" builtinId="48"/>
    <cellStyle name="60% - Ênfase6" xfId="12" builtinId="52"/>
    <cellStyle name="Coluna de sinalização" xfId="17" xr:uid="{38940EFF-3724-4EDF-A00A-DC98A399BD72}"/>
    <cellStyle name="Descontinuado" xfId="21" xr:uid="{729FF228-673F-4164-993B-5B7CFC6B66C2}"/>
    <cellStyle name="Detalhes da tabela à direita" xfId="20" xr:uid="{5BED2FBB-CA95-4D6D-9CAA-D332D27D0708}"/>
    <cellStyle name="Detalhes da tabela à esquerda" xfId="18" xr:uid="{E0B131B2-1BFF-458D-A397-D8E5431B8DD2}"/>
    <cellStyle name="Ênfase1" xfId="9" builtinId="29"/>
    <cellStyle name="Ênfase2" xfId="4" builtinId="33"/>
    <cellStyle name="Ênfase3" xfId="16" builtinId="37"/>
    <cellStyle name="Ênfase4" xfId="26" builtinId="41"/>
    <cellStyle name="Ênfase5" xfId="29" builtinId="45"/>
    <cellStyle name="Ênfase6" xfId="6" builtinId="49"/>
    <cellStyle name="Entrada" xfId="2" builtinId="20"/>
    <cellStyle name="Hiperlink" xfId="35" builtinId="8"/>
    <cellStyle name="Moeda" xfId="33" builtinId="4"/>
    <cellStyle name="Moeda da tabela" xfId="19" xr:uid="{43DCE7A4-7E08-4E3A-82B0-226423C0726A}"/>
    <cellStyle name="Neutro" xfId="1" builtinId="28"/>
    <cellStyle name="Normal" xfId="0" builtinId="0"/>
    <cellStyle name="Nota" xfId="3" builtinId="10"/>
    <cellStyle name="Porcentagem" xfId="14" builtinId="5"/>
    <cellStyle name="Ruim" xfId="34" builtinId="27"/>
    <cellStyle name="Saída" xfId="15" builtinId="21"/>
    <cellStyle name="Título 1" xfId="22" builtinId="16"/>
    <cellStyle name="Título 2" xfId="27" builtinId="17"/>
  </cellStyles>
  <dxfs count="752">
    <dxf>
      <font>
        <b/>
        <i val="0"/>
        <color theme="0"/>
      </font>
      <fill>
        <patternFill>
          <bgColor rgb="FFFF0000"/>
        </patternFill>
      </fill>
    </dxf>
    <dxf>
      <font>
        <b/>
        <i val="0"/>
        <color theme="0"/>
      </font>
      <fill>
        <patternFill>
          <bgColor rgb="FFFF0000"/>
        </patternFill>
      </fill>
    </dxf>
    <dxf>
      <font>
        <b/>
        <i val="0"/>
        <color theme="0"/>
      </font>
      <fill>
        <patternFill>
          <bgColor rgb="FF00B050"/>
        </patternFill>
      </fill>
    </dxf>
    <dxf>
      <font>
        <b/>
        <i val="0"/>
        <color theme="0"/>
      </font>
      <fill>
        <patternFill>
          <bgColor theme="0" tint="-0.24994659260841701"/>
        </patternFill>
      </fill>
    </dxf>
    <dxf>
      <font>
        <b/>
        <i val="0"/>
        <color theme="0"/>
      </font>
      <fill>
        <patternFill>
          <bgColor rgb="FF00B050"/>
        </patternFill>
      </fill>
    </dxf>
    <dxf>
      <font>
        <b/>
        <i val="0"/>
        <color theme="0"/>
      </font>
      <fill>
        <patternFill>
          <bgColor theme="0" tint="-0.24994659260841701"/>
        </patternFill>
      </fill>
    </dxf>
    <dxf>
      <font>
        <strike/>
        <color theme="1" tint="0.34998626667073579"/>
      </font>
      <fill>
        <patternFill>
          <bgColor theme="0" tint="-4.9989318521683403E-2"/>
        </patternFill>
      </fill>
    </dxf>
    <dxf>
      <font>
        <strike/>
        <color theme="1" tint="0.34998626667073579"/>
      </font>
      <fill>
        <patternFill>
          <bgColor theme="0" tint="-4.9989318521683403E-2"/>
        </patternFill>
      </fill>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strike/>
        <color theme="0"/>
      </font>
    </dxf>
    <dxf>
      <font>
        <b val="0"/>
        <i val="0"/>
        <strike/>
        <color theme="1" tint="0.24994659260841701"/>
      </font>
      <fill>
        <patternFill>
          <bgColor theme="0" tint="-0.14996795556505021"/>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strike/>
        <color theme="0"/>
      </font>
      <fill>
        <patternFill>
          <bgColor theme="0" tint="-0.24994659260841701"/>
        </patternFill>
      </fill>
    </dxf>
    <dxf>
      <font>
        <b/>
        <i val="0"/>
        <strike/>
        <color theme="0"/>
      </font>
      <fill>
        <patternFill>
          <bgColor theme="0" tint="-0.24994659260841701"/>
        </patternFill>
      </fill>
    </dxf>
    <dxf>
      <font>
        <b val="0"/>
        <i val="0"/>
        <strike/>
        <color theme="1" tint="0.24994659260841701"/>
      </font>
      <fill>
        <patternFill>
          <bgColor theme="0" tint="-0.24994659260841701"/>
        </patternFill>
      </fill>
    </dxf>
    <dxf>
      <font>
        <b val="0"/>
        <i val="0"/>
        <strike/>
        <color theme="1" tint="0.24994659260841701"/>
      </font>
      <fill>
        <patternFill>
          <bgColor theme="0" tint="-0.24994659260841701"/>
        </patternFill>
      </fill>
    </dxf>
    <dxf>
      <font>
        <b val="0"/>
        <i val="0"/>
        <strike/>
        <color theme="1" tint="0.24994659260841701"/>
      </font>
      <fill>
        <patternFill>
          <bgColor theme="0" tint="-0.24994659260841701"/>
        </patternFill>
      </fill>
    </dxf>
    <dxf>
      <font>
        <b val="0"/>
        <i val="0"/>
        <strike/>
        <color theme="1" tint="0.24994659260841701"/>
      </font>
      <fill>
        <patternFill>
          <bgColor theme="0" tint="-0.24994659260841701"/>
        </patternFill>
      </fill>
    </dxf>
    <dxf>
      <font>
        <b val="0"/>
        <i val="0"/>
        <strike/>
        <color theme="1" tint="0.24994659260841701"/>
      </font>
      <fill>
        <patternFill>
          <bgColor theme="0" tint="-0.24994659260841701"/>
        </patternFill>
      </fill>
    </dxf>
    <dxf>
      <font>
        <b val="0"/>
        <i val="0"/>
        <strike/>
        <color theme="1" tint="0.24994659260841701"/>
      </font>
      <fill>
        <patternFill>
          <bgColor theme="0" tint="-0.2499465926084170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val="0"/>
        <i val="0"/>
        <strike/>
        <color theme="1" tint="0.24994659260841701"/>
      </font>
      <fill>
        <patternFill>
          <bgColor theme="0" tint="-0.14996795556505021"/>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val="0"/>
        <i val="0"/>
        <strike/>
        <color theme="1" tint="0.24994659260841701"/>
      </font>
      <fill>
        <patternFill>
          <bgColor theme="0" tint="-0.14996795556505021"/>
        </patternFill>
      </fill>
    </dxf>
    <dxf>
      <font>
        <b/>
        <i val="0"/>
        <color theme="0"/>
      </font>
      <fill>
        <patternFill>
          <bgColor rgb="FFFF0000"/>
        </patternFill>
      </fill>
    </dxf>
    <dxf>
      <font>
        <b/>
        <i val="0"/>
        <color theme="0"/>
      </font>
      <fill>
        <patternFill>
          <bgColor rgb="FFFF0000"/>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i val="0"/>
        <color theme="0"/>
      </font>
      <fill>
        <patternFill>
          <bgColor theme="4"/>
        </patternFill>
      </fill>
    </dxf>
    <dxf>
      <font>
        <b/>
        <i val="0"/>
        <color theme="0"/>
      </font>
      <fill>
        <patternFill>
          <bgColor theme="5" tint="-0.2499465926084170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24994659260841701"/>
        </patternFill>
      </fill>
    </dxf>
    <dxf>
      <font>
        <b/>
        <i val="0"/>
        <strike/>
        <color theme="0"/>
      </font>
      <fill>
        <patternFill>
          <bgColor theme="0" tint="-0.24994659260841701"/>
        </patternFill>
      </fill>
    </dxf>
    <dxf>
      <font>
        <b/>
        <i val="0"/>
        <color theme="0"/>
      </font>
      <fill>
        <patternFill>
          <bgColor rgb="FFFF0000"/>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i val="0"/>
        <color auto="1"/>
      </font>
      <fill>
        <patternFill>
          <bgColor rgb="FFFFC000"/>
        </patternFill>
      </fill>
    </dxf>
    <dxf>
      <font>
        <b val="0"/>
        <i val="0"/>
        <strike/>
        <color theme="1" tint="0.24994659260841701"/>
      </font>
      <fill>
        <patternFill>
          <bgColor theme="0" tint="-0.14996795556505021"/>
        </patternFill>
      </fill>
    </dxf>
    <dxf>
      <font>
        <b val="0"/>
        <i val="0"/>
        <strike/>
        <color theme="1" tint="0.24994659260841701"/>
      </font>
      <fill>
        <patternFill>
          <bgColor theme="0" tint="-0.2499465926084170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i val="0"/>
        <color theme="0"/>
      </font>
      <fill>
        <patternFill>
          <bgColor rgb="FF92D050"/>
        </patternFill>
      </fill>
    </dxf>
    <dxf>
      <font>
        <b/>
        <i val="0"/>
        <color theme="0"/>
      </font>
      <fill>
        <patternFill>
          <bgColor theme="1"/>
        </patternFill>
      </fill>
    </dxf>
    <dxf>
      <font>
        <b/>
        <i val="0"/>
        <color theme="0"/>
      </font>
      <fill>
        <patternFill>
          <bgColor rgb="FFFF0000"/>
        </patternFill>
      </fill>
    </dxf>
    <dxf>
      <font>
        <b/>
        <i val="0"/>
        <color auto="1"/>
      </font>
      <fill>
        <patternFill>
          <bgColor rgb="FFFFC000"/>
        </patternFill>
      </fill>
    </dxf>
    <dxf>
      <font>
        <b/>
        <i val="0"/>
        <color theme="0"/>
      </font>
      <fill>
        <patternFill>
          <bgColor rgb="FFFF0000"/>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24994659260841701"/>
        </patternFill>
      </fill>
    </dxf>
    <dxf>
      <font>
        <color theme="0"/>
      </font>
      <fill>
        <patternFill>
          <bgColor rgb="FFFF0000"/>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val="0"/>
        <i val="0"/>
        <strike/>
        <color theme="1" tint="0.24994659260841701"/>
      </font>
      <fill>
        <patternFill>
          <bgColor theme="0" tint="-0.14996795556505021"/>
        </patternFill>
      </fill>
    </dxf>
    <dxf>
      <font>
        <b/>
        <i val="0"/>
      </font>
      <fill>
        <patternFill>
          <bgColor rgb="FFFF0000"/>
        </patternFill>
      </fill>
    </dxf>
    <dxf>
      <font>
        <b/>
        <i val="0"/>
        <color theme="0"/>
      </font>
      <fill>
        <patternFill>
          <bgColor rgb="FF00B050"/>
        </patternFill>
      </fill>
    </dxf>
    <dxf>
      <font>
        <b/>
        <i val="0"/>
      </font>
      <fill>
        <patternFill>
          <bgColor rgb="FFFF0000"/>
        </patternFill>
      </fill>
    </dxf>
    <dxf>
      <font>
        <b/>
        <i val="0"/>
        <color theme="0"/>
      </font>
      <fill>
        <patternFill>
          <bgColor rgb="FF00B050"/>
        </patternFill>
      </fill>
    </dxf>
    <dxf>
      <font>
        <b/>
        <i val="0"/>
        <strike/>
        <color theme="0"/>
      </font>
      <fill>
        <patternFill>
          <bgColor theme="0" tint="-0.24994659260841701"/>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strike/>
        <color theme="0"/>
      </font>
      <fill>
        <patternFill>
          <bgColor theme="0" tint="-0.24994659260841701"/>
        </patternFill>
      </fill>
    </dxf>
    <dxf>
      <font>
        <b/>
        <i val="0"/>
        <strike/>
        <color theme="0"/>
      </font>
      <fill>
        <patternFill>
          <bgColor theme="0" tint="-0.24994659260841701"/>
        </patternFill>
      </fill>
    </dxf>
    <dxf>
      <font>
        <b/>
        <i val="0"/>
        <color theme="0"/>
      </font>
      <fill>
        <patternFill>
          <bgColor rgb="FF00B050"/>
        </patternFill>
      </fill>
    </dxf>
    <dxf>
      <font>
        <b/>
        <i val="0"/>
        <color theme="0"/>
      </font>
      <fill>
        <patternFill>
          <bgColor theme="0" tint="-0.24994659260841701"/>
        </patternFill>
      </fill>
    </dxf>
    <dxf>
      <font>
        <b/>
        <i val="0"/>
        <color theme="0"/>
      </font>
      <fill>
        <patternFill>
          <bgColor rgb="FF00B050"/>
        </patternFill>
      </fill>
    </dxf>
    <dxf>
      <font>
        <b/>
        <i val="0"/>
        <color theme="0"/>
      </font>
      <fill>
        <patternFill>
          <bgColor theme="0" tint="-0.24994659260841701"/>
        </patternFill>
      </fill>
    </dxf>
    <dxf>
      <font>
        <b/>
        <i val="0"/>
        <strike/>
        <color theme="0"/>
      </font>
      <fill>
        <patternFill>
          <bgColor theme="0" tint="-0.24994659260841701"/>
        </patternFill>
      </fill>
    </dxf>
    <dxf>
      <font>
        <b/>
        <i val="0"/>
        <strike/>
        <color theme="0"/>
      </font>
      <fill>
        <patternFill>
          <bgColor theme="0" tint="-0.24994659260841701"/>
        </patternFill>
      </fill>
    </dxf>
    <dxf>
      <font>
        <b/>
        <i val="0"/>
        <strike/>
        <color theme="0"/>
      </font>
      <fill>
        <patternFill>
          <bgColor theme="0" tint="-0.24994659260841701"/>
        </patternFill>
      </fill>
    </dxf>
    <dxf>
      <font>
        <b/>
        <i val="0"/>
        <strike/>
        <color theme="0"/>
      </font>
      <fill>
        <patternFill>
          <bgColor theme="0" tint="-0.24994659260841701"/>
        </patternFill>
      </fill>
    </dxf>
    <dxf>
      <font>
        <b/>
        <i val="0"/>
        <strike/>
        <color theme="0"/>
      </font>
      <fill>
        <patternFill>
          <bgColor theme="0" tint="-0.24994659260841701"/>
        </patternFill>
      </fill>
    </dxf>
    <dxf>
      <font>
        <b/>
        <i val="0"/>
        <strike/>
        <color theme="0"/>
      </font>
      <fill>
        <patternFill>
          <bgColor theme="0" tint="-0.24994659260841701"/>
        </patternFill>
      </fill>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left/>
        <right style="thin">
          <color theme="0" tint="-0.34998626667073579"/>
        </right>
        <top/>
        <bottom/>
        <vertical/>
        <horizontal/>
      </border>
      <protection locked="0" hidden="0"/>
    </dxf>
    <dxf>
      <alignment horizontal="left" vertical="top" textRotation="0" wrapText="1" indent="0" justifyLastLine="0" shrinkToFit="0" readingOrder="0"/>
      <border diagonalUp="0" diagonalDown="0">
        <left/>
        <right style="thin">
          <color theme="0" tint="-0.34998626667073579"/>
        </right>
        <top/>
        <bottom/>
        <vertical/>
        <horizontal/>
      </border>
      <protection locked="0" hidden="0"/>
    </dxf>
    <dxf>
      <numFmt numFmtId="34" formatCode="_-&quot;R$&quot;\ * #,##0.00_-;\-&quot;R$&quot;\ * #,##0.00_-;_-&quot;R$&quot;\ * &quot;-&quot;??_-;_-@_-"/>
      <alignment horizontal="left" vertical="top" textRotation="0" wrapText="1" indent="0" justifyLastLine="0" shrinkToFit="0" readingOrder="0"/>
      <border diagonalUp="0" diagonalDown="0">
        <left/>
        <right style="thin">
          <color theme="0" tint="-0.34998626667073579"/>
        </right>
        <top/>
        <bottom/>
        <vertical/>
        <horizontal/>
      </border>
      <protection locked="0" hidden="0"/>
    </dxf>
    <dxf>
      <numFmt numFmtId="19" formatCode="dd/mm/yyyy"/>
      <alignment horizontal="left" vertical="top" textRotation="0" wrapText="1" indent="0" justifyLastLine="0" shrinkToFit="0" readingOrder="0"/>
      <border diagonalUp="0" diagonalDown="0">
        <left/>
        <right style="thin">
          <color theme="0" tint="-0.34998626667073579"/>
        </right>
        <top/>
        <bottom/>
        <vertical/>
        <horizontal/>
      </border>
      <protection locked="0" hidden="0"/>
    </dxf>
    <dxf>
      <alignment horizontal="left" vertical="top" textRotation="0" wrapText="1" indent="0" justifyLastLine="0" shrinkToFit="0" readingOrder="0"/>
      <border diagonalUp="0" diagonalDown="0">
        <left/>
        <right style="thin">
          <color theme="0" tint="-0.34998626667073579"/>
        </right>
        <top/>
        <bottom/>
        <vertical/>
        <horizontal/>
      </border>
      <protection locked="0" hidden="0"/>
    </dxf>
    <dxf>
      <numFmt numFmtId="0" formatCode="General"/>
      <fill>
        <patternFill patternType="none">
          <fgColor indexed="64"/>
          <bgColor indexed="65"/>
        </patternFill>
      </fill>
      <alignment horizontal="left" vertical="top" textRotation="0" wrapText="1" indent="0" justifyLastLine="0" shrinkToFit="0" readingOrder="0"/>
      <border diagonalUp="0" diagonalDown="0">
        <left/>
        <right style="thin">
          <color theme="0" tint="-0.34998626667073579"/>
        </right>
        <top/>
        <bottom/>
        <vertical/>
        <horizontal/>
      </border>
      <protection locked="0" hidden="0"/>
    </dxf>
    <dxf>
      <alignment horizontal="left" vertical="top" textRotation="0" wrapText="1" indent="0" justifyLastLine="0" shrinkToFit="0" readingOrder="0"/>
      <border diagonalUp="0" diagonalDown="0">
        <left/>
        <right style="thin">
          <color theme="0" tint="-0.34998626667073579"/>
        </right>
        <top/>
        <bottom/>
        <vertical/>
        <horizontal/>
      </border>
      <protection locked="0" hidden="0"/>
    </dxf>
    <dxf>
      <numFmt numFmtId="0" formatCode="General"/>
      <alignment horizontal="left" vertical="top" textRotation="0" wrapText="1" indent="0" justifyLastLine="0" shrinkToFit="0" readingOrder="0"/>
      <border diagonalUp="0" diagonalDown="0" outline="0">
        <left/>
        <right style="thin">
          <color theme="0" tint="-0.34998626667073579"/>
        </right>
        <top/>
        <bottom/>
      </border>
      <protection locked="0" hidden="0"/>
    </dxf>
    <dxf>
      <font>
        <b/>
      </font>
      <numFmt numFmtId="0" formatCode="General"/>
      <alignment horizontal="left" vertical="top" textRotation="0" wrapText="1" indent="0" justifyLastLine="0" shrinkToFit="0" readingOrder="0"/>
      <border diagonalUp="0" diagonalDown="0" outline="0">
        <left/>
        <right style="thin">
          <color theme="0" tint="-0.34998626667073579"/>
        </right>
        <top/>
        <bottom/>
      </border>
      <protection locked="0" hidden="0"/>
    </dxf>
    <dxf>
      <alignment horizontal="left" vertical="top" textRotation="0" wrapText="1" indent="0" justifyLastLine="0" shrinkToFit="0" readingOrder="0"/>
    </dxf>
    <dxf>
      <numFmt numFmtId="0" formatCode="General"/>
      <alignment horizontal="left" vertical="top" textRotation="0" wrapText="1" indent="0" justifyLastLine="0" shrinkToFit="0" readingOrder="0"/>
      <border diagonalUp="0" diagonalDown="0">
        <left/>
        <right style="thin">
          <color theme="0" tint="-0.34998626667073579"/>
        </right>
        <top/>
        <bottom/>
        <vertical/>
        <horizontal/>
      </border>
      <protection locked="0" hidden="0"/>
    </dxf>
    <dxf>
      <numFmt numFmtId="0" formatCode="General"/>
      <alignment horizontal="left" vertical="top" textRotation="0" wrapText="1" indent="0" justifyLastLine="0" shrinkToFit="0" readingOrder="0"/>
      <border diagonalUp="0" diagonalDown="0">
        <left/>
        <right style="thin">
          <color theme="0" tint="-0.34998626667073579"/>
        </right>
        <top/>
        <bottom/>
        <vertical/>
        <horizontal/>
      </border>
      <protection locked="0" hidden="0"/>
    </dxf>
    <dxf>
      <numFmt numFmtId="0" formatCode="General"/>
      <fill>
        <patternFill patternType="none">
          <fgColor indexed="64"/>
          <bgColor indexed="65"/>
        </patternFill>
      </fill>
      <alignment horizontal="left" vertical="top" textRotation="0" wrapText="1" indent="0" justifyLastLine="0" shrinkToFit="0" readingOrder="0"/>
      <border diagonalUp="0" diagonalDown="0">
        <left/>
        <right style="thin">
          <color theme="0" tint="-0.34998626667073579"/>
        </right>
        <top/>
        <bottom/>
        <vertical/>
        <horizontal/>
      </border>
      <protection locked="0" hidden="0"/>
    </dxf>
    <dxf>
      <fill>
        <patternFill patternType="none">
          <fgColor indexed="64"/>
          <bgColor auto="1"/>
        </patternFill>
      </fill>
      <alignment horizontal="left" vertical="top" textRotation="0" wrapText="1" indent="0" justifyLastLine="0" shrinkToFit="0" readingOrder="0"/>
      <border diagonalUp="0" diagonalDown="0">
        <left/>
        <right style="thin">
          <color theme="0" tint="-0.34998626667073579"/>
        </right>
        <top/>
        <bottom/>
        <vertical/>
        <horizontal/>
      </border>
    </dxf>
    <dxf>
      <numFmt numFmtId="170" formatCode="&quot;Reordenar&quot;;&quot;&quot;;&quot;&quot;"/>
      <alignment horizontal="left" vertical="top" textRotation="0" wrapText="1" indent="0" justifyLastLine="0" shrinkToFit="0" readingOrder="0"/>
      <border diagonalUp="0" diagonalDown="0">
        <left/>
        <right style="thin">
          <color theme="0" tint="-0.34998626667073579"/>
        </right>
        <top/>
        <bottom/>
        <vertical/>
        <horizontal/>
      </border>
    </dxf>
    <dxf>
      <border outline="0">
        <bottom style="thin">
          <color indexed="64"/>
        </bottom>
      </border>
    </dxf>
    <dxf>
      <font>
        <color theme="0"/>
      </font>
      <fill>
        <patternFill patternType="none">
          <bgColor auto="1"/>
        </patternFill>
      </fill>
      <border diagonalUp="0" diagonalDown="0">
        <left/>
        <right/>
        <top/>
        <bottom style="thin">
          <color theme="0"/>
        </bottom>
        <vertical style="thin">
          <color theme="0"/>
        </vertical>
        <horizontal/>
      </border>
    </dxf>
    <dxf>
      <font>
        <b/>
        <i val="0"/>
        <color theme="0"/>
      </font>
      <fill>
        <patternFill>
          <bgColor theme="6" tint="-0.24994659260841701"/>
        </patternFill>
      </fill>
      <border>
        <top/>
        <bottom style="thick">
          <color theme="0"/>
        </bottom>
        <vertical style="thick">
          <color theme="0"/>
        </vertical>
      </border>
    </dxf>
    <dxf>
      <font>
        <color theme="1"/>
      </font>
      <border>
        <vertical/>
        <horizontal style="thick">
          <color theme="0"/>
        </horizontal>
      </border>
    </dxf>
  </dxfs>
  <tableStyles count="1" defaultTableStyle="TableStyleMedium2" defaultPivotStyle="PivotStyleLight16">
    <tableStyle name="Lista de estoque" pivot="0" count="3" xr9:uid="{0DDAECDE-7EBF-45D5-993A-C06A75D3E1B1}">
      <tableStyleElement type="wholeTable" dxfId="751"/>
      <tableStyleElement type="headerRow" dxfId="750"/>
      <tableStyleElement type="firstColumn" dxfId="749"/>
    </tableStyle>
  </tableStyles>
  <colors>
    <mruColors>
      <color rgb="FFB74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66675</xdr:colOff>
      <xdr:row>1</xdr:row>
      <xdr:rowOff>28575</xdr:rowOff>
    </xdr:from>
    <xdr:to>
      <xdr:col>15</xdr:col>
      <xdr:colOff>9525</xdr:colOff>
      <xdr:row>1</xdr:row>
      <xdr:rowOff>123825</xdr:rowOff>
    </xdr:to>
    <xdr:grpSp>
      <xdr:nvGrpSpPr>
        <xdr:cNvPr id="2" name="Borda do título" descr="Borda do título">
          <a:extLst>
            <a:ext uri="{FF2B5EF4-FFF2-40B4-BE49-F238E27FC236}">
              <a16:creationId xmlns:a16="http://schemas.microsoft.com/office/drawing/2014/main" id="{889F9E1C-367C-4A40-A584-32C3F891D145}"/>
            </a:ext>
          </a:extLst>
        </xdr:cNvPr>
        <xdr:cNvGrpSpPr/>
      </xdr:nvGrpSpPr>
      <xdr:grpSpPr>
        <a:xfrm>
          <a:off x="66675" y="371475"/>
          <a:ext cx="23107650" cy="95250"/>
          <a:chOff x="313008" y="630515"/>
          <a:chExt cx="11155680" cy="93385"/>
        </a:xfrm>
      </xdr:grpSpPr>
      <xdr:sp macro="" textlink="">
        <xdr:nvSpPr>
          <xdr:cNvPr id="3" name="Forma de borda do título">
            <a:extLst>
              <a:ext uri="{FF2B5EF4-FFF2-40B4-BE49-F238E27FC236}">
                <a16:creationId xmlns:a16="http://schemas.microsoft.com/office/drawing/2014/main" id="{0EF4C253-75E8-1C41-F1DC-BDDDE6DC2392}"/>
              </a:ext>
            </a:extLst>
          </xdr:cNvPr>
          <xdr:cNvSpPr/>
        </xdr:nvSpPr>
        <xdr:spPr>
          <a:xfrm>
            <a:off x="313008" y="630517"/>
            <a:ext cx="11155680" cy="89169"/>
          </a:xfrm>
          <a:prstGeom prst="rect">
            <a:avLst/>
          </a:prstGeom>
          <a:solidFill>
            <a:schemeClr val="accent3">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4" name="Forma de borda do título">
            <a:extLst>
              <a:ext uri="{FF2B5EF4-FFF2-40B4-BE49-F238E27FC236}">
                <a16:creationId xmlns:a16="http://schemas.microsoft.com/office/drawing/2014/main" id="{FD04A72E-483C-799F-4CDB-9B2A0FFCBCB6}"/>
              </a:ext>
            </a:extLst>
          </xdr:cNvPr>
          <xdr:cNvSpPr/>
        </xdr:nvSpPr>
        <xdr:spPr>
          <a:xfrm>
            <a:off x="313008" y="630515"/>
            <a:ext cx="121469" cy="93385"/>
          </a:xfrm>
          <a:prstGeom prst="rtTriangl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2397B8-A3A7-48D0-BC06-9323EA41B6AD}" name="ListaDeEstoque" displayName="ListaDeEstoque" ref="A3:O637" headerRowBorderDxfId="748">
  <autoFilter ref="A3:O637" xr:uid="{722397B8-A3A7-48D0-BC06-9323EA41B6AD}"/>
  <sortState xmlns:xlrd2="http://schemas.microsoft.com/office/spreadsheetml/2017/richdata2" ref="A4:O637">
    <sortCondition ref="G3:G637"/>
  </sortState>
  <tableColumns count="15">
    <tableColumn id="10" xr3:uid="{5498C654-3A83-4508-B87C-5EF13DC284A1}" name="Sinalização" totalsRowLabel="Total" dataDxfId="747" dataCellStyle="Coluna de sinalização"/>
    <tableColumn id="5" xr3:uid="{40A1C268-FEDF-47BE-86FD-845721A8AB73}" name="Ordem" dataDxfId="746" dataCellStyle="Coluna de sinalização"/>
    <tableColumn id="13" xr3:uid="{E10A6915-C6E0-4EDA-966D-ECDEE5C62FEE}" name="ID do MATERIAL" dataDxfId="745" dataCellStyle="Detalhes da tabela à esquerda">
      <calculatedColumnFormula>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calculatedColumnFormula>
    </tableColumn>
    <tableColumn id="1" xr3:uid="{82A534D6-D2A0-4EA7-AFBC-E97761ECD435}" name="FORNECEDOR" dataDxfId="744" dataCellStyle="Detalhes da tabela à esquerda"/>
    <tableColumn id="2" xr3:uid="{DE6AF625-86AD-40E8-BCB4-0D7C9A07FC52}" name="CÓD. do FORNECEDOR" dataDxfId="743" dataCellStyle="Detalhes da tabela à esquerda"/>
    <tableColumn id="11" xr3:uid="{ED942B40-B0D2-4CBB-8871-D78E530A3533}" name="Contato do FORNECEDOR" dataDxfId="742"/>
    <tableColumn id="14" xr3:uid="{C42BFCA3-C7DC-4922-BFFB-52B2CEABEABD}" name="Tipo do Material" dataDxfId="741" dataCellStyle="Detalhes da tabela à esquerda"/>
    <tableColumn id="3" xr3:uid="{5C6AF473-B06C-4934-A132-6DF26AD11CF6}" name="DESCRIÇÃO" dataDxfId="740" dataCellStyle="Detalhes da tabela à esquerda"/>
    <tableColumn id="6" xr3:uid="{51FD36DE-1614-4645-8959-043A50BC90F6}" name="Largura e Dimensões" dataDxfId="739" dataCellStyle="Detalhes da tabela à esquerda"/>
    <tableColumn id="18" xr3:uid="{ED29B78F-1E67-4B1D-B9D6-B10FBCE5A6C6}" name="Cores &amp; Textura" dataDxfId="738" dataCellStyle="Detalhes da tabela à esquerda"/>
    <tableColumn id="8" xr3:uid="{E7A5D688-703F-46D0-931A-0A33C25E60B8}" name="Outras Características" dataDxfId="737" dataCellStyle="Detalhes da tabela à esquerda"/>
    <tableColumn id="7" xr3:uid="{257C71E1-9311-416F-9AFD-C52B5CABF975}" name="Data do último ORÇAMENTO DO FORNECEDOR" dataDxfId="736" dataCellStyle="Detalhes da tabela à esquerda"/>
    <tableColumn id="4" xr3:uid="{AF9352E0-2E33-448D-A69A-957C75377B18}" name="Preço unitário" dataDxfId="735" dataCellStyle="Moeda da tabela"/>
    <tableColumn id="9" xr3:uid="{95A56C8C-DEC7-445D-B720-E499B3ABCE88}" name="Descontinuado?" totalsRowFunction="count" dataDxfId="734" dataCellStyle="Descontinuado"/>
    <tableColumn id="17" xr3:uid="{9386C621-774E-46C1-94C8-6F44B0763301}" name="Observações (NOTAS)" dataDxfId="733" dataCellStyle="Detalhes da tabela à direita"/>
  </tableColumns>
  <tableStyleInfo name="TableStyleMedium2" showFirstColumn="1" showLastColumn="0" showRowStripes="1" showColumnStripes="0"/>
  <extLst>
    <ext xmlns:x14="http://schemas.microsoft.com/office/spreadsheetml/2009/9/main" uri="{504A1905-F514-4f6f-8877-14C23A59335A}">
      <x14:table altTextSummary="Insira os detalhes de estoque, como ID do estoque, Nome, Descrição, Preço unitário, Quantidade em estoque, Nível de reposição, Tempo em dias de reposição, Quantidade em reposição e Descontinuado. O Valor do estoque é um campo calculado. Os Itens para reposição são sinalizados na coluna B e na linha destacada. Os Itens descontinuados contêm formatação Tachado e o texto &quot;Sim&quot; na coluna Descontinuado"/>
    </ext>
  </extLst>
</table>
</file>

<file path=xl/theme/theme1.xml><?xml version="1.0" encoding="utf-8"?>
<a:theme xmlns:a="http://schemas.openxmlformats.org/drawingml/2006/main" name="Tema do Office">
  <a:themeElements>
    <a:clrScheme name="VMORDEKAI 2023.04 000">
      <a:dk1>
        <a:sysClr val="windowText" lastClr="000000"/>
      </a:dk1>
      <a:lt1>
        <a:sysClr val="window" lastClr="FFFFFF"/>
      </a:lt1>
      <a:dk2>
        <a:srgbClr val="44546A"/>
      </a:dk2>
      <a:lt2>
        <a:srgbClr val="E7E6E6"/>
      </a:lt2>
      <a:accent1>
        <a:srgbClr val="83B4BB"/>
      </a:accent1>
      <a:accent2>
        <a:srgbClr val="FF6600"/>
      </a:accent2>
      <a:accent3>
        <a:srgbClr val="FFC000"/>
      </a:accent3>
      <a:accent4>
        <a:srgbClr val="B74633"/>
      </a:accent4>
      <a:accent5>
        <a:srgbClr val="3F5A3E"/>
      </a:accent5>
      <a:accent6>
        <a:srgbClr val="110E14"/>
      </a:accent6>
      <a:hlink>
        <a:srgbClr val="0070C0"/>
      </a:hlink>
      <a:folHlink>
        <a:srgbClr val="FF66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trabalhabrasil.com.br/media-salari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romaaviamentos.com.br/manta-r1-gramatura-100gr-pegorari---15mt-x-1mt---014117.25748.html?gclid=CjwKCAjwzY2bBhB6EiwAPpUpZiI9x0fI6VoPjsU2YhYB9UsASmYw7DwnaX35ECJ0DXm4CVXUPCSStRoCkPUQAvD_BwE" TargetMode="External"/><Relationship Id="rId1" Type="http://schemas.openxmlformats.org/officeDocument/2006/relationships/hyperlink" Target="https://www.kalunga.com.br/prod/fita-dupla-face-de-papel-12mmx30m-adelbras-pt-1-un/305211?cq_src=google_ads&amp;cq_cmp=17061683727&amp;cq_con=&amp;cq_term=&amp;cq_med=pla&amp;cq_plac=&amp;cq_net=x&amp;cq_pos=&amp;cq_plt=gp&amp;pcID=3902&amp;gclid=CjwKCAjww7KmBhAyEiwA5-PUSlr-sX22qWDkXWOcADVbfaQywno1VeTa8H0sj6NF26lCSaT65RtonBoC0scQAvD_BwE" TargetMode="External"/><Relationship Id="rId5" Type="http://schemas.openxmlformats.org/officeDocument/2006/relationships/table" Target="../tables/table1.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35C92-1076-40EE-85C7-67366124607E}">
  <dimension ref="A2:AJ408"/>
  <sheetViews>
    <sheetView showGridLines="0" topLeftCell="K3" zoomScaleNormal="100" workbookViewId="0">
      <selection activeCell="B21" sqref="B21:H22"/>
    </sheetView>
  </sheetViews>
  <sheetFormatPr defaultRowHeight="15" x14ac:dyDescent="0.25"/>
  <cols>
    <col min="1" max="1" width="11.7109375"/>
    <col min="2" max="4" width="11.7109375" style="39"/>
    <col min="5" max="5" width="11.7109375" style="39" customWidth="1"/>
    <col min="6" max="6" width="20.28515625" style="39" customWidth="1"/>
    <col min="7" max="7" width="18.42578125" style="39" customWidth="1"/>
    <col min="8" max="8" width="11.7109375"/>
    <col min="10" max="10" width="14" customWidth="1"/>
    <col min="11" max="11" width="23.140625" customWidth="1"/>
    <col min="12" max="12" width="12" customWidth="1"/>
    <col min="13" max="13" width="13" customWidth="1"/>
    <col min="14" max="14" width="16.7109375" customWidth="1"/>
    <col min="15" max="15" width="11.42578125" customWidth="1"/>
    <col min="18" max="18" width="10.7109375" bestFit="1" customWidth="1"/>
    <col min="32" max="32" width="14" customWidth="1"/>
    <col min="34" max="34" width="19.85546875" customWidth="1"/>
  </cols>
  <sheetData>
    <row r="2" spans="1:34" ht="15.75" thickBot="1" x14ac:dyDescent="0.3">
      <c r="A2" s="39"/>
      <c r="C2" s="1069" t="s">
        <v>0</v>
      </c>
      <c r="D2" s="1069"/>
      <c r="E2" s="1069"/>
      <c r="F2" s="1069"/>
      <c r="G2" s="1069"/>
      <c r="J2" s="1062" t="s">
        <v>1</v>
      </c>
      <c r="K2" s="1063"/>
      <c r="L2" s="1063"/>
      <c r="M2" s="1063"/>
      <c r="N2" s="1063"/>
      <c r="O2" s="1063"/>
      <c r="P2" s="1094" t="s">
        <v>2</v>
      </c>
      <c r="Q2" s="1095"/>
      <c r="R2" s="1252">
        <f>'NOME + Nº'!D5</f>
        <v>45182</v>
      </c>
      <c r="S2" s="1253"/>
      <c r="T2" s="36"/>
      <c r="Y2" s="36"/>
      <c r="Z2" s="36"/>
      <c r="AB2" s="36"/>
      <c r="AC2" s="36"/>
    </row>
    <row r="3" spans="1:34" x14ac:dyDescent="0.25">
      <c r="A3" s="39"/>
      <c r="B3" s="1228" t="s">
        <v>3</v>
      </c>
      <c r="C3" s="1080" t="s">
        <v>369</v>
      </c>
      <c r="D3" s="1080"/>
      <c r="E3" s="1080"/>
      <c r="F3" s="1080"/>
      <c r="G3" s="1080"/>
      <c r="J3" s="1062" t="s">
        <v>4</v>
      </c>
      <c r="K3" s="1063"/>
      <c r="L3" s="1063"/>
      <c r="M3" s="1063"/>
      <c r="N3" s="1063"/>
      <c r="O3" s="1064"/>
      <c r="P3" s="1094" t="s">
        <v>5</v>
      </c>
      <c r="Q3" s="1095"/>
      <c r="R3" s="1252" t="str">
        <f>'NOME + Nº'!D4</f>
        <v>2023.17.3 000</v>
      </c>
      <c r="S3" s="1253"/>
      <c r="T3" s="36"/>
      <c r="Y3" s="36"/>
      <c r="Z3" s="36"/>
      <c r="AB3" s="36"/>
      <c r="AC3" s="36"/>
      <c r="AD3" s="36"/>
      <c r="AE3" s="36"/>
      <c r="AF3" s="36"/>
      <c r="AG3" s="36"/>
    </row>
    <row r="4" spans="1:34" ht="15.75" thickBot="1" x14ac:dyDescent="0.3">
      <c r="A4" s="39"/>
      <c r="B4" s="1229"/>
      <c r="C4" s="1080"/>
      <c r="D4" s="1080"/>
      <c r="E4" s="1080"/>
      <c r="F4" s="1080"/>
      <c r="G4" s="1080"/>
    </row>
    <row r="5" spans="1:34" ht="15.75" thickBot="1" x14ac:dyDescent="0.3">
      <c r="A5" s="39"/>
      <c r="H5" s="39"/>
    </row>
    <row r="6" spans="1:34" x14ac:dyDescent="0.25">
      <c r="A6" s="39"/>
      <c r="C6" s="1086" t="s">
        <v>6</v>
      </c>
      <c r="D6" s="1087"/>
      <c r="E6" s="1087"/>
      <c r="F6" s="1087"/>
      <c r="G6" s="1088"/>
      <c r="H6" s="39"/>
      <c r="AB6" s="1065" t="s">
        <v>7</v>
      </c>
      <c r="AC6" s="1065"/>
      <c r="AD6" s="1065"/>
      <c r="AE6" s="1065"/>
      <c r="AF6" s="1065"/>
      <c r="AG6" s="1065"/>
      <c r="AH6" s="37" t="s">
        <v>8</v>
      </c>
    </row>
    <row r="7" spans="1:34" ht="18.75" x14ac:dyDescent="0.25">
      <c r="A7" s="39"/>
      <c r="C7" s="1089" t="s">
        <v>9</v>
      </c>
      <c r="D7" s="1090"/>
      <c r="E7" s="1090"/>
      <c r="F7" s="1090"/>
      <c r="G7" s="1" t="s">
        <v>10</v>
      </c>
      <c r="H7" s="39"/>
      <c r="J7" s="1066" t="str">
        <f>'NOME + Nº'!C8</f>
        <v>REF. NOME + Nº - 15H x 10B x 5L (cm)</v>
      </c>
      <c r="K7" s="1067"/>
      <c r="L7" s="1067"/>
      <c r="M7" s="1067"/>
      <c r="N7" s="1068"/>
      <c r="U7" s="1060" t="s">
        <v>743</v>
      </c>
      <c r="V7" s="1060"/>
      <c r="W7" s="1060"/>
      <c r="X7" s="1060"/>
      <c r="Y7" s="1060"/>
      <c r="Z7" s="1061"/>
      <c r="AB7" s="1065"/>
      <c r="AC7" s="1065"/>
      <c r="AD7" s="1065"/>
      <c r="AE7" s="1065"/>
      <c r="AF7" s="1065"/>
      <c r="AG7" s="1065"/>
      <c r="AH7" s="38">
        <v>24</v>
      </c>
    </row>
    <row r="8" spans="1:34" x14ac:dyDescent="0.25">
      <c r="A8" s="39"/>
      <c r="B8" s="87"/>
      <c r="C8" s="1091" t="s">
        <v>11</v>
      </c>
      <c r="D8" s="1092"/>
      <c r="E8" s="1092"/>
      <c r="F8" s="1092"/>
      <c r="G8" s="1093" t="s">
        <v>10</v>
      </c>
      <c r="J8" s="201" t="s">
        <v>12</v>
      </c>
      <c r="K8" s="202" t="s">
        <v>366</v>
      </c>
      <c r="L8" s="1231" t="s">
        <v>367</v>
      </c>
      <c r="M8" s="1231"/>
      <c r="N8" s="1232"/>
      <c r="U8" s="1060"/>
      <c r="V8" s="1060"/>
      <c r="W8" s="1060"/>
      <c r="X8" s="1060"/>
      <c r="Y8" s="1060"/>
      <c r="Z8" s="1061"/>
    </row>
    <row r="9" spans="1:34" x14ac:dyDescent="0.25">
      <c r="A9" s="39"/>
      <c r="C9" s="1091"/>
      <c r="D9" s="1092"/>
      <c r="E9" s="1092"/>
      <c r="F9" s="1092"/>
      <c r="G9" s="1093"/>
      <c r="K9" s="1083" t="s">
        <v>14</v>
      </c>
      <c r="L9" s="1083"/>
      <c r="M9" s="1083"/>
      <c r="N9" s="203">
        <f>N32/N22</f>
        <v>326.73997611839906</v>
      </c>
      <c r="V9" s="577"/>
      <c r="W9" s="578"/>
      <c r="X9" s="578"/>
      <c r="Y9" s="578"/>
      <c r="Z9" s="579"/>
    </row>
    <row r="10" spans="1:34" ht="18.75" x14ac:dyDescent="0.25">
      <c r="A10" s="39"/>
      <c r="C10" s="1089" t="s">
        <v>15</v>
      </c>
      <c r="D10" s="1090"/>
      <c r="E10" s="1090"/>
      <c r="F10" s="1090"/>
      <c r="G10" s="88" t="s">
        <v>10</v>
      </c>
      <c r="K10" s="1085" t="s">
        <v>16</v>
      </c>
      <c r="L10" s="1085"/>
      <c r="M10" s="1085"/>
      <c r="N10" s="1085"/>
      <c r="P10" s="1129" t="s">
        <v>17</v>
      </c>
      <c r="Q10" s="1129"/>
      <c r="V10" s="1293" t="s">
        <v>25</v>
      </c>
      <c r="W10" s="1294"/>
      <c r="X10" s="1295"/>
      <c r="Y10" s="1296">
        <f>'NOME + Nº'!H123+'NOME + Nº'!K176</f>
        <v>121.51077647058824</v>
      </c>
      <c r="Z10" s="1297"/>
      <c r="AD10" s="1081" t="s">
        <v>18</v>
      </c>
      <c r="AE10" s="1081"/>
      <c r="AF10" s="1081"/>
      <c r="AG10" s="1081"/>
      <c r="AH10" s="1081"/>
    </row>
    <row r="11" spans="1:34" ht="19.5" thickBot="1" x14ac:dyDescent="0.3">
      <c r="A11" s="39"/>
      <c r="C11" s="1089" t="s">
        <v>19</v>
      </c>
      <c r="D11" s="1090"/>
      <c r="E11" s="1090"/>
      <c r="F11" s="1090"/>
      <c r="G11" s="2" t="s">
        <v>10</v>
      </c>
      <c r="K11" s="1082" t="s">
        <v>20</v>
      </c>
      <c r="L11" s="1082"/>
      <c r="M11" s="1082"/>
      <c r="N11" s="1082"/>
      <c r="P11" s="1264"/>
      <c r="Q11" s="1264"/>
      <c r="V11" s="577"/>
      <c r="W11" s="578"/>
      <c r="X11" s="578"/>
      <c r="Y11" s="578"/>
      <c r="Z11" s="579"/>
      <c r="AD11" s="1081"/>
      <c r="AE11" s="1081"/>
      <c r="AF11" s="1081"/>
      <c r="AG11" s="1081"/>
      <c r="AH11" s="1081"/>
    </row>
    <row r="12" spans="1:34" ht="15.75" thickBot="1" x14ac:dyDescent="0.3">
      <c r="A12" s="39"/>
      <c r="C12" s="1089" t="s">
        <v>394</v>
      </c>
      <c r="D12" s="1090"/>
      <c r="E12" s="1090"/>
      <c r="F12" s="1090"/>
      <c r="G12" s="229" t="s">
        <v>189</v>
      </c>
      <c r="K12" s="1083" t="s">
        <v>22</v>
      </c>
      <c r="L12" s="1083"/>
      <c r="M12" s="1083"/>
      <c r="N12" s="116">
        <f>SUM(G39:G41)</f>
        <v>0.30000000000000004</v>
      </c>
      <c r="P12" s="1254" t="s">
        <v>67</v>
      </c>
      <c r="Q12" s="1255"/>
      <c r="V12" s="1292" t="s">
        <v>319</v>
      </c>
      <c r="W12" s="1292"/>
      <c r="X12" s="1291" t="s">
        <v>28</v>
      </c>
      <c r="Y12" s="1291"/>
      <c r="Z12" s="1291"/>
      <c r="AD12" s="39"/>
      <c r="AE12" s="1084" t="s">
        <v>149</v>
      </c>
      <c r="AF12" s="1084"/>
      <c r="AG12" s="1084"/>
      <c r="AH12" s="200">
        <v>2000</v>
      </c>
    </row>
    <row r="13" spans="1:34" ht="18.75" x14ac:dyDescent="0.25">
      <c r="A13" s="39"/>
      <c r="C13" s="1089" t="s">
        <v>21</v>
      </c>
      <c r="D13" s="1090"/>
      <c r="E13" s="1090"/>
      <c r="F13" s="1090"/>
      <c r="G13" s="3" t="s">
        <v>10</v>
      </c>
      <c r="K13" s="1074" t="s">
        <v>25</v>
      </c>
      <c r="L13" s="1074"/>
      <c r="M13" s="1074"/>
      <c r="N13" s="194">
        <f>IF(P12=G31,0,Y10)</f>
        <v>121.51077647058824</v>
      </c>
      <c r="V13" s="1298" t="s">
        <v>23</v>
      </c>
      <c r="W13" s="1298"/>
      <c r="X13" s="574" t="s">
        <v>30</v>
      </c>
      <c r="Y13" s="573" t="s">
        <v>31</v>
      </c>
      <c r="Z13" s="573" t="s">
        <v>32</v>
      </c>
      <c r="AD13" s="39"/>
      <c r="AE13" s="1075" t="s">
        <v>151</v>
      </c>
      <c r="AF13" s="1075"/>
      <c r="AG13" s="1075"/>
      <c r="AH13" s="197">
        <v>500</v>
      </c>
    </row>
    <row r="14" spans="1:34" ht="18.75" x14ac:dyDescent="0.25">
      <c r="A14" s="39"/>
      <c r="C14" s="1089" t="s">
        <v>24</v>
      </c>
      <c r="D14" s="1090"/>
      <c r="E14" s="1090"/>
      <c r="F14" s="1090"/>
      <c r="G14" s="4" t="s">
        <v>10</v>
      </c>
      <c r="K14" s="1076" t="s">
        <v>27</v>
      </c>
      <c r="L14" s="1076"/>
      <c r="M14" s="1076"/>
      <c r="N14" s="1076"/>
      <c r="O14" s="1077" t="s">
        <v>28</v>
      </c>
      <c r="P14" s="1078"/>
      <c r="Q14" s="1079"/>
      <c r="V14" s="1117" t="s">
        <v>740</v>
      </c>
      <c r="W14" s="1118"/>
      <c r="X14" s="84">
        <f>'Arranjo PROCESSOS'!BC12</f>
        <v>0</v>
      </c>
      <c r="Y14" s="85">
        <f>'Arranjo PROCESSOS'!BD12</f>
        <v>41</v>
      </c>
      <c r="Z14" s="84">
        <f>'Arranjo PROCESSOS'!BE12</f>
        <v>49.999999999999716</v>
      </c>
      <c r="AD14" s="39"/>
      <c r="AE14" s="1075" t="s">
        <v>152</v>
      </c>
      <c r="AF14" s="1075"/>
      <c r="AG14" s="1075"/>
      <c r="AH14" s="197">
        <v>180</v>
      </c>
    </row>
    <row r="15" spans="1:34" x14ac:dyDescent="0.25">
      <c r="A15" s="39"/>
      <c r="C15" s="1233" t="s">
        <v>26</v>
      </c>
      <c r="D15" s="1234"/>
      <c r="E15" s="1234"/>
      <c r="F15" s="1235"/>
      <c r="G15" s="1239" t="s">
        <v>10</v>
      </c>
      <c r="K15" s="1106"/>
      <c r="L15" s="1107"/>
      <c r="M15" s="41"/>
      <c r="N15" s="42" t="s">
        <v>29</v>
      </c>
      <c r="O15" s="43" t="s">
        <v>30</v>
      </c>
      <c r="P15" s="43" t="s">
        <v>31</v>
      </c>
      <c r="Q15" s="43" t="s">
        <v>32</v>
      </c>
      <c r="V15" s="1117" t="s">
        <v>741</v>
      </c>
      <c r="W15" s="1118"/>
      <c r="X15" s="84">
        <f>'Arranjo PROCESSOS'!BC13</f>
        <v>0.69722222222222219</v>
      </c>
      <c r="Y15" s="85">
        <f>'Arranjo PROCESSOS'!BD13</f>
        <v>0</v>
      </c>
      <c r="Z15" s="84">
        <f>'Arranjo PROCESSOS'!BE13</f>
        <v>0</v>
      </c>
      <c r="AD15" s="39"/>
      <c r="AE15" s="1075" t="s">
        <v>153</v>
      </c>
      <c r="AF15" s="1075"/>
      <c r="AG15" s="1075"/>
      <c r="AH15" s="197">
        <v>200</v>
      </c>
    </row>
    <row r="16" spans="1:34" x14ac:dyDescent="0.25">
      <c r="A16" s="39"/>
      <c r="C16" s="1236"/>
      <c r="D16" s="1237"/>
      <c r="E16" s="1237"/>
      <c r="F16" s="1238"/>
      <c r="G16" s="1239"/>
      <c r="K16" s="1108" t="s">
        <v>35</v>
      </c>
      <c r="L16" s="1109"/>
      <c r="M16" s="44" t="s">
        <v>36</v>
      </c>
      <c r="N16" s="80">
        <f>O16*((60^2))+(P16*60)+Q16</f>
        <v>1800</v>
      </c>
      <c r="O16" s="84">
        <f>IF(P12=G31,X24,IF(P12=G29,X14,X19))</f>
        <v>0</v>
      </c>
      <c r="P16" s="85">
        <f>IF(P12=G31,Y24,IF(P12=G29,Y14,Y19))</f>
        <v>30</v>
      </c>
      <c r="Q16" s="84">
        <f>IF(P12=G31,Z24,IF(P12=G29,Z14,Z19))</f>
        <v>0</v>
      </c>
      <c r="V16" s="1114" t="s">
        <v>742</v>
      </c>
      <c r="W16" s="1115"/>
      <c r="X16" s="576"/>
      <c r="Y16" s="576">
        <v>45</v>
      </c>
      <c r="Z16" s="576">
        <v>0</v>
      </c>
      <c r="AD16" s="39"/>
      <c r="AE16" s="1075" t="s">
        <v>47</v>
      </c>
      <c r="AF16" s="1075"/>
      <c r="AG16" s="1075"/>
      <c r="AH16" s="197">
        <v>80</v>
      </c>
    </row>
    <row r="17" spans="1:34" x14ac:dyDescent="0.25">
      <c r="A17" s="39"/>
      <c r="C17" s="1089" t="s">
        <v>33</v>
      </c>
      <c r="D17" s="1090"/>
      <c r="E17" s="1090"/>
      <c r="F17" s="1090"/>
      <c r="G17" s="1242" t="s">
        <v>34</v>
      </c>
      <c r="K17" s="1070" t="s">
        <v>37</v>
      </c>
      <c r="L17" s="1071"/>
      <c r="M17" s="45" t="s">
        <v>38</v>
      </c>
      <c r="N17" s="80">
        <f>(O17*(60^2))+(P17*60)+Q17</f>
        <v>600</v>
      </c>
      <c r="O17" s="84">
        <f>IF(P12=G31,X25,IF(P12=G29,X15,X20))</f>
        <v>0</v>
      </c>
      <c r="P17" s="85">
        <f>IF(P12=G31,Y25,IF(P12=G29,Y15,Y20))</f>
        <v>10</v>
      </c>
      <c r="Q17" s="84">
        <f>IF(P12=G31,Z25,IF(P12=G29,Z15,Z20))</f>
        <v>0</v>
      </c>
      <c r="V17" s="577"/>
      <c r="W17" s="578"/>
      <c r="X17" s="578"/>
      <c r="Y17" s="578"/>
      <c r="Z17" s="579"/>
      <c r="AD17" s="39"/>
      <c r="AF17" s="1072" t="s">
        <v>39</v>
      </c>
      <c r="AG17" s="1073"/>
      <c r="AH17" s="207">
        <f>SUM(AH12:AH16)</f>
        <v>2960</v>
      </c>
    </row>
    <row r="18" spans="1:34" ht="15.75" thickBot="1" x14ac:dyDescent="0.3">
      <c r="A18" s="39"/>
      <c r="C18" s="1240"/>
      <c r="D18" s="1241"/>
      <c r="E18" s="1241"/>
      <c r="F18" s="1241"/>
      <c r="G18" s="1243"/>
      <c r="K18" s="1070" t="s">
        <v>40</v>
      </c>
      <c r="L18" s="1071"/>
      <c r="M18" s="1071"/>
      <c r="N18" s="80">
        <f>(O18*(60^2))+(P18*60)+Q18</f>
        <v>2700</v>
      </c>
      <c r="O18" s="575">
        <f>IF(P12=G31,X26,IF(P12=G29,X16,X21))</f>
        <v>0</v>
      </c>
      <c r="P18" s="575">
        <f>IF(P12=G31,Y26,IF(P12=G29,Y16,Y21))</f>
        <v>45</v>
      </c>
      <c r="Q18" s="575">
        <f>IF(P12=G31,Z26,IF(P12=G29,Z16,Z21))</f>
        <v>0</v>
      </c>
      <c r="V18" s="1116" t="s">
        <v>67</v>
      </c>
      <c r="W18" s="1116"/>
      <c r="X18" s="574" t="s">
        <v>30</v>
      </c>
      <c r="Y18" s="573" t="s">
        <v>31</v>
      </c>
      <c r="Z18" s="573" t="s">
        <v>32</v>
      </c>
      <c r="AD18" s="1096" t="s">
        <v>41</v>
      </c>
      <c r="AE18" s="1097"/>
      <c r="AF18" s="1097"/>
      <c r="AG18" s="1097"/>
      <c r="AH18" s="1098"/>
    </row>
    <row r="19" spans="1:34" x14ac:dyDescent="0.25">
      <c r="A19" s="39"/>
      <c r="K19" s="1113">
        <v>1800</v>
      </c>
      <c r="L19" s="1113"/>
      <c r="M19" s="1113"/>
      <c r="N19" s="1113"/>
      <c r="O19" s="46"/>
      <c r="V19" s="1117" t="str">
        <f>V14</f>
        <v>¹Principal</v>
      </c>
      <c r="W19" s="1118"/>
      <c r="X19" s="84">
        <f>'Arranjo CELULAR'!P54</f>
        <v>0</v>
      </c>
      <c r="Y19" s="85">
        <f>'Arranjo CELULAR'!Q54</f>
        <v>30</v>
      </c>
      <c r="Z19" s="84">
        <f>'Arranjo CELULAR'!R54</f>
        <v>0</v>
      </c>
      <c r="AD19" s="1099"/>
      <c r="AE19" s="1100"/>
      <c r="AF19" s="1100"/>
      <c r="AG19" s="1100"/>
      <c r="AH19" s="1101"/>
    </row>
    <row r="20" spans="1:34" x14ac:dyDescent="0.25">
      <c r="A20" s="39"/>
      <c r="H20" s="39"/>
      <c r="K20" s="1085" t="s">
        <v>42</v>
      </c>
      <c r="L20" s="1085"/>
      <c r="M20" s="1085"/>
      <c r="N20" s="1085"/>
      <c r="V20" s="1117" t="str">
        <f t="shared" ref="V20:V21" si="0">V15</f>
        <v>²Secundária</v>
      </c>
      <c r="W20" s="1118"/>
      <c r="X20" s="84">
        <f>'Arranjo CELULAR'!P56</f>
        <v>0</v>
      </c>
      <c r="Y20" s="85">
        <f>'Arranjo CELULAR'!Q56</f>
        <v>10</v>
      </c>
      <c r="Z20" s="84">
        <f>'Arranjo CELULAR'!R56</f>
        <v>0</v>
      </c>
      <c r="AD20" s="39"/>
      <c r="AE20" s="1084" t="s">
        <v>43</v>
      </c>
      <c r="AF20" s="1084"/>
      <c r="AG20" s="1084"/>
      <c r="AH20" s="200">
        <v>4</v>
      </c>
    </row>
    <row r="21" spans="1:34" x14ac:dyDescent="0.25">
      <c r="A21" s="39"/>
      <c r="B21" s="1258" t="s">
        <v>932</v>
      </c>
      <c r="C21" s="1259"/>
      <c r="D21" s="1259"/>
      <c r="E21" s="1259"/>
      <c r="F21" s="1259"/>
      <c r="G21" s="1259"/>
      <c r="H21" s="1260"/>
      <c r="K21" s="1110" t="s">
        <v>44</v>
      </c>
      <c r="L21" s="1111"/>
      <c r="M21" s="1112"/>
      <c r="N21" s="47">
        <v>0.7</v>
      </c>
      <c r="V21" s="1114" t="str">
        <f t="shared" si="0"/>
        <v>³Pausa programadas (funcionário/dia)</v>
      </c>
      <c r="W21" s="1115"/>
      <c r="X21" s="576"/>
      <c r="Y21" s="576">
        <v>45</v>
      </c>
      <c r="Z21" s="576">
        <v>0</v>
      </c>
      <c r="AD21" s="39"/>
      <c r="AE21" s="1075" t="s">
        <v>45</v>
      </c>
      <c r="AF21" s="1075"/>
      <c r="AG21" s="1075"/>
      <c r="AH21" s="197">
        <v>2300</v>
      </c>
    </row>
    <row r="22" spans="1:34" ht="15.75" thickBot="1" x14ac:dyDescent="0.3">
      <c r="A22" s="39"/>
      <c r="B22" s="1261"/>
      <c r="C22" s="1262"/>
      <c r="D22" s="1262"/>
      <c r="E22" s="1262"/>
      <c r="F22" s="1262"/>
      <c r="G22" s="1262"/>
      <c r="H22" s="1263"/>
      <c r="K22" s="1103" t="s">
        <v>46</v>
      </c>
      <c r="L22" s="1104"/>
      <c r="M22" s="1105"/>
      <c r="N22" s="77">
        <f>N23*N26*N21</f>
        <v>520.67399999999998</v>
      </c>
      <c r="O22" s="56"/>
      <c r="V22" s="577"/>
      <c r="W22" s="578"/>
      <c r="X22" s="578"/>
      <c r="Y22" s="578"/>
      <c r="Z22" s="579"/>
      <c r="AD22" s="39"/>
      <c r="AE22" s="1075" t="s">
        <v>47</v>
      </c>
      <c r="AF22" s="1075"/>
      <c r="AG22" s="1075"/>
      <c r="AH22" s="197">
        <v>600</v>
      </c>
    </row>
    <row r="23" spans="1:34" ht="15.75" thickBot="1" x14ac:dyDescent="0.3">
      <c r="A23" s="39"/>
      <c r="K23" s="1103" t="s">
        <v>50</v>
      </c>
      <c r="L23" s="1104"/>
      <c r="M23" s="1105"/>
      <c r="N23" s="77">
        <f>(N38)*N39*N21/N16</f>
        <v>33.809999999999995</v>
      </c>
      <c r="O23" s="39"/>
      <c r="P23" s="1147" t="s">
        <v>51</v>
      </c>
      <c r="Q23" s="1148"/>
      <c r="R23" s="1148"/>
      <c r="S23" s="1148"/>
      <c r="T23" s="1149"/>
      <c r="V23" s="1116" t="s">
        <v>735</v>
      </c>
      <c r="W23" s="1116"/>
      <c r="X23" s="574" t="s">
        <v>30</v>
      </c>
      <c r="Y23" s="573" t="s">
        <v>31</v>
      </c>
      <c r="Z23" s="573" t="s">
        <v>32</v>
      </c>
      <c r="AF23" s="1072" t="s">
        <v>39</v>
      </c>
      <c r="AG23" s="1073"/>
      <c r="AH23" s="207">
        <f>(AH21*AH20)+AH22</f>
        <v>9800</v>
      </c>
    </row>
    <row r="24" spans="1:34" x14ac:dyDescent="0.25">
      <c r="A24" s="39"/>
      <c r="D24" s="1244" t="s">
        <v>48</v>
      </c>
      <c r="E24" s="1245"/>
      <c r="F24" s="1246" t="s">
        <v>49</v>
      </c>
      <c r="G24" s="1247"/>
      <c r="K24" s="1102" t="s">
        <v>54</v>
      </c>
      <c r="L24" s="1102"/>
      <c r="M24" s="1102"/>
      <c r="N24" s="78">
        <f>(N38)*N21/K19</f>
        <v>11.27</v>
      </c>
      <c r="O24" s="56"/>
      <c r="P24" s="1150" t="s">
        <v>55</v>
      </c>
      <c r="Q24" s="1151"/>
      <c r="R24" s="1152">
        <v>75</v>
      </c>
      <c r="S24" s="1152"/>
      <c r="T24" s="76" t="s">
        <v>56</v>
      </c>
      <c r="V24" s="1117" t="str">
        <f>V19</f>
        <v>¹Principal</v>
      </c>
      <c r="W24" s="1118"/>
      <c r="X24" s="84">
        <v>1</v>
      </c>
      <c r="Y24" s="85">
        <v>0</v>
      </c>
      <c r="Z24" s="84">
        <v>0</v>
      </c>
      <c r="AD24" s="1096" t="s">
        <v>57</v>
      </c>
      <c r="AE24" s="1097"/>
      <c r="AF24" s="1097"/>
      <c r="AG24" s="1097"/>
      <c r="AH24" s="1098"/>
    </row>
    <row r="25" spans="1:34" ht="15.75" thickBot="1" x14ac:dyDescent="0.3">
      <c r="A25" s="39"/>
      <c r="D25" s="1248" t="s">
        <v>52</v>
      </c>
      <c r="E25" s="1249"/>
      <c r="F25" s="1250" t="s">
        <v>53</v>
      </c>
      <c r="G25" s="1251"/>
      <c r="K25" s="1102" t="s">
        <v>58</v>
      </c>
      <c r="L25" s="1102"/>
      <c r="M25" s="1102"/>
      <c r="N25" s="77">
        <f>N23/N24</f>
        <v>2.9999999999999996</v>
      </c>
      <c r="O25" s="48"/>
      <c r="P25" s="1153" t="s">
        <v>59</v>
      </c>
      <c r="Q25" s="1154"/>
      <c r="R25" s="1155">
        <f>R24/N23</f>
        <v>2.2182786157941439</v>
      </c>
      <c r="S25" s="1155"/>
      <c r="T25" s="79" t="s">
        <v>60</v>
      </c>
      <c r="V25" s="1117" t="str">
        <f t="shared" ref="V25:V26" si="1">V20</f>
        <v>²Secundária</v>
      </c>
      <c r="W25" s="1118"/>
      <c r="X25" s="84">
        <v>0</v>
      </c>
      <c r="Y25" s="85">
        <v>20</v>
      </c>
      <c r="Z25" s="84">
        <f>'Arranjo CELULAR'!R61</f>
        <v>0</v>
      </c>
      <c r="AD25" s="1099"/>
      <c r="AE25" s="1100"/>
      <c r="AF25" s="1100"/>
      <c r="AG25" s="1100"/>
      <c r="AH25" s="1101"/>
    </row>
    <row r="26" spans="1:34" x14ac:dyDescent="0.25">
      <c r="B26"/>
      <c r="C26"/>
      <c r="D26"/>
      <c r="E26"/>
      <c r="F26"/>
      <c r="G26"/>
      <c r="K26" s="1103" t="s">
        <v>62</v>
      </c>
      <c r="L26" s="1104"/>
      <c r="M26" s="1105"/>
      <c r="N26" s="78">
        <f>G36</f>
        <v>22</v>
      </c>
      <c r="O26" s="48"/>
      <c r="V26" s="1114" t="str">
        <f t="shared" si="1"/>
        <v>³Pausa programadas (funcionário/dia)</v>
      </c>
      <c r="W26" s="1115"/>
      <c r="X26" s="576"/>
      <c r="Y26" s="576">
        <v>45</v>
      </c>
      <c r="Z26" s="576">
        <v>0</v>
      </c>
      <c r="AD26" s="39"/>
      <c r="AE26" s="1084" t="s">
        <v>63</v>
      </c>
      <c r="AF26" s="1084"/>
      <c r="AG26" s="1084"/>
      <c r="AH26" s="200">
        <v>200</v>
      </c>
    </row>
    <row r="27" spans="1:34" ht="20.25" thickBot="1" x14ac:dyDescent="0.35">
      <c r="B27" s="1265" t="s">
        <v>368</v>
      </c>
      <c r="C27" s="1265"/>
      <c r="D27" s="1265"/>
      <c r="E27" s="1265"/>
      <c r="F27" s="1265"/>
      <c r="G27" s="212" t="s">
        <v>189</v>
      </c>
      <c r="K27" s="1103" t="s">
        <v>64</v>
      </c>
      <c r="L27" s="1104"/>
      <c r="M27" s="1105"/>
      <c r="N27" s="194">
        <f>N13*N22</f>
        <v>63267.502028047056</v>
      </c>
      <c r="O27" s="48"/>
      <c r="V27" s="577"/>
      <c r="W27" s="578"/>
      <c r="X27" s="578"/>
      <c r="Y27" s="578"/>
      <c r="Z27" s="579"/>
      <c r="AD27" s="39"/>
      <c r="AE27" s="1075" t="s">
        <v>65</v>
      </c>
      <c r="AF27" s="1075"/>
      <c r="AG27" s="1075"/>
      <c r="AH27" s="197">
        <v>1000</v>
      </c>
    </row>
    <row r="28" spans="1:34" ht="15.75" thickTop="1" x14ac:dyDescent="0.25">
      <c r="B28"/>
      <c r="C28" s="215"/>
      <c r="D28" s="215"/>
      <c r="E28" s="215"/>
      <c r="F28" s="215"/>
      <c r="G28" s="215"/>
      <c r="K28" s="1103" t="s">
        <v>66</v>
      </c>
      <c r="L28" s="1104"/>
      <c r="M28" s="1105"/>
      <c r="N28" s="194">
        <f>SUM(G309:G314)</f>
        <v>11760</v>
      </c>
      <c r="O28" s="48"/>
      <c r="AD28" s="39"/>
      <c r="AE28" s="1075" t="s">
        <v>47</v>
      </c>
      <c r="AF28" s="1075"/>
      <c r="AG28" s="1075"/>
      <c r="AH28" s="197">
        <v>0</v>
      </c>
    </row>
    <row r="29" spans="1:34" ht="15.75" customHeight="1" x14ac:dyDescent="0.25">
      <c r="B29"/>
      <c r="C29" s="1274" t="s">
        <v>17</v>
      </c>
      <c r="D29" s="1274"/>
      <c r="E29" s="1274"/>
      <c r="F29" s="1275"/>
      <c r="G29" s="189" t="s">
        <v>23</v>
      </c>
      <c r="K29" s="1103" t="s">
        <v>68</v>
      </c>
      <c r="L29" s="1104"/>
      <c r="M29" s="1105"/>
      <c r="N29" s="194">
        <f>F68</f>
        <v>53337.890530007789</v>
      </c>
      <c r="O29" s="48"/>
      <c r="AF29" s="1072" t="s">
        <v>39</v>
      </c>
      <c r="AG29" s="1073"/>
      <c r="AH29" s="206">
        <f>SUM(AH26:AH28)</f>
        <v>1200</v>
      </c>
    </row>
    <row r="30" spans="1:34" ht="16.5" customHeight="1" x14ac:dyDescent="0.25">
      <c r="B30"/>
      <c r="C30" s="1274"/>
      <c r="D30" s="1274"/>
      <c r="E30" s="1274"/>
      <c r="F30" s="1275"/>
      <c r="G30" s="189" t="s">
        <v>67</v>
      </c>
      <c r="K30" s="1103" t="s">
        <v>69</v>
      </c>
      <c r="L30" s="1104"/>
      <c r="M30" s="1105"/>
      <c r="N30" s="194">
        <f>SUM(G318:G320)</f>
        <v>2500</v>
      </c>
      <c r="O30" s="48"/>
    </row>
    <row r="31" spans="1:34" ht="15.75" customHeight="1" thickBot="1" x14ac:dyDescent="0.35">
      <c r="B31"/>
      <c r="C31" s="1276"/>
      <c r="D31" s="1276"/>
      <c r="E31" s="1276"/>
      <c r="F31" s="1277"/>
      <c r="G31" s="566" t="s">
        <v>735</v>
      </c>
      <c r="K31" s="1103" t="s">
        <v>71</v>
      </c>
      <c r="L31" s="1104"/>
      <c r="M31" s="1105"/>
      <c r="N31" s="194">
        <f>SUM(N27:N30)</f>
        <v>130865.39255805484</v>
      </c>
      <c r="O31" s="48"/>
      <c r="AG31" s="208" t="s">
        <v>59</v>
      </c>
      <c r="AH31" s="209">
        <f>AH17+AH29+AH23</f>
        <v>13960</v>
      </c>
    </row>
    <row r="32" spans="1:34" ht="16.5" thickTop="1" thickBot="1" x14ac:dyDescent="0.3">
      <c r="A32" s="39"/>
      <c r="C32" s="132"/>
      <c r="D32" s="132"/>
      <c r="E32" s="132"/>
      <c r="F32" s="132"/>
      <c r="G32" s="132"/>
      <c r="K32" s="1103" t="s">
        <v>72</v>
      </c>
      <c r="L32" s="1104"/>
      <c r="M32" s="1105"/>
      <c r="N32" s="195">
        <f>N31+(N31*N12)</f>
        <v>170125.01032547129</v>
      </c>
    </row>
    <row r="33" spans="1:36" ht="16.5" thickBot="1" x14ac:dyDescent="0.3">
      <c r="A33" s="39"/>
      <c r="C33" s="1228" t="str">
        <f>B3</f>
        <v>BETA</v>
      </c>
      <c r="D33" s="1119" t="s">
        <v>70</v>
      </c>
      <c r="E33" s="1119"/>
      <c r="F33" s="1119"/>
      <c r="G33" s="1119"/>
      <c r="K33" s="1121" t="s">
        <v>73</v>
      </c>
      <c r="L33" s="1122"/>
      <c r="M33" s="1123"/>
      <c r="N33" s="196">
        <f>N32-N31</f>
        <v>39259.61776741645</v>
      </c>
    </row>
    <row r="34" spans="1:36" ht="15.75" thickBot="1" x14ac:dyDescent="0.3">
      <c r="A34" s="39"/>
      <c r="C34" s="1229"/>
      <c r="D34" s="1119"/>
      <c r="E34" s="1119"/>
      <c r="F34" s="1119"/>
      <c r="G34" s="1119"/>
      <c r="K34" s="1124"/>
      <c r="L34" s="1124"/>
      <c r="M34" s="1124"/>
      <c r="N34" s="1124"/>
      <c r="AC34" s="1132" t="s">
        <v>79</v>
      </c>
      <c r="AD34" s="1132"/>
      <c r="AE34" s="1132"/>
      <c r="AF34" s="1132"/>
      <c r="AG34" s="1132"/>
      <c r="AH34" s="1125" t="s">
        <v>75</v>
      </c>
      <c r="AI34" s="1126"/>
      <c r="AJ34" s="1127"/>
    </row>
    <row r="35" spans="1:36" x14ac:dyDescent="0.25">
      <c r="A35" s="39"/>
      <c r="D35" s="1120"/>
      <c r="E35" s="1120"/>
      <c r="F35" s="1120"/>
      <c r="G35" s="1120"/>
      <c r="K35" s="1085" t="s">
        <v>78</v>
      </c>
      <c r="L35" s="1085"/>
      <c r="M35" s="1085"/>
      <c r="N35" s="1085"/>
      <c r="AC35" s="1131" t="str">
        <f>J7</f>
        <v>REF. NOME + Nº - 15H x 10B x 5L (cm)</v>
      </c>
      <c r="AD35" s="1131"/>
      <c r="AE35" s="1131"/>
      <c r="AF35" s="1131"/>
      <c r="AG35" s="1131"/>
      <c r="AH35" s="1128"/>
      <c r="AI35" s="1129"/>
      <c r="AJ35" s="1130"/>
    </row>
    <row r="36" spans="1:36" ht="15.75" customHeight="1" x14ac:dyDescent="0.25">
      <c r="A36" s="39"/>
      <c r="C36" s="65"/>
      <c r="D36" s="1075" t="s">
        <v>74</v>
      </c>
      <c r="E36" s="1075"/>
      <c r="F36" s="1075"/>
      <c r="G36" s="159">
        <v>22</v>
      </c>
      <c r="K36" s="1136" t="s">
        <v>81</v>
      </c>
      <c r="L36" s="1136"/>
      <c r="M36" s="1136"/>
      <c r="N36" s="1136"/>
      <c r="P36" s="49"/>
      <c r="AB36" s="201" t="str">
        <f>J8</f>
        <v>T1</v>
      </c>
      <c r="AC36" s="1137" t="str">
        <f>L8</f>
        <v>EXEMPLO "ARRANJO POR PROCESSOS"</v>
      </c>
      <c r="AD36" s="1137"/>
      <c r="AE36" s="1137"/>
      <c r="AF36" s="1137"/>
      <c r="AG36" s="1137"/>
      <c r="AH36" s="1138" t="s">
        <v>82</v>
      </c>
      <c r="AI36" s="1138"/>
      <c r="AJ36" s="1139" t="s">
        <v>83</v>
      </c>
    </row>
    <row r="37" spans="1:36" x14ac:dyDescent="0.25">
      <c r="A37" s="39"/>
      <c r="C37" s="1278" t="s">
        <v>76</v>
      </c>
      <c r="D37" s="1075" t="s">
        <v>77</v>
      </c>
      <c r="E37" s="1075"/>
      <c r="F37" s="1075"/>
      <c r="G37" s="115">
        <v>0.7</v>
      </c>
      <c r="K37" s="1136"/>
      <c r="L37" s="1136"/>
      <c r="M37" s="50" t="s">
        <v>30</v>
      </c>
      <c r="N37" s="50" t="s">
        <v>85</v>
      </c>
      <c r="AB37" s="39"/>
      <c r="AC37" s="39"/>
      <c r="AD37" s="1140"/>
      <c r="AE37" s="1141"/>
      <c r="AF37" s="51" t="s">
        <v>86</v>
      </c>
      <c r="AG37" s="163" t="s">
        <v>87</v>
      </c>
      <c r="AH37" s="52" t="s">
        <v>88</v>
      </c>
      <c r="AI37" s="53" t="s">
        <v>89</v>
      </c>
      <c r="AJ37" s="1139"/>
    </row>
    <row r="38" spans="1:36" x14ac:dyDescent="0.25">
      <c r="A38" s="39"/>
      <c r="C38" s="1278"/>
      <c r="D38" s="1266" t="s">
        <v>80</v>
      </c>
      <c r="E38" s="1266"/>
      <c r="F38" s="1266"/>
      <c r="G38" s="160">
        <v>0.1</v>
      </c>
      <c r="K38" s="1102" t="s">
        <v>91</v>
      </c>
      <c r="L38" s="1102"/>
      <c r="M38" s="81">
        <f>G72</f>
        <v>8.8000000000000007</v>
      </c>
      <c r="N38" s="77">
        <f>(M38*60*60)-N18</f>
        <v>28980</v>
      </c>
      <c r="AB38" s="54"/>
      <c r="AC38" s="1142" t="s">
        <v>92</v>
      </c>
      <c r="AD38" s="1143"/>
      <c r="AE38" s="1144"/>
      <c r="AF38" s="211">
        <f>AF40*AG38/AG40</f>
        <v>594.07268385163468</v>
      </c>
      <c r="AG38" s="81">
        <v>100</v>
      </c>
      <c r="AH38" s="205">
        <f>AG38*AH43/AG43</f>
        <v>93066.666666666672</v>
      </c>
      <c r="AI38" s="82">
        <f>AH38/AF38</f>
        <v>156.65872071961718</v>
      </c>
      <c r="AJ38" s="210">
        <f>AI38/AH7</f>
        <v>6.5274466966507161</v>
      </c>
    </row>
    <row r="39" spans="1:36" x14ac:dyDescent="0.25">
      <c r="A39" s="39"/>
      <c r="C39" s="1278"/>
      <c r="D39" s="1075" t="s">
        <v>737</v>
      </c>
      <c r="E39" s="1075"/>
      <c r="F39" s="1075"/>
      <c r="G39" s="115">
        <v>0.05</v>
      </c>
      <c r="K39" s="1103" t="s">
        <v>94</v>
      </c>
      <c r="L39" s="1104"/>
      <c r="M39" s="1105"/>
      <c r="N39" s="81">
        <f>G73</f>
        <v>3</v>
      </c>
      <c r="AB39" s="1133" t="s">
        <v>95</v>
      </c>
      <c r="AC39" s="1102" t="s">
        <v>96</v>
      </c>
      <c r="AD39" s="1102"/>
      <c r="AE39" s="1102"/>
      <c r="AF39" s="195">
        <f>(AF40*AG39)/AG40</f>
        <v>59.407268385163462</v>
      </c>
      <c r="AG39" s="40">
        <v>10</v>
      </c>
      <c r="AH39" s="205">
        <f>AH43*AG39/AG43</f>
        <v>9306.6666666666661</v>
      </c>
      <c r="AI39" s="83"/>
      <c r="AJ39" s="55"/>
    </row>
    <row r="40" spans="1:36" x14ac:dyDescent="0.25">
      <c r="A40" s="39"/>
      <c r="C40" s="1278"/>
      <c r="D40" s="1075" t="s">
        <v>84</v>
      </c>
      <c r="E40" s="1075"/>
      <c r="F40" s="1075"/>
      <c r="G40" s="115">
        <v>0.1</v>
      </c>
      <c r="AB40" s="1133"/>
      <c r="AC40" s="1102" t="s">
        <v>97</v>
      </c>
      <c r="AD40" s="1102"/>
      <c r="AE40" s="1102"/>
      <c r="AF40" s="195">
        <f>N9</f>
        <v>326.73997611839906</v>
      </c>
      <c r="AG40" s="40">
        <v>55</v>
      </c>
      <c r="AH40" s="205">
        <f>AH43*AG40/AG43</f>
        <v>51186.666666666664</v>
      </c>
      <c r="AI40" s="83"/>
      <c r="AJ40" s="55"/>
    </row>
    <row r="41" spans="1:36" x14ac:dyDescent="0.25">
      <c r="A41" s="39"/>
      <c r="C41" s="56"/>
      <c r="D41" s="1169" t="s">
        <v>90</v>
      </c>
      <c r="E41" s="1169"/>
      <c r="F41" s="1169"/>
      <c r="G41" s="115">
        <v>0.15</v>
      </c>
      <c r="K41" t="s">
        <v>98</v>
      </c>
      <c r="AB41" s="1133"/>
      <c r="AC41" s="1102" t="s">
        <v>99</v>
      </c>
      <c r="AD41" s="1102"/>
      <c r="AE41" s="1102"/>
      <c r="AF41" s="195">
        <f>(AF40*AG41)/AG40</f>
        <v>59.407268385163462</v>
      </c>
      <c r="AG41" s="40">
        <v>10</v>
      </c>
      <c r="AH41" s="205">
        <f>AH43*AG41/AG43</f>
        <v>9306.6666666666661</v>
      </c>
      <c r="AI41" s="83"/>
      <c r="AJ41" s="55"/>
    </row>
    <row r="42" spans="1:36" x14ac:dyDescent="0.25">
      <c r="A42" s="39"/>
      <c r="D42" s="1120" t="s">
        <v>93</v>
      </c>
      <c r="E42" s="1120"/>
      <c r="F42" s="1120"/>
      <c r="G42" s="1120"/>
      <c r="K42" t="s">
        <v>101</v>
      </c>
      <c r="AB42" s="1133"/>
      <c r="AC42" s="1102" t="s">
        <v>102</v>
      </c>
      <c r="AD42" s="1102"/>
      <c r="AE42" s="1102"/>
      <c r="AF42" s="195">
        <f>(AF40*AG42)/AG40</f>
        <v>148.51817096290867</v>
      </c>
      <c r="AG42" s="81">
        <f>AG38-(SUM(AG39:AG41))</f>
        <v>25</v>
      </c>
      <c r="AH42" s="205">
        <f>AG42*AH43/AG43</f>
        <v>23266.666666666668</v>
      </c>
      <c r="AI42" s="83"/>
      <c r="AJ42" s="55"/>
    </row>
    <row r="43" spans="1:36" x14ac:dyDescent="0.25">
      <c r="A43" s="39"/>
      <c r="D43" s="1279" t="s">
        <v>738</v>
      </c>
      <c r="E43" s="1280"/>
      <c r="F43" s="1280"/>
      <c r="G43" s="1281"/>
      <c r="K43" t="s">
        <v>104</v>
      </c>
      <c r="AB43" s="1133"/>
      <c r="AC43" s="1102" t="s">
        <v>105</v>
      </c>
      <c r="AD43" s="1102"/>
      <c r="AE43" s="1102"/>
      <c r="AF43" s="195">
        <f>(AF40*AG43)/45</f>
        <v>108.91332537279969</v>
      </c>
      <c r="AG43" s="40">
        <v>15</v>
      </c>
      <c r="AH43" s="205">
        <f>AH31</f>
        <v>13960</v>
      </c>
      <c r="AI43" s="83"/>
      <c r="AJ43" s="55"/>
    </row>
    <row r="44" spans="1:36" ht="15.75" thickBot="1" x14ac:dyDescent="0.3">
      <c r="A44" s="39"/>
      <c r="D44" s="1282"/>
      <c r="E44" s="1283"/>
      <c r="F44" s="1283"/>
      <c r="G44" s="1284"/>
      <c r="K44" t="s">
        <v>108</v>
      </c>
      <c r="AB44" s="56"/>
      <c r="AC44" s="1102" t="s">
        <v>109</v>
      </c>
      <c r="AD44" s="1102"/>
      <c r="AE44" s="1102"/>
      <c r="AF44" s="195">
        <f>(AF40*AG44)/AG40</f>
        <v>59.407268385163462</v>
      </c>
      <c r="AG44" s="81">
        <f>AG42-AG43</f>
        <v>10</v>
      </c>
      <c r="AH44" s="205">
        <f>AH43*AG44/AG43</f>
        <v>9306.6666666666661</v>
      </c>
      <c r="AI44" s="83"/>
      <c r="AJ44" s="55"/>
    </row>
    <row r="45" spans="1:36" x14ac:dyDescent="0.25">
      <c r="A45" s="39"/>
      <c r="D45" s="1285" t="s">
        <v>739</v>
      </c>
      <c r="E45" s="1286"/>
      <c r="F45" s="1286"/>
      <c r="G45" s="1289">
        <f>N50/1</f>
        <v>258.43819901953384</v>
      </c>
      <c r="AB45" s="39"/>
      <c r="AC45" s="57" t="s">
        <v>111</v>
      </c>
      <c r="AD45" s="1156" t="s">
        <v>112</v>
      </c>
      <c r="AE45" s="1156"/>
      <c r="AF45" s="1156"/>
      <c r="AG45" s="1157"/>
    </row>
    <row r="46" spans="1:36" ht="15.75" thickBot="1" x14ac:dyDescent="0.3">
      <c r="A46" s="39"/>
      <c r="D46" s="1287"/>
      <c r="E46" s="1288"/>
      <c r="F46" s="1288"/>
      <c r="G46" s="1290"/>
    </row>
    <row r="47" spans="1:36" x14ac:dyDescent="0.25">
      <c r="A47" s="39"/>
      <c r="D47" s="1179"/>
      <c r="E47" s="1180"/>
      <c r="F47" s="1180"/>
      <c r="G47" s="1223"/>
    </row>
    <row r="48" spans="1:36" x14ac:dyDescent="0.25">
      <c r="A48" s="39"/>
      <c r="C48" s="1267" t="s">
        <v>78</v>
      </c>
      <c r="D48" s="1267"/>
      <c r="E48" s="1267"/>
      <c r="F48" s="1267"/>
      <c r="G48" s="1267"/>
      <c r="J48" s="1066" t="str">
        <f>J7</f>
        <v>REF. NOME + Nº - 15H x 10B x 5L (cm)</v>
      </c>
      <c r="K48" s="1134"/>
      <c r="L48" s="1134"/>
      <c r="M48" s="1134"/>
      <c r="N48" s="1135"/>
    </row>
    <row r="49" spans="1:20" x14ac:dyDescent="0.25">
      <c r="A49" s="39"/>
      <c r="C49" s="1267"/>
      <c r="D49" s="1267"/>
      <c r="E49" s="1267"/>
      <c r="F49" s="1267"/>
      <c r="G49" s="1267"/>
      <c r="J49" s="201" t="s">
        <v>117</v>
      </c>
      <c r="K49" s="202" t="s">
        <v>366</v>
      </c>
      <c r="L49" s="1231" t="s">
        <v>736</v>
      </c>
      <c r="M49" s="1231"/>
      <c r="N49" s="1232"/>
    </row>
    <row r="50" spans="1:20" x14ac:dyDescent="0.25">
      <c r="A50" s="39"/>
      <c r="D50" s="1268" t="s">
        <v>100</v>
      </c>
      <c r="E50" s="1268"/>
      <c r="F50" s="1268"/>
      <c r="G50" s="214">
        <v>1320</v>
      </c>
      <c r="K50" s="1230" t="s">
        <v>14</v>
      </c>
      <c r="L50" s="1230"/>
      <c r="M50" s="1230"/>
      <c r="N50" s="204">
        <f>N73/N63</f>
        <v>258.43819901953384</v>
      </c>
    </row>
    <row r="51" spans="1:20" ht="15" customHeight="1" x14ac:dyDescent="0.25">
      <c r="A51" s="39"/>
      <c r="C51" s="1269" t="s">
        <v>103</v>
      </c>
      <c r="D51" s="1181"/>
      <c r="E51" s="1181"/>
      <c r="F51" s="1181"/>
      <c r="G51" s="1182"/>
      <c r="K51" s="1085" t="s">
        <v>16</v>
      </c>
      <c r="L51" s="1085"/>
      <c r="M51" s="1085"/>
      <c r="N51" s="1085"/>
      <c r="P51" s="1129" t="s">
        <v>17</v>
      </c>
      <c r="Q51" s="1129"/>
    </row>
    <row r="52" spans="1:20" ht="15.75" thickBot="1" x14ac:dyDescent="0.3">
      <c r="A52" s="39"/>
      <c r="C52" s="1270"/>
      <c r="D52" s="1271"/>
      <c r="E52" s="1272"/>
      <c r="F52" s="89" t="s">
        <v>106</v>
      </c>
      <c r="G52" s="112" t="s">
        <v>107</v>
      </c>
      <c r="K52" s="1082" t="s">
        <v>20</v>
      </c>
      <c r="L52" s="1082"/>
      <c r="M52" s="1082"/>
      <c r="N52" s="1082"/>
      <c r="P52" s="1264"/>
      <c r="Q52" s="1264"/>
    </row>
    <row r="53" spans="1:20" ht="15.75" thickBot="1" x14ac:dyDescent="0.3">
      <c r="A53" s="39"/>
      <c r="C53" s="1102" t="s">
        <v>110</v>
      </c>
      <c r="D53" s="1102"/>
      <c r="E53" s="1102"/>
      <c r="F53" s="81">
        <f>(G91*G92)+(G110*G111)+(G72*G73)+(G128*G129)+(G146*G147)+(G164*G165)+(G182*G183)+(G200*G201)+(G218*G219)+(G236*G237)+(G254*G255)+(G272*G273)+(G290*G291)</f>
        <v>115.2</v>
      </c>
      <c r="G53" s="40"/>
      <c r="K53" s="1083" t="s">
        <v>22</v>
      </c>
      <c r="L53" s="1083"/>
      <c r="M53" s="1083"/>
      <c r="N53" s="116">
        <f>SUM(G39:G41)</f>
        <v>0.30000000000000004</v>
      </c>
      <c r="P53" s="1256" t="s">
        <v>735</v>
      </c>
      <c r="Q53" s="1257"/>
    </row>
    <row r="54" spans="1:20" x14ac:dyDescent="0.25">
      <c r="A54" s="39"/>
      <c r="C54" s="1102" t="s">
        <v>113</v>
      </c>
      <c r="D54" s="1102"/>
      <c r="E54" s="1102"/>
      <c r="F54" s="81">
        <f t="shared" ref="F54:F67" si="2">G92+G111+G73+G129+G147+G165+G183+G201+G219+G237+G255+G273+G291</f>
        <v>16</v>
      </c>
      <c r="G54" s="40"/>
      <c r="K54" s="1074" t="s">
        <v>25</v>
      </c>
      <c r="L54" s="1074"/>
      <c r="M54" s="1074"/>
      <c r="N54" s="194">
        <f>IF(P53=G31,0,Y10)</f>
        <v>0</v>
      </c>
    </row>
    <row r="55" spans="1:20" x14ac:dyDescent="0.25">
      <c r="A55" s="39"/>
      <c r="C55" s="1160" t="s">
        <v>114</v>
      </c>
      <c r="D55" s="1160"/>
      <c r="E55" s="1160"/>
      <c r="F55" s="571">
        <f>((G74*G73)+(G93*G92)+(G112*G111)+(G130*G129)+(G148*G147)+(G166*G165)+(G184*G183)+(G202*G201)+(G220*G219)+(G238*G237)+(G256*G255)+(G274*G273)+(G292*G291))/F54</f>
        <v>2145</v>
      </c>
      <c r="G55" s="40"/>
      <c r="K55" s="1076" t="s">
        <v>27</v>
      </c>
      <c r="L55" s="1076"/>
      <c r="M55" s="1076"/>
      <c r="N55" s="1076"/>
      <c r="O55" s="1077" t="s">
        <v>28</v>
      </c>
      <c r="P55" s="1078"/>
      <c r="Q55" s="1079"/>
    </row>
    <row r="56" spans="1:20" x14ac:dyDescent="0.25">
      <c r="A56" s="39"/>
      <c r="C56" s="1160" t="s">
        <v>115</v>
      </c>
      <c r="D56" s="1160"/>
      <c r="E56" s="1160"/>
      <c r="F56" s="195">
        <f t="shared" si="2"/>
        <v>2904</v>
      </c>
      <c r="G56" s="40"/>
      <c r="K56" s="1106"/>
      <c r="L56" s="1107"/>
      <c r="M56" s="41"/>
      <c r="N56" s="42" t="s">
        <v>125</v>
      </c>
      <c r="O56" s="43" t="s">
        <v>30</v>
      </c>
      <c r="P56" s="43" t="s">
        <v>31</v>
      </c>
      <c r="Q56" s="43" t="s">
        <v>32</v>
      </c>
    </row>
    <row r="57" spans="1:20" x14ac:dyDescent="0.25">
      <c r="A57" s="39"/>
      <c r="C57" s="1160" t="s">
        <v>116</v>
      </c>
      <c r="D57" s="1160"/>
      <c r="E57" s="1160"/>
      <c r="F57" s="195">
        <f t="shared" si="2"/>
        <v>450</v>
      </c>
      <c r="G57" s="40"/>
      <c r="K57" s="1108" t="s">
        <v>35</v>
      </c>
      <c r="L57" s="1109"/>
      <c r="M57" s="44" t="s">
        <v>36</v>
      </c>
      <c r="N57" s="80">
        <f>O57*((60^2))+(P57*60)+Q57</f>
        <v>3600</v>
      </c>
      <c r="O57" s="84">
        <f>IF(P53=G31,X24,IF(P53=G29,X14,X19))</f>
        <v>1</v>
      </c>
      <c r="P57" s="85">
        <f>IF(P53=G31,Y24,IF(P53=G29,Y14,Y19))</f>
        <v>0</v>
      </c>
      <c r="Q57" s="84">
        <f>IF(P53=G31,Z24,IF(P53=G29,Z14,Z19))</f>
        <v>0</v>
      </c>
    </row>
    <row r="58" spans="1:20" x14ac:dyDescent="0.25">
      <c r="A58" s="39"/>
      <c r="C58" s="1160" t="s">
        <v>118</v>
      </c>
      <c r="D58" s="1160"/>
      <c r="E58" s="1160"/>
      <c r="F58" s="195">
        <f t="shared" si="2"/>
        <v>3520</v>
      </c>
      <c r="G58" s="40"/>
      <c r="K58" s="1070" t="s">
        <v>37</v>
      </c>
      <c r="L58" s="1071"/>
      <c r="M58" s="45" t="s">
        <v>38</v>
      </c>
      <c r="N58" s="80">
        <f>(O58*(60^2))+(P58*60)+Q58</f>
        <v>1200</v>
      </c>
      <c r="O58" s="84">
        <f>IF(P53=G31,X25,IF(P53=G29,X15,X20))</f>
        <v>0</v>
      </c>
      <c r="P58" s="85">
        <f>IF(P53=G31,Y25,IF(P53=G29,Y15,Y20))</f>
        <v>20</v>
      </c>
      <c r="Q58" s="84">
        <f>IF(P53=G31,Z25,IF(P53=G29,Z15,Z20))</f>
        <v>0</v>
      </c>
    </row>
    <row r="59" spans="1:20" x14ac:dyDescent="0.25">
      <c r="A59" s="39"/>
      <c r="C59" s="1160" t="s">
        <v>119</v>
      </c>
      <c r="D59" s="1160"/>
      <c r="E59" s="1160"/>
      <c r="F59" s="195">
        <f>G97+G116+G78+G134+G152+G170+G188+G206+G224+G242+G260+G278+G296</f>
        <v>450</v>
      </c>
      <c r="G59" s="40">
        <f t="shared" ref="G59:G66" si="3">G390</f>
        <v>1.4761803538109073</v>
      </c>
      <c r="K59" s="1070" t="s">
        <v>40</v>
      </c>
      <c r="L59" s="1071"/>
      <c r="M59" s="1071"/>
      <c r="N59" s="80">
        <f>(O59*(60^2))+(P59*60)+Q59</f>
        <v>2700</v>
      </c>
      <c r="O59" s="575">
        <f>IF(P53=G31,X26,IF(P53=G29,X16,X21))</f>
        <v>0</v>
      </c>
      <c r="P59" s="575">
        <f>IF(P53=G31,Y26,IF(P53=G29,Y16,Y21))</f>
        <v>45</v>
      </c>
      <c r="Q59" s="575">
        <f>IF(P53=G31,Z26,IF(P53=G29,Z16,Z21))</f>
        <v>0</v>
      </c>
    </row>
    <row r="60" spans="1:20" x14ac:dyDescent="0.25">
      <c r="A60" s="39"/>
      <c r="C60" s="1160" t="s">
        <v>120</v>
      </c>
      <c r="D60" s="1160"/>
      <c r="E60" s="1160"/>
      <c r="F60" s="195">
        <f t="shared" si="2"/>
        <v>-174.2424006235386</v>
      </c>
      <c r="G60" s="40">
        <f t="shared" si="3"/>
        <v>-6.0000826660998134</v>
      </c>
      <c r="K60" s="1113">
        <v>1800</v>
      </c>
      <c r="L60" s="1113"/>
      <c r="M60" s="1113"/>
      <c r="N60" s="1113"/>
      <c r="O60" s="46"/>
    </row>
    <row r="61" spans="1:20" x14ac:dyDescent="0.25">
      <c r="A61" s="39"/>
      <c r="C61" s="1160" t="s">
        <v>121</v>
      </c>
      <c r="D61" s="1160"/>
      <c r="E61" s="1160"/>
      <c r="F61" s="195">
        <f t="shared" si="2"/>
        <v>2167.4429072486369</v>
      </c>
      <c r="G61" s="40">
        <f t="shared" si="3"/>
        <v>8.0000118094428316</v>
      </c>
      <c r="K61" s="1085" t="s">
        <v>42</v>
      </c>
      <c r="L61" s="1085"/>
      <c r="M61" s="1085"/>
      <c r="N61" s="1085"/>
    </row>
    <row r="62" spans="1:20" x14ac:dyDescent="0.25">
      <c r="A62" s="39"/>
      <c r="C62" s="1160" t="s">
        <v>122</v>
      </c>
      <c r="D62" s="1160"/>
      <c r="E62" s="1160"/>
      <c r="F62" s="195">
        <f t="shared" si="2"/>
        <v>2656.5</v>
      </c>
      <c r="G62" s="40">
        <f t="shared" si="3"/>
        <v>8.3333333333333339</v>
      </c>
      <c r="K62" s="1110" t="s">
        <v>44</v>
      </c>
      <c r="L62" s="1111"/>
      <c r="M62" s="1112"/>
      <c r="N62" s="47">
        <v>0.8</v>
      </c>
    </row>
    <row r="63" spans="1:20" ht="15.75" thickBot="1" x14ac:dyDescent="0.3">
      <c r="A63" s="39"/>
      <c r="C63" s="1160" t="s">
        <v>123</v>
      </c>
      <c r="D63" s="1160"/>
      <c r="E63" s="1160"/>
      <c r="F63" s="195">
        <f t="shared" si="2"/>
        <v>164.11418550272802</v>
      </c>
      <c r="G63" s="40">
        <f t="shared" si="3"/>
        <v>0.66664304778100569</v>
      </c>
      <c r="K63" s="1103" t="s">
        <v>46</v>
      </c>
      <c r="L63" s="1104"/>
      <c r="M63" s="1105"/>
      <c r="N63" s="77">
        <f>N64*N67*N62</f>
        <v>340.03200000000004</v>
      </c>
      <c r="O63" s="56"/>
    </row>
    <row r="64" spans="1:20" x14ac:dyDescent="0.25">
      <c r="A64" s="39"/>
      <c r="C64" s="1160" t="s">
        <v>124</v>
      </c>
      <c r="D64" s="1160"/>
      <c r="E64" s="1160"/>
      <c r="F64" s="195">
        <f t="shared" si="2"/>
        <v>2656.5</v>
      </c>
      <c r="G64" s="40">
        <f t="shared" si="3"/>
        <v>8.3333333333333339</v>
      </c>
      <c r="K64" s="1103" t="s">
        <v>50</v>
      </c>
      <c r="L64" s="1104"/>
      <c r="M64" s="1105"/>
      <c r="N64" s="77">
        <f>(N79)*N80*N62/N57</f>
        <v>19.32</v>
      </c>
      <c r="O64" s="39"/>
      <c r="P64" s="1147" t="s">
        <v>51</v>
      </c>
      <c r="Q64" s="1148"/>
      <c r="R64" s="1148"/>
      <c r="S64" s="1148"/>
      <c r="T64" s="1149"/>
    </row>
    <row r="65" spans="1:36" x14ac:dyDescent="0.25">
      <c r="A65" s="39"/>
      <c r="C65" s="1160" t="s">
        <v>126</v>
      </c>
      <c r="D65" s="1160"/>
      <c r="E65" s="1160"/>
      <c r="F65" s="195">
        <f t="shared" si="2"/>
        <v>885.5313717848793</v>
      </c>
      <c r="G65" s="40">
        <f t="shared" si="3"/>
        <v>2.7778761898013653</v>
      </c>
      <c r="K65" s="1102" t="s">
        <v>54</v>
      </c>
      <c r="L65" s="1102"/>
      <c r="M65" s="1102"/>
      <c r="N65" s="78">
        <f>(N79)*N62/K60</f>
        <v>12.88</v>
      </c>
      <c r="O65" s="56"/>
      <c r="P65" s="1150" t="s">
        <v>55</v>
      </c>
      <c r="Q65" s="1151"/>
      <c r="R65" s="1152">
        <v>1</v>
      </c>
      <c r="S65" s="1152"/>
      <c r="T65" s="76" t="s">
        <v>56</v>
      </c>
    </row>
    <row r="66" spans="1:36" ht="15.75" thickBot="1" x14ac:dyDescent="0.3">
      <c r="A66" s="39"/>
      <c r="C66" s="1160" t="s">
        <v>127</v>
      </c>
      <c r="D66" s="1160"/>
      <c r="E66" s="1160"/>
      <c r="F66" s="195">
        <f t="shared" si="2"/>
        <v>218.84314107560402</v>
      </c>
      <c r="G66" s="40">
        <f t="shared" si="3"/>
        <v>0.88895580906492833</v>
      </c>
      <c r="K66" s="1102" t="s">
        <v>58</v>
      </c>
      <c r="L66" s="1102"/>
      <c r="M66" s="1102"/>
      <c r="N66" s="77">
        <f>N64/N65</f>
        <v>1.5</v>
      </c>
      <c r="O66" s="48"/>
      <c r="P66" s="1153" t="s">
        <v>59</v>
      </c>
      <c r="Q66" s="1154"/>
      <c r="R66" s="1155">
        <f>R65/N64</f>
        <v>5.1759834368530017E-2</v>
      </c>
      <c r="S66" s="1155"/>
      <c r="T66" s="79" t="s">
        <v>60</v>
      </c>
    </row>
    <row r="67" spans="1:36" x14ac:dyDescent="0.25">
      <c r="A67" s="39"/>
      <c r="C67" s="1160" t="s">
        <v>47</v>
      </c>
      <c r="D67" s="1160"/>
      <c r="E67" s="1160"/>
      <c r="F67" s="195">
        <f t="shared" si="2"/>
        <v>1581.7197194076384</v>
      </c>
      <c r="G67" s="40">
        <f>G398</f>
        <v>2.9523607076218146</v>
      </c>
      <c r="K67" s="1103" t="s">
        <v>62</v>
      </c>
      <c r="L67" s="1104"/>
      <c r="M67" s="1105"/>
      <c r="N67" s="78">
        <f>G36</f>
        <v>22</v>
      </c>
      <c r="O67" s="48"/>
    </row>
    <row r="68" spans="1:36" x14ac:dyDescent="0.25">
      <c r="A68" s="39"/>
      <c r="D68" s="91"/>
      <c r="E68" s="569" t="s">
        <v>103</v>
      </c>
      <c r="F68" s="195">
        <f>G106+G125+G87+G143+G161+G179+G197+G215+G233+G251+G269+G287+G305</f>
        <v>53337.890530007789</v>
      </c>
      <c r="G68" s="40"/>
      <c r="K68" s="1103" t="s">
        <v>64</v>
      </c>
      <c r="L68" s="1104"/>
      <c r="M68" s="1105"/>
      <c r="N68" s="194">
        <f>N54*N63</f>
        <v>0</v>
      </c>
      <c r="O68" s="48"/>
    </row>
    <row r="69" spans="1:36" ht="15" customHeight="1" x14ac:dyDescent="0.25">
      <c r="A69" s="39"/>
      <c r="D69" s="113" t="s">
        <v>128</v>
      </c>
      <c r="E69" s="114"/>
      <c r="F69" s="114"/>
      <c r="G69" s="92"/>
      <c r="K69" s="1103" t="s">
        <v>66</v>
      </c>
      <c r="L69" s="1104"/>
      <c r="M69" s="1105"/>
      <c r="N69" s="194">
        <f>SUM(G309:G314)</f>
        <v>11760</v>
      </c>
      <c r="O69" s="48"/>
    </row>
    <row r="70" spans="1:36" ht="15.75" x14ac:dyDescent="0.25">
      <c r="A70" s="39"/>
      <c r="B70" s="1158" t="s">
        <v>129</v>
      </c>
      <c r="C70" s="1159"/>
      <c r="D70" s="1159"/>
      <c r="E70" s="1163" t="s">
        <v>36</v>
      </c>
      <c r="F70" s="1163"/>
      <c r="G70" s="1163"/>
      <c r="H70" s="1164"/>
      <c r="K70" s="1103" t="s">
        <v>68</v>
      </c>
      <c r="L70" s="1104"/>
      <c r="M70" s="1105"/>
      <c r="N70" s="194">
        <f>F68</f>
        <v>53337.890530007789</v>
      </c>
    </row>
    <row r="71" spans="1:36" x14ac:dyDescent="0.25">
      <c r="A71" s="39"/>
      <c r="C71" s="93">
        <v>1</v>
      </c>
      <c r="D71" s="1167" t="s">
        <v>130</v>
      </c>
      <c r="E71" s="1167"/>
      <c r="F71" s="1167"/>
      <c r="G71" s="1168"/>
      <c r="K71" s="1103" t="s">
        <v>69</v>
      </c>
      <c r="L71" s="1104"/>
      <c r="M71" s="1105"/>
      <c r="N71" s="194">
        <f>SUM(G318:G320)</f>
        <v>2500</v>
      </c>
    </row>
    <row r="72" spans="1:36" x14ac:dyDescent="0.25">
      <c r="A72" s="39"/>
      <c r="C72" s="91"/>
      <c r="D72" s="1169" t="s">
        <v>131</v>
      </c>
      <c r="E72" s="1169"/>
      <c r="F72" s="1169"/>
      <c r="G72" s="213">
        <f>((4*((12-8)+(18-13)))+(1*((12-8)+(17-13))))/5</f>
        <v>8.8000000000000007</v>
      </c>
      <c r="K72" s="1103" t="s">
        <v>71</v>
      </c>
      <c r="L72" s="1104"/>
      <c r="M72" s="1105"/>
      <c r="N72" s="194">
        <f>SUM(N68:N71)</f>
        <v>67597.890530007789</v>
      </c>
    </row>
    <row r="73" spans="1:36" ht="15.75" thickBot="1" x14ac:dyDescent="0.3">
      <c r="A73" s="39"/>
      <c r="D73" s="1169" t="s">
        <v>132</v>
      </c>
      <c r="E73" s="1169"/>
      <c r="F73" s="1169"/>
      <c r="G73" s="213">
        <v>3</v>
      </c>
      <c r="K73" s="1103" t="s">
        <v>72</v>
      </c>
      <c r="L73" s="1104"/>
      <c r="M73" s="1105"/>
      <c r="N73" s="195">
        <f>N72+(N72*N53)</f>
        <v>87877.257689010134</v>
      </c>
    </row>
    <row r="74" spans="1:36" ht="16.5" thickBot="1" x14ac:dyDescent="0.3">
      <c r="A74" s="39"/>
      <c r="C74" s="65"/>
      <c r="D74" s="1102" t="s">
        <v>133</v>
      </c>
      <c r="E74" s="1102"/>
      <c r="F74" s="1102"/>
      <c r="G74" s="572">
        <f>G50*B79/100</f>
        <v>1980</v>
      </c>
      <c r="K74" s="1121" t="s">
        <v>73</v>
      </c>
      <c r="L74" s="1122"/>
      <c r="M74" s="1123"/>
      <c r="N74" s="196">
        <f>N73-N72</f>
        <v>20279.367159002344</v>
      </c>
      <c r="AC74" s="1132" t="s">
        <v>79</v>
      </c>
      <c r="AD74" s="1132"/>
      <c r="AE74" s="1132"/>
      <c r="AF74" s="1132"/>
      <c r="AG74" s="1132"/>
      <c r="AH74" s="1125" t="s">
        <v>75</v>
      </c>
      <c r="AI74" s="1126"/>
      <c r="AJ74" s="1127"/>
    </row>
    <row r="75" spans="1:36" x14ac:dyDescent="0.25">
      <c r="A75" s="39"/>
      <c r="B75" s="1170" t="s">
        <v>134</v>
      </c>
      <c r="C75" s="65"/>
      <c r="D75" s="1173" t="s">
        <v>115</v>
      </c>
      <c r="E75" s="1173"/>
      <c r="F75" s="1173"/>
      <c r="G75" s="197">
        <f>G36*F352</f>
        <v>242</v>
      </c>
      <c r="K75" s="1124"/>
      <c r="L75" s="1124"/>
      <c r="M75" s="1124"/>
      <c r="N75" s="1124"/>
      <c r="AC75" s="1131" t="str">
        <f>J48</f>
        <v>REF. NOME + Nº - 15H x 10B x 5L (cm)</v>
      </c>
      <c r="AD75" s="1131"/>
      <c r="AE75" s="1131"/>
      <c r="AF75" s="1131"/>
      <c r="AG75" s="1131"/>
      <c r="AH75" s="1128"/>
      <c r="AI75" s="1129"/>
      <c r="AJ75" s="1130"/>
    </row>
    <row r="76" spans="1:36" x14ac:dyDescent="0.25">
      <c r="A76" s="39"/>
      <c r="B76" s="1171"/>
      <c r="D76" s="1173" t="s">
        <v>116</v>
      </c>
      <c r="E76" s="1173"/>
      <c r="F76" s="1173"/>
      <c r="G76" s="197">
        <v>50</v>
      </c>
      <c r="K76" s="1085" t="s">
        <v>78</v>
      </c>
      <c r="L76" s="1085"/>
      <c r="M76" s="1085"/>
      <c r="N76" s="1085"/>
      <c r="AB76" s="201" t="str">
        <f>J49</f>
        <v>T2</v>
      </c>
      <c r="AC76" s="1137" t="str">
        <f>L49</f>
        <v>CUSTO DE UTILIZAÇÃO</v>
      </c>
      <c r="AD76" s="1137"/>
      <c r="AE76" s="1137"/>
      <c r="AF76" s="1137"/>
      <c r="AG76" s="1137"/>
      <c r="AH76" s="1138" t="s">
        <v>82</v>
      </c>
      <c r="AI76" s="1138"/>
      <c r="AJ76" s="1139" t="s">
        <v>83</v>
      </c>
    </row>
    <row r="77" spans="1:36" x14ac:dyDescent="0.25">
      <c r="A77" s="39"/>
      <c r="B77" s="1171"/>
      <c r="D77" s="1173" t="s">
        <v>118</v>
      </c>
      <c r="E77" s="1173"/>
      <c r="F77" s="1173"/>
      <c r="G77" s="197">
        <v>320</v>
      </c>
      <c r="K77" s="1136" t="s">
        <v>81</v>
      </c>
      <c r="L77" s="1136"/>
      <c r="M77" s="1136"/>
      <c r="N77" s="1136"/>
      <c r="P77" s="49"/>
      <c r="AB77" s="39"/>
      <c r="AC77" s="39"/>
      <c r="AD77" s="1140"/>
      <c r="AE77" s="1141"/>
      <c r="AF77" s="51" t="s">
        <v>86</v>
      </c>
      <c r="AG77" s="163" t="s">
        <v>87</v>
      </c>
      <c r="AH77" s="52" t="s">
        <v>88</v>
      </c>
      <c r="AI77" s="53" t="s">
        <v>89</v>
      </c>
      <c r="AJ77" s="1139"/>
    </row>
    <row r="78" spans="1:36" ht="15.75" thickBot="1" x14ac:dyDescent="0.3">
      <c r="A78" s="39"/>
      <c r="B78" s="1172"/>
      <c r="D78" s="1173" t="s">
        <v>119</v>
      </c>
      <c r="E78" s="1173"/>
      <c r="F78" s="1173"/>
      <c r="G78" s="197">
        <v>50</v>
      </c>
      <c r="K78" s="1136"/>
      <c r="L78" s="1136"/>
      <c r="M78" s="50" t="s">
        <v>30</v>
      </c>
      <c r="N78" s="50" t="s">
        <v>85</v>
      </c>
      <c r="AB78" s="54"/>
      <c r="AC78" s="1142" t="s">
        <v>92</v>
      </c>
      <c r="AD78" s="1143"/>
      <c r="AE78" s="1144"/>
      <c r="AF78" s="211">
        <f>AF80*AG78/AG80</f>
        <v>469.88763458097065</v>
      </c>
      <c r="AG78" s="81">
        <v>100</v>
      </c>
      <c r="AH78" s="205">
        <f>AG78*AH83/AG83</f>
        <v>93066.666666666672</v>
      </c>
      <c r="AI78" s="82">
        <f>AH78/AF78</f>
        <v>198.06153603011978</v>
      </c>
      <c r="AJ78" s="210">
        <f>AI78/AH7</f>
        <v>8.2525640012549903</v>
      </c>
    </row>
    <row r="79" spans="1:36" x14ac:dyDescent="0.25">
      <c r="A79" s="39"/>
      <c r="B79" s="180">
        <v>150</v>
      </c>
      <c r="D79" s="1102" t="s">
        <v>120</v>
      </c>
      <c r="E79" s="1102"/>
      <c r="F79" s="1102"/>
      <c r="G79" s="195">
        <f>G75*G60/100</f>
        <v>-14.520200051961549</v>
      </c>
      <c r="K79" s="1102" t="s">
        <v>91</v>
      </c>
      <c r="L79" s="1102"/>
      <c r="M79" s="81">
        <f>M38</f>
        <v>8.8000000000000007</v>
      </c>
      <c r="N79" s="77">
        <f>(M79*60*60)-N59</f>
        <v>28980</v>
      </c>
      <c r="AB79" s="1133" t="s">
        <v>95</v>
      </c>
      <c r="AC79" s="1102" t="s">
        <v>96</v>
      </c>
      <c r="AD79" s="1102"/>
      <c r="AE79" s="1102"/>
      <c r="AF79" s="195">
        <f>(AF80*AG79)/AG80</f>
        <v>46.988763458097061</v>
      </c>
      <c r="AG79" s="40">
        <v>10</v>
      </c>
      <c r="AH79" s="205">
        <f>AH83*AG79/AG83</f>
        <v>9306.6666666666661</v>
      </c>
      <c r="AI79" s="86"/>
      <c r="AJ79" s="58"/>
    </row>
    <row r="80" spans="1:36" ht="15.75" thickBot="1" x14ac:dyDescent="0.3">
      <c r="A80" s="39"/>
      <c r="D80" s="1102" t="s">
        <v>121</v>
      </c>
      <c r="E80" s="1102"/>
      <c r="F80" s="1102"/>
      <c r="G80" s="195">
        <f>IF(B83="CLT",G74*G61/100,E407)</f>
        <v>158.40023382696808</v>
      </c>
      <c r="K80" s="1103" t="s">
        <v>94</v>
      </c>
      <c r="L80" s="1104"/>
      <c r="M80" s="1105"/>
      <c r="N80" s="81">
        <f>G73</f>
        <v>3</v>
      </c>
      <c r="AB80" s="1133"/>
      <c r="AC80" s="1102" t="s">
        <v>97</v>
      </c>
      <c r="AD80" s="1102"/>
      <c r="AE80" s="1102"/>
      <c r="AF80" s="195">
        <f>N50</f>
        <v>258.43819901953384</v>
      </c>
      <c r="AG80" s="40">
        <v>55</v>
      </c>
      <c r="AH80" s="205">
        <f>AH83*AG80/AG83</f>
        <v>51186.666666666664</v>
      </c>
      <c r="AI80" s="86"/>
      <c r="AJ80" s="58"/>
    </row>
    <row r="81" spans="1:36" x14ac:dyDescent="0.25">
      <c r="A81" s="39"/>
      <c r="B81" s="1174" t="s">
        <v>726</v>
      </c>
      <c r="D81" s="1102" t="s">
        <v>122</v>
      </c>
      <c r="E81" s="1102"/>
      <c r="F81" s="1102"/>
      <c r="G81" s="195">
        <f>G74*G62/100</f>
        <v>165</v>
      </c>
      <c r="AB81" s="1133"/>
      <c r="AC81" s="1102" t="s">
        <v>99</v>
      </c>
      <c r="AD81" s="1102"/>
      <c r="AE81" s="1102"/>
      <c r="AF81" s="195">
        <f>(AF80*AG81)/AG80</f>
        <v>46.988763458097061</v>
      </c>
      <c r="AG81" s="40">
        <v>10</v>
      </c>
      <c r="AH81" s="205">
        <f>AH83*AG81/AG83</f>
        <v>9306.6666666666661</v>
      </c>
      <c r="AI81" s="86"/>
      <c r="AJ81" s="58"/>
    </row>
    <row r="82" spans="1:36" ht="15.75" thickBot="1" x14ac:dyDescent="0.3">
      <c r="A82" s="39"/>
      <c r="B82" s="1175"/>
      <c r="D82" s="1102" t="s">
        <v>123</v>
      </c>
      <c r="E82" s="1102"/>
      <c r="F82" s="1102"/>
      <c r="G82" s="195">
        <f>IF(B83="CLT",G74*G63/100,0)</f>
        <v>13.199532346063913</v>
      </c>
      <c r="K82" t="s">
        <v>98</v>
      </c>
      <c r="AB82" s="1133"/>
      <c r="AC82" s="1102" t="s">
        <v>102</v>
      </c>
      <c r="AD82" s="1102"/>
      <c r="AE82" s="1102"/>
      <c r="AF82" s="195">
        <f>(AF80*AG82)/AG80</f>
        <v>117.47190864524266</v>
      </c>
      <c r="AG82" s="81">
        <f>AG78-(SUM(AG79:AG81))</f>
        <v>25</v>
      </c>
      <c r="AH82" s="205">
        <f>AG82*AH83/AG83</f>
        <v>23266.666666666668</v>
      </c>
      <c r="AI82" s="86"/>
      <c r="AJ82" s="58"/>
    </row>
    <row r="83" spans="1:36" x14ac:dyDescent="0.25">
      <c r="A83" s="39"/>
      <c r="B83" s="560" t="s">
        <v>728</v>
      </c>
      <c r="D83" s="1102" t="s">
        <v>124</v>
      </c>
      <c r="E83" s="1102"/>
      <c r="F83" s="1102"/>
      <c r="G83" s="195">
        <f>G74*G64/100</f>
        <v>165</v>
      </c>
      <c r="K83" t="s">
        <v>101</v>
      </c>
      <c r="AB83" s="1133"/>
      <c r="AC83" s="1102" t="s">
        <v>105</v>
      </c>
      <c r="AD83" s="1102"/>
      <c r="AE83" s="1102"/>
      <c r="AF83" s="195">
        <f>(AF80*AG83)/45</f>
        <v>86.146066339844609</v>
      </c>
      <c r="AG83" s="40">
        <v>15</v>
      </c>
      <c r="AH83" s="205">
        <f>AH31</f>
        <v>13960</v>
      </c>
      <c r="AI83" s="86"/>
      <c r="AJ83" s="58"/>
    </row>
    <row r="84" spans="1:36" x14ac:dyDescent="0.25">
      <c r="A84" s="39"/>
      <c r="D84" s="1102" t="s">
        <v>126</v>
      </c>
      <c r="E84" s="1102"/>
      <c r="F84" s="1102"/>
      <c r="G84" s="195">
        <f>G74*G65/100</f>
        <v>55.001948558067035</v>
      </c>
      <c r="K84" t="s">
        <v>138</v>
      </c>
      <c r="AB84" s="56"/>
      <c r="AC84" s="1102" t="s">
        <v>109</v>
      </c>
      <c r="AD84" s="1102"/>
      <c r="AE84" s="1102"/>
      <c r="AF84" s="195">
        <f>(AF80*AG84)/AG80</f>
        <v>46.988763458097061</v>
      </c>
      <c r="AG84" s="81">
        <f>AG82-AG83</f>
        <v>10</v>
      </c>
      <c r="AH84" s="205">
        <f>AH83*AG84/AG83</f>
        <v>9306.6666666666661</v>
      </c>
      <c r="AI84" s="86"/>
      <c r="AJ84" s="58"/>
    </row>
    <row r="85" spans="1:36" x14ac:dyDescent="0.25">
      <c r="A85" s="39"/>
      <c r="D85" s="1102" t="s">
        <v>127</v>
      </c>
      <c r="E85" s="1102"/>
      <c r="F85" s="1102"/>
      <c r="G85" s="195">
        <f>IF(B83="CLT",G74*G66/100,0)</f>
        <v>17.601325019485579</v>
      </c>
      <c r="K85" t="s">
        <v>108</v>
      </c>
      <c r="AB85" s="39"/>
      <c r="AC85" s="57" t="s">
        <v>111</v>
      </c>
      <c r="AD85" s="1145" t="s">
        <v>112</v>
      </c>
      <c r="AE85" s="1145"/>
      <c r="AF85" s="1145"/>
      <c r="AG85" s="1146"/>
    </row>
    <row r="86" spans="1:36" x14ac:dyDescent="0.25">
      <c r="A86" s="39"/>
      <c r="D86" s="1075" t="s">
        <v>47</v>
      </c>
      <c r="E86" s="1075"/>
      <c r="F86" s="1075"/>
      <c r="G86" s="197">
        <f>G74*G67/100</f>
        <v>58.456742010911931</v>
      </c>
    </row>
    <row r="87" spans="1:36" x14ac:dyDescent="0.25">
      <c r="A87" s="39"/>
      <c r="E87" s="91"/>
      <c r="F87" s="569" t="s">
        <v>103</v>
      </c>
      <c r="G87" s="570">
        <f>SUM(G74:G86)*G73</f>
        <v>9780.4187451286034</v>
      </c>
    </row>
    <row r="88" spans="1:36" ht="15" customHeight="1" x14ac:dyDescent="0.25">
      <c r="A88" s="39"/>
      <c r="D88" s="1161" t="s">
        <v>135</v>
      </c>
      <c r="E88" s="1162"/>
      <c r="F88" s="1162"/>
      <c r="G88" s="94">
        <f>G74*100/G50</f>
        <v>150</v>
      </c>
    </row>
    <row r="89" spans="1:36" ht="15.75" x14ac:dyDescent="0.25">
      <c r="A89" s="39"/>
      <c r="B89" s="1158" t="s">
        <v>136</v>
      </c>
      <c r="C89" s="1159"/>
      <c r="D89" s="1159"/>
      <c r="E89" s="1163" t="s">
        <v>38</v>
      </c>
      <c r="F89" s="1163"/>
      <c r="G89" s="1163"/>
      <c r="H89" s="1164"/>
    </row>
    <row r="90" spans="1:36" x14ac:dyDescent="0.25">
      <c r="A90" s="39"/>
      <c r="C90" s="95">
        <v>2</v>
      </c>
      <c r="D90" s="1165" t="s">
        <v>137</v>
      </c>
      <c r="E90" s="1165"/>
      <c r="F90" s="1165"/>
      <c r="G90" s="1166"/>
    </row>
    <row r="91" spans="1:36" x14ac:dyDescent="0.25">
      <c r="A91" s="39"/>
      <c r="C91" s="91"/>
      <c r="D91" s="1169" t="s">
        <v>131</v>
      </c>
      <c r="E91" s="1169"/>
      <c r="F91" s="1169"/>
      <c r="G91" s="213">
        <f>((4*((12-8)+(18-13)))+(1*((12-8)+(17-13))))/5</f>
        <v>8.8000000000000007</v>
      </c>
    </row>
    <row r="92" spans="1:36" x14ac:dyDescent="0.25">
      <c r="A92" s="39"/>
      <c r="D92" s="1169" t="s">
        <v>132</v>
      </c>
      <c r="E92" s="1169"/>
      <c r="F92" s="1169"/>
      <c r="G92" s="213">
        <v>1</v>
      </c>
    </row>
    <row r="93" spans="1:36" ht="15.75" thickBot="1" x14ac:dyDescent="0.3">
      <c r="A93" s="39"/>
      <c r="C93" s="65"/>
      <c r="D93" s="1102" t="s">
        <v>133</v>
      </c>
      <c r="E93" s="1102"/>
      <c r="F93" s="1102"/>
      <c r="G93" s="195">
        <f>G50*B98/100</f>
        <v>1716</v>
      </c>
    </row>
    <row r="94" spans="1:36" x14ac:dyDescent="0.25">
      <c r="A94" s="39"/>
      <c r="B94" s="1170" t="s">
        <v>134</v>
      </c>
      <c r="C94" s="65"/>
      <c r="D94" s="1173" t="s">
        <v>115</v>
      </c>
      <c r="E94" s="1173"/>
      <c r="F94" s="1173"/>
      <c r="G94" s="197">
        <f>G36*F352</f>
        <v>242</v>
      </c>
    </row>
    <row r="95" spans="1:36" x14ac:dyDescent="0.25">
      <c r="A95" s="39"/>
      <c r="B95" s="1171"/>
      <c r="D95" s="1173" t="s">
        <v>116</v>
      </c>
      <c r="E95" s="1173"/>
      <c r="F95" s="1173"/>
      <c r="G95" s="197">
        <v>50</v>
      </c>
    </row>
    <row r="96" spans="1:36" x14ac:dyDescent="0.25">
      <c r="A96" s="39"/>
      <c r="B96" s="1171"/>
      <c r="D96" s="1173" t="s">
        <v>118</v>
      </c>
      <c r="E96" s="1173"/>
      <c r="F96" s="1173"/>
      <c r="G96" s="197">
        <v>320</v>
      </c>
    </row>
    <row r="97" spans="1:8" ht="15.75" thickBot="1" x14ac:dyDescent="0.3">
      <c r="A97" s="39"/>
      <c r="B97" s="1172"/>
      <c r="D97" s="1173" t="s">
        <v>119</v>
      </c>
      <c r="E97" s="1173"/>
      <c r="F97" s="1173"/>
      <c r="G97" s="197">
        <v>50</v>
      </c>
    </row>
    <row r="98" spans="1:8" x14ac:dyDescent="0.25">
      <c r="A98" s="39"/>
      <c r="B98" s="180">
        <v>130</v>
      </c>
      <c r="D98" s="1102" t="s">
        <v>120</v>
      </c>
      <c r="E98" s="1102"/>
      <c r="F98" s="1102"/>
      <c r="G98" s="195">
        <f>G94*G60/100</f>
        <v>-14.520200051961549</v>
      </c>
    </row>
    <row r="99" spans="1:8" ht="15.75" thickBot="1" x14ac:dyDescent="0.3">
      <c r="A99" s="39"/>
      <c r="D99" s="1102" t="s">
        <v>121</v>
      </c>
      <c r="E99" s="1102"/>
      <c r="F99" s="1102"/>
      <c r="G99" s="195">
        <f>IF(B102="CLT",G93*G61/100,E407)</f>
        <v>137.280202650039</v>
      </c>
    </row>
    <row r="100" spans="1:8" x14ac:dyDescent="0.25">
      <c r="A100" s="39"/>
      <c r="B100" s="1174" t="s">
        <v>726</v>
      </c>
      <c r="D100" s="1102" t="s">
        <v>122</v>
      </c>
      <c r="E100" s="1102"/>
      <c r="F100" s="1102"/>
      <c r="G100" s="195">
        <f>G93*G62/100</f>
        <v>143.00000000000003</v>
      </c>
    </row>
    <row r="101" spans="1:8" ht="15.75" thickBot="1" x14ac:dyDescent="0.3">
      <c r="A101" s="39"/>
      <c r="B101" s="1175"/>
      <c r="D101" s="1102" t="s">
        <v>123</v>
      </c>
      <c r="E101" s="1102"/>
      <c r="F101" s="1102"/>
      <c r="G101" s="195">
        <f>IF(B102="CLT",G93*G63/100,0)</f>
        <v>11.439594699922059</v>
      </c>
    </row>
    <row r="102" spans="1:8" x14ac:dyDescent="0.25">
      <c r="A102" s="39"/>
      <c r="B102" s="560" t="s">
        <v>728</v>
      </c>
      <c r="D102" s="1102" t="s">
        <v>124</v>
      </c>
      <c r="E102" s="1102"/>
      <c r="F102" s="1102"/>
      <c r="G102" s="195">
        <f>G93*G64/100</f>
        <v>143.00000000000003</v>
      </c>
    </row>
    <row r="103" spans="1:8" x14ac:dyDescent="0.25">
      <c r="A103" s="39"/>
      <c r="D103" s="1102" t="s">
        <v>126</v>
      </c>
      <c r="E103" s="1102"/>
      <c r="F103" s="1102"/>
      <c r="G103" s="195">
        <f>G93*G65/100</f>
        <v>47.668355416991425</v>
      </c>
    </row>
    <row r="104" spans="1:8" x14ac:dyDescent="0.25">
      <c r="A104" s="39"/>
      <c r="D104" s="1102" t="s">
        <v>127</v>
      </c>
      <c r="E104" s="1102"/>
      <c r="F104" s="1102"/>
      <c r="G104" s="195">
        <f>IF(B102="CLT",G93*G66/100,0)</f>
        <v>15.25448168355417</v>
      </c>
    </row>
    <row r="105" spans="1:8" x14ac:dyDescent="0.25">
      <c r="A105" s="39"/>
      <c r="D105" s="1075" t="s">
        <v>47</v>
      </c>
      <c r="E105" s="1075"/>
      <c r="F105" s="1075"/>
      <c r="G105" s="197">
        <f>G93*G67/100</f>
        <v>50.662509742790334</v>
      </c>
    </row>
    <row r="106" spans="1:8" x14ac:dyDescent="0.25">
      <c r="E106" s="91"/>
      <c r="F106" s="569" t="s">
        <v>103</v>
      </c>
      <c r="G106" s="570">
        <f>SUM(G93:G105)*G92</f>
        <v>2911.7849441413355</v>
      </c>
    </row>
    <row r="107" spans="1:8" ht="15" customHeight="1" x14ac:dyDescent="0.25">
      <c r="B107" s="1176" t="s">
        <v>139</v>
      </c>
      <c r="C107" s="1177"/>
      <c r="D107" s="1177"/>
      <c r="E107" s="1177"/>
      <c r="F107" s="1177"/>
      <c r="G107" s="1177"/>
      <c r="H107" s="1178"/>
    </row>
    <row r="108" spans="1:8" x14ac:dyDescent="0.25">
      <c r="C108" s="96"/>
      <c r="D108" s="1179" t="s">
        <v>140</v>
      </c>
      <c r="E108" s="1180"/>
      <c r="F108" s="1180"/>
      <c r="G108" s="97">
        <f>G93*100/G50</f>
        <v>130</v>
      </c>
    </row>
    <row r="109" spans="1:8" x14ac:dyDescent="0.25">
      <c r="C109" s="98">
        <f>C90+1</f>
        <v>3</v>
      </c>
      <c r="D109" s="1181" t="s">
        <v>729</v>
      </c>
      <c r="E109" s="1181"/>
      <c r="F109" s="1181"/>
      <c r="G109" s="1182"/>
    </row>
    <row r="110" spans="1:8" x14ac:dyDescent="0.25">
      <c r="C110" s="91"/>
      <c r="D110" s="1173" t="s">
        <v>131</v>
      </c>
      <c r="E110" s="1173"/>
      <c r="F110" s="1173"/>
      <c r="G110" s="40">
        <f>((4*(18-13))+(1*(17-13)))/5</f>
        <v>4.8</v>
      </c>
    </row>
    <row r="111" spans="1:8" x14ac:dyDescent="0.25">
      <c r="D111" s="1173" t="s">
        <v>132</v>
      </c>
      <c r="E111" s="1173"/>
      <c r="F111" s="1173"/>
      <c r="G111" s="40">
        <v>1</v>
      </c>
    </row>
    <row r="112" spans="1:8" ht="15.75" thickBot="1" x14ac:dyDescent="0.3">
      <c r="C112" s="65"/>
      <c r="D112" s="1102" t="s">
        <v>133</v>
      </c>
      <c r="E112" s="1102"/>
      <c r="F112" s="1102"/>
      <c r="G112" s="195">
        <f>G50*B117/100</f>
        <v>1320</v>
      </c>
    </row>
    <row r="113" spans="2:7" x14ac:dyDescent="0.25">
      <c r="B113" s="1170" t="s">
        <v>134</v>
      </c>
      <c r="C113" s="65"/>
      <c r="D113" s="1173" t="s">
        <v>115</v>
      </c>
      <c r="E113" s="1173"/>
      <c r="F113" s="1173"/>
      <c r="G113" s="197">
        <v>0</v>
      </c>
    </row>
    <row r="114" spans="2:7" x14ac:dyDescent="0.25">
      <c r="B114" s="1171"/>
      <c r="D114" s="1173" t="s">
        <v>116</v>
      </c>
      <c r="E114" s="1173"/>
      <c r="F114" s="1173"/>
      <c r="G114" s="197">
        <v>0</v>
      </c>
    </row>
    <row r="115" spans="2:7" x14ac:dyDescent="0.25">
      <c r="B115" s="1171"/>
      <c r="D115" s="1173" t="s">
        <v>118</v>
      </c>
      <c r="E115" s="1173"/>
      <c r="F115" s="1173"/>
      <c r="G115" s="197">
        <v>0</v>
      </c>
    </row>
    <row r="116" spans="2:7" ht="15.75" thickBot="1" x14ac:dyDescent="0.3">
      <c r="B116" s="1172"/>
      <c r="D116" s="1173" t="s">
        <v>119</v>
      </c>
      <c r="E116" s="1173"/>
      <c r="F116" s="1173"/>
      <c r="G116" s="197">
        <v>0</v>
      </c>
    </row>
    <row r="117" spans="2:7" x14ac:dyDescent="0.25">
      <c r="B117" s="180">
        <v>100</v>
      </c>
      <c r="D117" s="1102" t="s">
        <v>120</v>
      </c>
      <c r="E117" s="1102"/>
      <c r="F117" s="1102"/>
      <c r="G117" s="195">
        <f>G113*G60/100</f>
        <v>0</v>
      </c>
    </row>
    <row r="118" spans="2:7" ht="15.75" thickBot="1" x14ac:dyDescent="0.3">
      <c r="D118" s="1102" t="s">
        <v>121</v>
      </c>
      <c r="E118" s="1102"/>
      <c r="F118" s="1102"/>
      <c r="G118" s="195">
        <f>IF(B121="CLT",G112*G61/100,E407)</f>
        <v>66</v>
      </c>
    </row>
    <row r="119" spans="2:7" x14ac:dyDescent="0.25">
      <c r="B119" s="1174" t="s">
        <v>726</v>
      </c>
      <c r="D119" s="1102" t="s">
        <v>122</v>
      </c>
      <c r="E119" s="1102"/>
      <c r="F119" s="1102"/>
      <c r="G119" s="195">
        <f>G112*G62/100</f>
        <v>110</v>
      </c>
    </row>
    <row r="120" spans="2:7" ht="15.75" thickBot="1" x14ac:dyDescent="0.3">
      <c r="B120" s="1175"/>
      <c r="D120" s="1102" t="s">
        <v>123</v>
      </c>
      <c r="E120" s="1102"/>
      <c r="F120" s="1102"/>
      <c r="G120" s="195">
        <f>IF(B121="CLT",G112*G63/100,0)</f>
        <v>0</v>
      </c>
    </row>
    <row r="121" spans="2:7" x14ac:dyDescent="0.25">
      <c r="B121" s="560" t="s">
        <v>727</v>
      </c>
      <c r="D121" s="1102" t="s">
        <v>124</v>
      </c>
      <c r="E121" s="1102"/>
      <c r="F121" s="1102"/>
      <c r="G121" s="195">
        <f>G112*G64/100</f>
        <v>110</v>
      </c>
    </row>
    <row r="122" spans="2:7" x14ac:dyDescent="0.25">
      <c r="D122" s="1102" t="s">
        <v>126</v>
      </c>
      <c r="E122" s="1102"/>
      <c r="F122" s="1102"/>
      <c r="G122" s="195">
        <f>G112*G65/100</f>
        <v>36.667965705378023</v>
      </c>
    </row>
    <row r="123" spans="2:7" x14ac:dyDescent="0.25">
      <c r="D123" s="1102" t="s">
        <v>127</v>
      </c>
      <c r="E123" s="1102"/>
      <c r="F123" s="1102"/>
      <c r="G123" s="195">
        <f>IF(B121="CLT",G112*G66/100,0)</f>
        <v>0</v>
      </c>
    </row>
    <row r="124" spans="2:7" x14ac:dyDescent="0.25">
      <c r="D124" s="1075" t="s">
        <v>47</v>
      </c>
      <c r="E124" s="1075"/>
      <c r="F124" s="1075"/>
      <c r="G124" s="197"/>
    </row>
    <row r="125" spans="2:7" ht="15" customHeight="1" x14ac:dyDescent="0.25">
      <c r="E125" s="91"/>
      <c r="F125" s="569" t="s">
        <v>103</v>
      </c>
      <c r="G125" s="570">
        <f>SUM(G112:G124)*G111</f>
        <v>1642.667965705378</v>
      </c>
    </row>
    <row r="126" spans="2:7" x14ac:dyDescent="0.25">
      <c r="D126" s="1179"/>
      <c r="E126" s="1180"/>
      <c r="F126" s="1180"/>
      <c r="G126" s="97">
        <f>G112*100/G50</f>
        <v>100</v>
      </c>
    </row>
    <row r="127" spans="2:7" x14ac:dyDescent="0.25">
      <c r="C127" s="98">
        <f>C109+1</f>
        <v>4</v>
      </c>
      <c r="D127" s="1181" t="s">
        <v>141</v>
      </c>
      <c r="E127" s="1181"/>
      <c r="F127" s="1181"/>
      <c r="G127" s="1182"/>
    </row>
    <row r="128" spans="2:7" x14ac:dyDescent="0.25">
      <c r="C128" s="91"/>
      <c r="D128" s="1173" t="s">
        <v>131</v>
      </c>
      <c r="E128" s="1173"/>
      <c r="F128" s="1173"/>
      <c r="G128" s="40">
        <v>8</v>
      </c>
    </row>
    <row r="129" spans="2:7" x14ac:dyDescent="0.25">
      <c r="D129" s="1173" t="s">
        <v>132</v>
      </c>
      <c r="E129" s="1173"/>
      <c r="F129" s="1173"/>
      <c r="G129" s="40">
        <v>1</v>
      </c>
    </row>
    <row r="130" spans="2:7" ht="15.75" thickBot="1" x14ac:dyDescent="0.3">
      <c r="C130" s="65"/>
      <c r="D130" s="1102" t="s">
        <v>133</v>
      </c>
      <c r="E130" s="1102"/>
      <c r="F130" s="1102"/>
      <c r="G130" s="195">
        <f>G50*B135/100</f>
        <v>2838</v>
      </c>
    </row>
    <row r="131" spans="2:7" x14ac:dyDescent="0.25">
      <c r="B131" s="1170" t="s">
        <v>134</v>
      </c>
      <c r="C131" s="65"/>
      <c r="D131" s="1173" t="s">
        <v>115</v>
      </c>
      <c r="E131" s="1173"/>
      <c r="F131" s="1173"/>
      <c r="G131" s="197">
        <f>G36*F352</f>
        <v>242</v>
      </c>
    </row>
    <row r="132" spans="2:7" x14ac:dyDescent="0.25">
      <c r="B132" s="1171"/>
      <c r="D132" s="1173" t="s">
        <v>116</v>
      </c>
      <c r="E132" s="1173"/>
      <c r="F132" s="1173"/>
      <c r="G132" s="197">
        <v>50</v>
      </c>
    </row>
    <row r="133" spans="2:7" x14ac:dyDescent="0.25">
      <c r="B133" s="1171"/>
      <c r="D133" s="1173" t="s">
        <v>118</v>
      </c>
      <c r="E133" s="1173"/>
      <c r="F133" s="1173"/>
      <c r="G133" s="197">
        <v>320</v>
      </c>
    </row>
    <row r="134" spans="2:7" ht="15.75" thickBot="1" x14ac:dyDescent="0.3">
      <c r="B134" s="1172"/>
      <c r="D134" s="1173" t="s">
        <v>119</v>
      </c>
      <c r="E134" s="1173"/>
      <c r="F134" s="1173"/>
      <c r="G134" s="197">
        <v>50</v>
      </c>
    </row>
    <row r="135" spans="2:7" x14ac:dyDescent="0.25">
      <c r="B135" s="180">
        <v>215</v>
      </c>
      <c r="D135" s="1102" t="s">
        <v>120</v>
      </c>
      <c r="E135" s="1102"/>
      <c r="F135" s="1102"/>
      <c r="G135" s="195">
        <f>G131*G60/100</f>
        <v>-14.520200051961549</v>
      </c>
    </row>
    <row r="136" spans="2:7" ht="15.75" thickBot="1" x14ac:dyDescent="0.3">
      <c r="D136" s="1102" t="s">
        <v>121</v>
      </c>
      <c r="E136" s="1102"/>
      <c r="F136" s="1102"/>
      <c r="G136" s="195">
        <f>IF(B139="CLT",G130*G61/100,E407)</f>
        <v>227.04033515198756</v>
      </c>
    </row>
    <row r="137" spans="2:7" x14ac:dyDescent="0.25">
      <c r="B137" s="1174" t="s">
        <v>726</v>
      </c>
      <c r="D137" s="1102" t="s">
        <v>122</v>
      </c>
      <c r="E137" s="1102"/>
      <c r="F137" s="1102"/>
      <c r="G137" s="195">
        <f>G130*G62/100</f>
        <v>236.5</v>
      </c>
    </row>
    <row r="138" spans="2:7" ht="15.75" thickBot="1" x14ac:dyDescent="0.3">
      <c r="B138" s="1175"/>
      <c r="D138" s="1102" t="s">
        <v>123</v>
      </c>
      <c r="E138" s="1102"/>
      <c r="F138" s="1102"/>
      <c r="G138" s="195">
        <f>IF(B139="CLT",G130*G63/100,0)</f>
        <v>18.919329696024942</v>
      </c>
    </row>
    <row r="139" spans="2:7" x14ac:dyDescent="0.25">
      <c r="B139" s="560" t="s">
        <v>728</v>
      </c>
      <c r="D139" s="1102" t="s">
        <v>124</v>
      </c>
      <c r="E139" s="1102"/>
      <c r="F139" s="1102"/>
      <c r="G139" s="195">
        <f>G130*G64/100</f>
        <v>236.5</v>
      </c>
    </row>
    <row r="140" spans="2:7" x14ac:dyDescent="0.25">
      <c r="D140" s="1102" t="s">
        <v>126</v>
      </c>
      <c r="E140" s="1102"/>
      <c r="F140" s="1102"/>
      <c r="G140" s="195">
        <f>G130*G65/100</f>
        <v>78.836126266562758</v>
      </c>
    </row>
    <row r="141" spans="2:7" x14ac:dyDescent="0.25">
      <c r="D141" s="1102" t="s">
        <v>127</v>
      </c>
      <c r="E141" s="1102"/>
      <c r="F141" s="1102"/>
      <c r="G141" s="195">
        <f>IF(B139="CLT",G130*G66/100,0)</f>
        <v>25.228565861262663</v>
      </c>
    </row>
    <row r="142" spans="2:7" x14ac:dyDescent="0.25">
      <c r="D142" s="1075" t="s">
        <v>47</v>
      </c>
      <c r="E142" s="1075"/>
      <c r="F142" s="1075"/>
      <c r="G142" s="197">
        <f>G130*G67/100</f>
        <v>83.787996882307084</v>
      </c>
    </row>
    <row r="143" spans="2:7" ht="15" customHeight="1" x14ac:dyDescent="0.25">
      <c r="E143" s="91"/>
      <c r="F143" s="569" t="s">
        <v>103</v>
      </c>
      <c r="G143" s="570">
        <f>SUM(G130:G142)*G129</f>
        <v>4392.2921538061837</v>
      </c>
    </row>
    <row r="144" spans="2:7" x14ac:dyDescent="0.25">
      <c r="D144" s="1179"/>
      <c r="E144" s="1180"/>
      <c r="F144" s="1180"/>
      <c r="G144" s="90">
        <f>G130*100/G50</f>
        <v>215</v>
      </c>
    </row>
    <row r="145" spans="2:7" x14ac:dyDescent="0.25">
      <c r="C145" s="98">
        <f>C127+1</f>
        <v>5</v>
      </c>
      <c r="D145" s="1181" t="s">
        <v>142</v>
      </c>
      <c r="E145" s="1181"/>
      <c r="F145" s="1181"/>
      <c r="G145" s="1182"/>
    </row>
    <row r="146" spans="2:7" x14ac:dyDescent="0.25">
      <c r="C146" s="91"/>
      <c r="D146" s="1173" t="s">
        <v>131</v>
      </c>
      <c r="E146" s="1173"/>
      <c r="F146" s="1173"/>
      <c r="G146" s="40">
        <f>((4*(18-13))+(1*(17-13)))/5</f>
        <v>4.8</v>
      </c>
    </row>
    <row r="147" spans="2:7" x14ac:dyDescent="0.25">
      <c r="D147" s="1173" t="s">
        <v>132</v>
      </c>
      <c r="E147" s="1173"/>
      <c r="F147" s="1173"/>
      <c r="G147" s="40">
        <v>4</v>
      </c>
    </row>
    <row r="148" spans="2:7" ht="15.75" thickBot="1" x14ac:dyDescent="0.3">
      <c r="C148" s="65"/>
      <c r="D148" s="1102" t="s">
        <v>133</v>
      </c>
      <c r="E148" s="1102"/>
      <c r="F148" s="1102"/>
      <c r="G148" s="195">
        <f>G50*B153/100</f>
        <v>660</v>
      </c>
    </row>
    <row r="149" spans="2:7" x14ac:dyDescent="0.25">
      <c r="B149" s="1170" t="s">
        <v>134</v>
      </c>
      <c r="C149" s="65"/>
      <c r="D149" s="1173" t="s">
        <v>115</v>
      </c>
      <c r="E149" s="1173"/>
      <c r="F149" s="1173"/>
      <c r="G149" s="197">
        <f>G36*F352</f>
        <v>242</v>
      </c>
    </row>
    <row r="150" spans="2:7" x14ac:dyDescent="0.25">
      <c r="B150" s="1171"/>
      <c r="D150" s="1173" t="s">
        <v>116</v>
      </c>
      <c r="E150" s="1173"/>
      <c r="F150" s="1173"/>
      <c r="G150" s="197">
        <v>0</v>
      </c>
    </row>
    <row r="151" spans="2:7" x14ac:dyDescent="0.25">
      <c r="B151" s="1171"/>
      <c r="D151" s="1173" t="s">
        <v>118</v>
      </c>
      <c r="E151" s="1173"/>
      <c r="F151" s="1173"/>
      <c r="G151" s="197">
        <v>0</v>
      </c>
    </row>
    <row r="152" spans="2:7" ht="15.75" thickBot="1" x14ac:dyDescent="0.3">
      <c r="B152" s="1172"/>
      <c r="D152" s="1173" t="s">
        <v>119</v>
      </c>
      <c r="E152" s="1173"/>
      <c r="F152" s="1173"/>
      <c r="G152" s="197">
        <v>0</v>
      </c>
    </row>
    <row r="153" spans="2:7" x14ac:dyDescent="0.25">
      <c r="B153" s="180">
        <v>50</v>
      </c>
      <c r="D153" s="1102" t="s">
        <v>120</v>
      </c>
      <c r="E153" s="1102"/>
      <c r="F153" s="1102"/>
      <c r="G153" s="195">
        <f>G149*G60/100</f>
        <v>-14.520200051961549</v>
      </c>
    </row>
    <row r="154" spans="2:7" ht="15.75" thickBot="1" x14ac:dyDescent="0.3">
      <c r="D154" s="1102" t="s">
        <v>121</v>
      </c>
      <c r="E154" s="1102"/>
      <c r="F154" s="1102"/>
      <c r="G154" s="195">
        <f>IF(B157="CLT",G148*G61/100,E407)</f>
        <v>52.800077942322687</v>
      </c>
    </row>
    <row r="155" spans="2:7" x14ac:dyDescent="0.25">
      <c r="B155" s="1174" t="s">
        <v>726</v>
      </c>
      <c r="D155" s="1102" t="s">
        <v>122</v>
      </c>
      <c r="E155" s="1102"/>
      <c r="F155" s="1102"/>
      <c r="G155" s="195">
        <f>G148*G62/100</f>
        <v>55</v>
      </c>
    </row>
    <row r="156" spans="2:7" ht="15.75" thickBot="1" x14ac:dyDescent="0.3">
      <c r="B156" s="1175"/>
      <c r="D156" s="1102" t="s">
        <v>123</v>
      </c>
      <c r="E156" s="1102"/>
      <c r="F156" s="1102"/>
      <c r="G156" s="195">
        <f>IF(B157="CLT",G148*G63/100,0)</f>
        <v>4.3998441153546377</v>
      </c>
    </row>
    <row r="157" spans="2:7" x14ac:dyDescent="0.25">
      <c r="B157" s="560" t="s">
        <v>728</v>
      </c>
      <c r="D157" s="1102" t="s">
        <v>124</v>
      </c>
      <c r="E157" s="1102"/>
      <c r="F157" s="1102"/>
      <c r="G157" s="195">
        <f>G148*G64/100</f>
        <v>55</v>
      </c>
    </row>
    <row r="158" spans="2:7" x14ac:dyDescent="0.25">
      <c r="D158" s="1102" t="s">
        <v>126</v>
      </c>
      <c r="E158" s="1102"/>
      <c r="F158" s="1102"/>
      <c r="G158" s="195">
        <f>G148*G65/100</f>
        <v>18.333982852689012</v>
      </c>
    </row>
    <row r="159" spans="2:7" x14ac:dyDescent="0.25">
      <c r="D159" s="1102" t="s">
        <v>127</v>
      </c>
      <c r="E159" s="1102"/>
      <c r="F159" s="1102"/>
      <c r="G159" s="195">
        <f>IF(B157="CLT",G148*G66/100,0)</f>
        <v>5.8671083398285271</v>
      </c>
    </row>
    <row r="160" spans="2:7" x14ac:dyDescent="0.25">
      <c r="D160" s="1075" t="s">
        <v>47</v>
      </c>
      <c r="E160" s="1075"/>
      <c r="F160" s="1075"/>
      <c r="G160" s="197">
        <f>G148*G67/100</f>
        <v>19.485580670303975</v>
      </c>
    </row>
    <row r="161" spans="2:7" ht="15" customHeight="1" x14ac:dyDescent="0.25">
      <c r="E161" s="91"/>
      <c r="F161" s="569" t="s">
        <v>103</v>
      </c>
      <c r="G161" s="570">
        <f>SUM(G148:G160)*G147</f>
        <v>4393.4655754741489</v>
      </c>
    </row>
    <row r="162" spans="2:7" x14ac:dyDescent="0.25">
      <c r="D162" s="1179"/>
      <c r="E162" s="1180"/>
      <c r="F162" s="1180"/>
      <c r="G162" s="97">
        <f>G148*100/G50</f>
        <v>50</v>
      </c>
    </row>
    <row r="163" spans="2:7" x14ac:dyDescent="0.25">
      <c r="C163" s="98">
        <f>C145+1</f>
        <v>6</v>
      </c>
      <c r="D163" s="1181" t="s">
        <v>730</v>
      </c>
      <c r="E163" s="1181"/>
      <c r="F163" s="1181"/>
      <c r="G163" s="1182"/>
    </row>
    <row r="164" spans="2:7" x14ac:dyDescent="0.25">
      <c r="C164" s="91"/>
      <c r="D164" s="1173" t="s">
        <v>131</v>
      </c>
      <c r="E164" s="1173"/>
      <c r="F164" s="1173"/>
      <c r="G164" s="40">
        <v>8</v>
      </c>
    </row>
    <row r="165" spans="2:7" x14ac:dyDescent="0.25">
      <c r="D165" s="1173" t="s">
        <v>132</v>
      </c>
      <c r="E165" s="1173"/>
      <c r="F165" s="1173"/>
      <c r="G165" s="40">
        <v>1</v>
      </c>
    </row>
    <row r="166" spans="2:7" ht="15.75" thickBot="1" x14ac:dyDescent="0.3">
      <c r="C166" s="65"/>
      <c r="D166" s="1102" t="s">
        <v>133</v>
      </c>
      <c r="E166" s="1102"/>
      <c r="F166" s="1102"/>
      <c r="G166" s="195">
        <f>G50*B171/100</f>
        <v>6600</v>
      </c>
    </row>
    <row r="167" spans="2:7" x14ac:dyDescent="0.25">
      <c r="B167" s="1170" t="s">
        <v>134</v>
      </c>
      <c r="C167" s="65"/>
      <c r="D167" s="1173" t="s">
        <v>115</v>
      </c>
      <c r="E167" s="1173"/>
      <c r="F167" s="1173"/>
      <c r="G167" s="197">
        <f>G36*F352</f>
        <v>242</v>
      </c>
    </row>
    <row r="168" spans="2:7" x14ac:dyDescent="0.25">
      <c r="B168" s="1171"/>
      <c r="D168" s="1173" t="s">
        <v>116</v>
      </c>
      <c r="E168" s="1173"/>
      <c r="F168" s="1173"/>
      <c r="G168" s="197">
        <v>50</v>
      </c>
    </row>
    <row r="169" spans="2:7" x14ac:dyDescent="0.25">
      <c r="B169" s="1171"/>
      <c r="D169" s="1173" t="s">
        <v>118</v>
      </c>
      <c r="E169" s="1173"/>
      <c r="F169" s="1173"/>
      <c r="G169" s="197">
        <v>320</v>
      </c>
    </row>
    <row r="170" spans="2:7" ht="15.75" thickBot="1" x14ac:dyDescent="0.3">
      <c r="B170" s="1172"/>
      <c r="D170" s="1173" t="s">
        <v>119</v>
      </c>
      <c r="E170" s="1173"/>
      <c r="F170" s="1173"/>
      <c r="G170" s="197">
        <v>50</v>
      </c>
    </row>
    <row r="171" spans="2:7" x14ac:dyDescent="0.25">
      <c r="B171" s="180">
        <v>500</v>
      </c>
      <c r="D171" s="1102" t="s">
        <v>120</v>
      </c>
      <c r="E171" s="1102"/>
      <c r="F171" s="1102"/>
      <c r="G171" s="195">
        <f>G167*G60/100</f>
        <v>-14.520200051961549</v>
      </c>
    </row>
    <row r="172" spans="2:7" ht="15.75" thickBot="1" x14ac:dyDescent="0.3">
      <c r="D172" s="1102" t="s">
        <v>121</v>
      </c>
      <c r="E172" s="1102"/>
      <c r="F172" s="1102"/>
      <c r="G172" s="195">
        <f>IF(B175="CLT",G166*G61/100,E407)</f>
        <v>528.00077942322696</v>
      </c>
    </row>
    <row r="173" spans="2:7" x14ac:dyDescent="0.25">
      <c r="B173" s="1174" t="s">
        <v>726</v>
      </c>
      <c r="D173" s="1102" t="s">
        <v>122</v>
      </c>
      <c r="E173" s="1102"/>
      <c r="F173" s="1102"/>
      <c r="G173" s="195">
        <f>G166*G62/100</f>
        <v>550.00000000000011</v>
      </c>
    </row>
    <row r="174" spans="2:7" ht="15.75" thickBot="1" x14ac:dyDescent="0.3">
      <c r="B174" s="1175"/>
      <c r="D174" s="1102" t="s">
        <v>123</v>
      </c>
      <c r="E174" s="1102"/>
      <c r="F174" s="1102"/>
      <c r="G174" s="195">
        <f>IF(B175="CLT",G166*G63/100,0)</f>
        <v>43.998441153546374</v>
      </c>
    </row>
    <row r="175" spans="2:7" x14ac:dyDescent="0.25">
      <c r="B175" s="560" t="s">
        <v>728</v>
      </c>
      <c r="D175" s="1102" t="s">
        <v>124</v>
      </c>
      <c r="E175" s="1102"/>
      <c r="F175" s="1102"/>
      <c r="G175" s="195">
        <f>G166*G64/100</f>
        <v>550.00000000000011</v>
      </c>
    </row>
    <row r="176" spans="2:7" x14ac:dyDescent="0.25">
      <c r="D176" s="1102" t="s">
        <v>126</v>
      </c>
      <c r="E176" s="1102"/>
      <c r="F176" s="1102"/>
      <c r="G176" s="195">
        <f>G166*G65/100</f>
        <v>183.33982852689013</v>
      </c>
    </row>
    <row r="177" spans="2:7" x14ac:dyDescent="0.25">
      <c r="D177" s="1102" t="s">
        <v>127</v>
      </c>
      <c r="E177" s="1102"/>
      <c r="F177" s="1102"/>
      <c r="G177" s="195">
        <f>IF(B175="CLT",G166*G66/100,0)</f>
        <v>58.671083398285276</v>
      </c>
    </row>
    <row r="178" spans="2:7" x14ac:dyDescent="0.25">
      <c r="D178" s="1075" t="s">
        <v>47</v>
      </c>
      <c r="E178" s="1075"/>
      <c r="F178" s="1075"/>
      <c r="G178" s="197">
        <f>G166*G159/100</f>
        <v>387.22915042868277</v>
      </c>
    </row>
    <row r="179" spans="2:7" ht="15" customHeight="1" x14ac:dyDescent="0.25">
      <c r="E179" s="91"/>
      <c r="F179" s="569" t="s">
        <v>103</v>
      </c>
      <c r="G179" s="570">
        <f>SUM(G166:G178)*G165</f>
        <v>9548.7190828786697</v>
      </c>
    </row>
    <row r="180" spans="2:7" x14ac:dyDescent="0.25">
      <c r="D180" s="1179"/>
      <c r="E180" s="1180"/>
      <c r="F180" s="1180"/>
      <c r="G180" s="97">
        <f>G166*100/G50</f>
        <v>500</v>
      </c>
    </row>
    <row r="181" spans="2:7" x14ac:dyDescent="0.25">
      <c r="C181" s="98">
        <f>C163+1</f>
        <v>7</v>
      </c>
      <c r="D181" s="1181" t="s">
        <v>143</v>
      </c>
      <c r="E181" s="1181"/>
      <c r="F181" s="1181"/>
      <c r="G181" s="1182"/>
    </row>
    <row r="182" spans="2:7" x14ac:dyDescent="0.25">
      <c r="C182" s="91"/>
      <c r="D182" s="1173" t="s">
        <v>131</v>
      </c>
      <c r="E182" s="1173"/>
      <c r="F182" s="1173"/>
      <c r="G182" s="40">
        <v>8</v>
      </c>
    </row>
    <row r="183" spans="2:7" x14ac:dyDescent="0.25">
      <c r="D183" s="1173" t="s">
        <v>132</v>
      </c>
      <c r="E183" s="1173"/>
      <c r="F183" s="1173"/>
      <c r="G183" s="40">
        <v>0</v>
      </c>
    </row>
    <row r="184" spans="2:7" ht="15.75" thickBot="1" x14ac:dyDescent="0.3">
      <c r="C184" s="65"/>
      <c r="D184" s="1075" t="s">
        <v>133</v>
      </c>
      <c r="E184" s="1075"/>
      <c r="F184" s="1075"/>
      <c r="G184" s="198">
        <f>G50*B189/100</f>
        <v>1914</v>
      </c>
    </row>
    <row r="185" spans="2:7" x14ac:dyDescent="0.25">
      <c r="B185" s="1170" t="s">
        <v>134</v>
      </c>
      <c r="C185" s="65"/>
      <c r="D185" s="1173" t="s">
        <v>115</v>
      </c>
      <c r="E185" s="1173"/>
      <c r="F185" s="1173"/>
      <c r="G185" s="197">
        <f>G36*F352</f>
        <v>242</v>
      </c>
    </row>
    <row r="186" spans="2:7" x14ac:dyDescent="0.25">
      <c r="B186" s="1171"/>
      <c r="D186" s="1173" t="s">
        <v>116</v>
      </c>
      <c r="E186" s="1173"/>
      <c r="F186" s="1173"/>
      <c r="G186" s="197">
        <v>50</v>
      </c>
    </row>
    <row r="187" spans="2:7" x14ac:dyDescent="0.25">
      <c r="B187" s="1171"/>
      <c r="D187" s="1173" t="s">
        <v>118</v>
      </c>
      <c r="E187" s="1173"/>
      <c r="F187" s="1173"/>
      <c r="G187" s="197">
        <v>320</v>
      </c>
    </row>
    <row r="188" spans="2:7" ht="15.75" thickBot="1" x14ac:dyDescent="0.3">
      <c r="B188" s="1172"/>
      <c r="D188" s="1173" t="s">
        <v>119</v>
      </c>
      <c r="E188" s="1173"/>
      <c r="F188" s="1173"/>
      <c r="G188" s="197">
        <v>50</v>
      </c>
    </row>
    <row r="189" spans="2:7" x14ac:dyDescent="0.25">
      <c r="B189" s="180">
        <v>145</v>
      </c>
      <c r="D189" s="1102" t="s">
        <v>120</v>
      </c>
      <c r="E189" s="1102"/>
      <c r="F189" s="1102"/>
      <c r="G189" s="195">
        <f>G185*G60/100</f>
        <v>-14.520200051961549</v>
      </c>
    </row>
    <row r="190" spans="2:7" ht="15.75" thickBot="1" x14ac:dyDescent="0.3">
      <c r="D190" s="1102" t="s">
        <v>121</v>
      </c>
      <c r="E190" s="1102"/>
      <c r="F190" s="1102"/>
      <c r="G190" s="195">
        <f>IF(B193="CLT",G184*G61/100,E407)</f>
        <v>153.12022603273579</v>
      </c>
    </row>
    <row r="191" spans="2:7" x14ac:dyDescent="0.25">
      <c r="B191" s="1174" t="s">
        <v>726</v>
      </c>
      <c r="D191" s="1102" t="s">
        <v>122</v>
      </c>
      <c r="E191" s="1102"/>
      <c r="F191" s="1102"/>
      <c r="G191" s="195">
        <f>G184*G62/100</f>
        <v>159.50000000000003</v>
      </c>
    </row>
    <row r="192" spans="2:7" ht="15.75" thickBot="1" x14ac:dyDescent="0.3">
      <c r="B192" s="1175"/>
      <c r="D192" s="1102" t="s">
        <v>123</v>
      </c>
      <c r="E192" s="1102"/>
      <c r="F192" s="1102"/>
      <c r="G192" s="195">
        <f>IF(B193="CLT",G184*G63/100,0)</f>
        <v>12.759547934528449</v>
      </c>
    </row>
    <row r="193" spans="2:7" x14ac:dyDescent="0.25">
      <c r="B193" s="560" t="s">
        <v>728</v>
      </c>
      <c r="D193" s="1102" t="s">
        <v>124</v>
      </c>
      <c r="E193" s="1102"/>
      <c r="F193" s="1102"/>
      <c r="G193" s="195">
        <f>G184*G64/100</f>
        <v>159.50000000000003</v>
      </c>
    </row>
    <row r="194" spans="2:7" x14ac:dyDescent="0.25">
      <c r="D194" s="1102" t="s">
        <v>126</v>
      </c>
      <c r="E194" s="1102"/>
      <c r="F194" s="1102"/>
      <c r="G194" s="195">
        <f>G184*G65/100</f>
        <v>53.168550272798129</v>
      </c>
    </row>
    <row r="195" spans="2:7" x14ac:dyDescent="0.25">
      <c r="D195" s="1102" t="s">
        <v>127</v>
      </c>
      <c r="E195" s="1102"/>
      <c r="F195" s="1102"/>
      <c r="G195" s="195">
        <f>IF(B193="CLT",G184*G66/100,0)</f>
        <v>17.01461418550273</v>
      </c>
    </row>
    <row r="196" spans="2:7" x14ac:dyDescent="0.25">
      <c r="D196" s="1075" t="s">
        <v>47</v>
      </c>
      <c r="E196" s="1075"/>
      <c r="F196" s="1075"/>
      <c r="G196" s="197">
        <f>G184*G67/100</f>
        <v>56.508183943881534</v>
      </c>
    </row>
    <row r="197" spans="2:7" ht="15" customHeight="1" x14ac:dyDescent="0.25">
      <c r="E197" s="91"/>
      <c r="F197" s="569" t="s">
        <v>103</v>
      </c>
      <c r="G197" s="570">
        <f>SUM(G184:G196)*G183</f>
        <v>0</v>
      </c>
    </row>
    <row r="198" spans="2:7" x14ac:dyDescent="0.25">
      <c r="D198" s="1179"/>
      <c r="E198" s="1180"/>
      <c r="F198" s="1180"/>
      <c r="G198" s="97">
        <f>G184*100/G50</f>
        <v>145</v>
      </c>
    </row>
    <row r="199" spans="2:7" x14ac:dyDescent="0.25">
      <c r="C199" s="98">
        <f>C181+1</f>
        <v>8</v>
      </c>
      <c r="D199" s="1181" t="s">
        <v>144</v>
      </c>
      <c r="E199" s="1181"/>
      <c r="F199" s="1181"/>
      <c r="G199" s="1182"/>
    </row>
    <row r="200" spans="2:7" x14ac:dyDescent="0.25">
      <c r="C200" s="91"/>
      <c r="D200" s="1173" t="s">
        <v>131</v>
      </c>
      <c r="E200" s="1173"/>
      <c r="F200" s="1173"/>
      <c r="G200" s="40">
        <v>8</v>
      </c>
    </row>
    <row r="201" spans="2:7" x14ac:dyDescent="0.25">
      <c r="D201" s="1173" t="s">
        <v>132</v>
      </c>
      <c r="E201" s="1173"/>
      <c r="F201" s="1173"/>
      <c r="G201" s="40">
        <v>0</v>
      </c>
    </row>
    <row r="202" spans="2:7" ht="15.75" thickBot="1" x14ac:dyDescent="0.3">
      <c r="C202" s="65"/>
      <c r="D202" s="1102" t="s">
        <v>133</v>
      </c>
      <c r="E202" s="1102"/>
      <c r="F202" s="1102"/>
      <c r="G202" s="195">
        <f>G50*B207/100</f>
        <v>3960</v>
      </c>
    </row>
    <row r="203" spans="2:7" x14ac:dyDescent="0.25">
      <c r="B203" s="1170" t="s">
        <v>134</v>
      </c>
      <c r="C203" s="65"/>
      <c r="D203" s="1173" t="s">
        <v>115</v>
      </c>
      <c r="E203" s="1173"/>
      <c r="F203" s="1173"/>
      <c r="G203" s="197">
        <f>G36*F352</f>
        <v>242</v>
      </c>
    </row>
    <row r="204" spans="2:7" x14ac:dyDescent="0.25">
      <c r="B204" s="1171"/>
      <c r="D204" s="1173" t="s">
        <v>116</v>
      </c>
      <c r="E204" s="1173"/>
      <c r="F204" s="1173"/>
      <c r="G204" s="197">
        <v>50</v>
      </c>
    </row>
    <row r="205" spans="2:7" x14ac:dyDescent="0.25">
      <c r="B205" s="1171"/>
      <c r="D205" s="1173" t="s">
        <v>118</v>
      </c>
      <c r="E205" s="1173"/>
      <c r="F205" s="1173"/>
      <c r="G205" s="197">
        <v>320</v>
      </c>
    </row>
    <row r="206" spans="2:7" ht="15.75" thickBot="1" x14ac:dyDescent="0.3">
      <c r="B206" s="1172"/>
      <c r="D206" s="1173" t="s">
        <v>119</v>
      </c>
      <c r="E206" s="1173"/>
      <c r="F206" s="1173"/>
      <c r="G206" s="197">
        <v>50</v>
      </c>
    </row>
    <row r="207" spans="2:7" x14ac:dyDescent="0.25">
      <c r="B207" s="180">
        <v>300</v>
      </c>
      <c r="D207" s="1102" t="s">
        <v>120</v>
      </c>
      <c r="E207" s="1102"/>
      <c r="F207" s="1102"/>
      <c r="G207" s="195">
        <f>G203*G60/100</f>
        <v>-14.520200051961549</v>
      </c>
    </row>
    <row r="208" spans="2:7" ht="15.75" thickBot="1" x14ac:dyDescent="0.3">
      <c r="D208" s="1102" t="s">
        <v>121</v>
      </c>
      <c r="E208" s="1102"/>
      <c r="F208" s="1102"/>
      <c r="G208" s="195">
        <f>IF(B211="CLT",G202*G61/100,E407)</f>
        <v>316.80046765393615</v>
      </c>
    </row>
    <row r="209" spans="2:7" x14ac:dyDescent="0.25">
      <c r="B209" s="1174" t="s">
        <v>726</v>
      </c>
      <c r="D209" s="1102" t="s">
        <v>122</v>
      </c>
      <c r="E209" s="1102"/>
      <c r="F209" s="1102"/>
      <c r="G209" s="195">
        <f>G202*G62/100</f>
        <v>330</v>
      </c>
    </row>
    <row r="210" spans="2:7" ht="15.75" thickBot="1" x14ac:dyDescent="0.3">
      <c r="B210" s="1175"/>
      <c r="D210" s="1102" t="s">
        <v>123</v>
      </c>
      <c r="E210" s="1102"/>
      <c r="F210" s="1102"/>
      <c r="G210" s="195">
        <f>IF(B211="CLT",G202*G63/100,0)</f>
        <v>26.399064692127826</v>
      </c>
    </row>
    <row r="211" spans="2:7" x14ac:dyDescent="0.25">
      <c r="B211" s="560" t="s">
        <v>728</v>
      </c>
      <c r="D211" s="1102" t="s">
        <v>124</v>
      </c>
      <c r="E211" s="1102"/>
      <c r="F211" s="1102"/>
      <c r="G211" s="195">
        <f>G202*G64/100</f>
        <v>330</v>
      </c>
    </row>
    <row r="212" spans="2:7" x14ac:dyDescent="0.25">
      <c r="D212" s="1102" t="s">
        <v>126</v>
      </c>
      <c r="E212" s="1102"/>
      <c r="F212" s="1102"/>
      <c r="G212" s="195">
        <f>G202*G65/100</f>
        <v>110.00389711613407</v>
      </c>
    </row>
    <row r="213" spans="2:7" x14ac:dyDescent="0.25">
      <c r="D213" s="1102" t="s">
        <v>127</v>
      </c>
      <c r="E213" s="1102"/>
      <c r="F213" s="1102"/>
      <c r="G213" s="195">
        <f>IF(B211="CLT",G202*G66/100,0)</f>
        <v>35.202650038971157</v>
      </c>
    </row>
    <row r="214" spans="2:7" x14ac:dyDescent="0.25">
      <c r="D214" s="1075" t="s">
        <v>47</v>
      </c>
      <c r="E214" s="1075"/>
      <c r="F214" s="1075"/>
      <c r="G214" s="197">
        <f>G202*G67/100</f>
        <v>116.91348402182386</v>
      </c>
    </row>
    <row r="215" spans="2:7" ht="15" customHeight="1" x14ac:dyDescent="0.25">
      <c r="E215" s="91"/>
      <c r="F215" s="569" t="s">
        <v>103</v>
      </c>
      <c r="G215" s="570">
        <f>SUM(G202:G214)*G201</f>
        <v>0</v>
      </c>
    </row>
    <row r="216" spans="2:7" x14ac:dyDescent="0.25">
      <c r="D216" s="1179"/>
      <c r="E216" s="1180"/>
      <c r="F216" s="1180"/>
      <c r="G216" s="97">
        <f>G202*100/G50</f>
        <v>300</v>
      </c>
    </row>
    <row r="217" spans="2:7" x14ac:dyDescent="0.25">
      <c r="C217" s="98">
        <f>C199+1</f>
        <v>9</v>
      </c>
      <c r="D217" s="1181" t="s">
        <v>731</v>
      </c>
      <c r="E217" s="1181"/>
      <c r="F217" s="1181"/>
      <c r="G217" s="1182"/>
    </row>
    <row r="218" spans="2:7" x14ac:dyDescent="0.25">
      <c r="C218" s="91"/>
      <c r="D218" s="1173" t="s">
        <v>131</v>
      </c>
      <c r="E218" s="1173"/>
      <c r="F218" s="1173"/>
      <c r="G218" s="40">
        <v>8</v>
      </c>
    </row>
    <row r="219" spans="2:7" x14ac:dyDescent="0.25">
      <c r="D219" s="1173" t="s">
        <v>132</v>
      </c>
      <c r="E219" s="1173"/>
      <c r="F219" s="1173"/>
      <c r="G219" s="40">
        <v>1</v>
      </c>
    </row>
    <row r="220" spans="2:7" ht="15.75" thickBot="1" x14ac:dyDescent="0.3">
      <c r="C220" s="65"/>
      <c r="D220" s="1102" t="s">
        <v>133</v>
      </c>
      <c r="E220" s="1102"/>
      <c r="F220" s="1102"/>
      <c r="G220" s="195">
        <f>G50*B225/100</f>
        <v>1980</v>
      </c>
    </row>
    <row r="221" spans="2:7" x14ac:dyDescent="0.25">
      <c r="B221" s="1170" t="s">
        <v>134</v>
      </c>
      <c r="C221" s="65"/>
      <c r="D221" s="1173" t="s">
        <v>115</v>
      </c>
      <c r="E221" s="1173"/>
      <c r="F221" s="1173"/>
      <c r="G221" s="197">
        <f>G36*F352</f>
        <v>242</v>
      </c>
    </row>
    <row r="222" spans="2:7" x14ac:dyDescent="0.25">
      <c r="B222" s="1171"/>
      <c r="D222" s="1173" t="s">
        <v>116</v>
      </c>
      <c r="E222" s="1173"/>
      <c r="F222" s="1173"/>
      <c r="G222" s="197">
        <v>0</v>
      </c>
    </row>
    <row r="223" spans="2:7" x14ac:dyDescent="0.25">
      <c r="B223" s="1171"/>
      <c r="D223" s="1173" t="s">
        <v>118</v>
      </c>
      <c r="E223" s="1173"/>
      <c r="F223" s="1173"/>
      <c r="G223" s="197">
        <v>320</v>
      </c>
    </row>
    <row r="224" spans="2:7" ht="15.75" thickBot="1" x14ac:dyDescent="0.3">
      <c r="B224" s="1172"/>
      <c r="D224" s="1173" t="s">
        <v>119</v>
      </c>
      <c r="E224" s="1173"/>
      <c r="F224" s="1173"/>
      <c r="G224" s="197">
        <v>0</v>
      </c>
    </row>
    <row r="225" spans="2:7" x14ac:dyDescent="0.25">
      <c r="B225" s="180">
        <v>150</v>
      </c>
      <c r="D225" s="1102" t="s">
        <v>120</v>
      </c>
      <c r="E225" s="1102"/>
      <c r="F225" s="1102"/>
      <c r="G225" s="195">
        <f>G221*G60/100</f>
        <v>-14.520200051961549</v>
      </c>
    </row>
    <row r="226" spans="2:7" ht="15.75" thickBot="1" x14ac:dyDescent="0.3">
      <c r="D226" s="1102" t="s">
        <v>121</v>
      </c>
      <c r="E226" s="1102"/>
      <c r="F226" s="1102"/>
      <c r="G226" s="195">
        <f>IF(B229="CLT",G220*G61/100,E407)</f>
        <v>66</v>
      </c>
    </row>
    <row r="227" spans="2:7" x14ac:dyDescent="0.25">
      <c r="B227" s="1174" t="s">
        <v>726</v>
      </c>
      <c r="D227" s="1102" t="s">
        <v>122</v>
      </c>
      <c r="E227" s="1102"/>
      <c r="F227" s="1102"/>
      <c r="G227" s="195">
        <f>G220*G62/100</f>
        <v>165</v>
      </c>
    </row>
    <row r="228" spans="2:7" ht="15.75" thickBot="1" x14ac:dyDescent="0.3">
      <c r="B228" s="1175"/>
      <c r="D228" s="1102" t="s">
        <v>123</v>
      </c>
      <c r="E228" s="1102"/>
      <c r="F228" s="1102"/>
      <c r="G228" s="195">
        <f>IF(B229="CLT",G220*G63/100,0)</f>
        <v>0</v>
      </c>
    </row>
    <row r="229" spans="2:7" x14ac:dyDescent="0.25">
      <c r="B229" s="560" t="s">
        <v>727</v>
      </c>
      <c r="D229" s="1102" t="s">
        <v>124</v>
      </c>
      <c r="E229" s="1102"/>
      <c r="F229" s="1102"/>
      <c r="G229" s="195">
        <f>G220*G64/100</f>
        <v>165</v>
      </c>
    </row>
    <row r="230" spans="2:7" x14ac:dyDescent="0.25">
      <c r="D230" s="1102" t="s">
        <v>126</v>
      </c>
      <c r="E230" s="1102"/>
      <c r="F230" s="1102"/>
      <c r="G230" s="195">
        <f>G220*G65/100</f>
        <v>55.001948558067035</v>
      </c>
    </row>
    <row r="231" spans="2:7" x14ac:dyDescent="0.25">
      <c r="D231" s="1102" t="s">
        <v>127</v>
      </c>
      <c r="E231" s="1102"/>
      <c r="F231" s="1102"/>
      <c r="G231" s="195">
        <f>IF(B229="CLT",G220*G66/100,0)</f>
        <v>0</v>
      </c>
    </row>
    <row r="232" spans="2:7" x14ac:dyDescent="0.25">
      <c r="D232" s="1075" t="s">
        <v>47</v>
      </c>
      <c r="E232" s="1075"/>
      <c r="F232" s="1075"/>
      <c r="G232" s="197">
        <f>G220*G67/100</f>
        <v>58.456742010911931</v>
      </c>
    </row>
    <row r="233" spans="2:7" ht="15" customHeight="1" x14ac:dyDescent="0.25">
      <c r="E233" s="91"/>
      <c r="F233" s="569" t="s">
        <v>103</v>
      </c>
      <c r="G233" s="570">
        <f>SUM(G220:G232)*G219</f>
        <v>3036.9384905170173</v>
      </c>
    </row>
    <row r="234" spans="2:7" x14ac:dyDescent="0.25">
      <c r="D234" s="1179"/>
      <c r="E234" s="1180"/>
      <c r="F234" s="1180"/>
      <c r="G234" s="97">
        <f>G220*100/G50</f>
        <v>150</v>
      </c>
    </row>
    <row r="235" spans="2:7" x14ac:dyDescent="0.25">
      <c r="C235" s="98">
        <f>C217+1</f>
        <v>10</v>
      </c>
      <c r="D235" s="1181" t="s">
        <v>145</v>
      </c>
      <c r="E235" s="1181"/>
      <c r="F235" s="1181"/>
      <c r="G235" s="1182"/>
    </row>
    <row r="236" spans="2:7" x14ac:dyDescent="0.25">
      <c r="C236" s="91"/>
      <c r="D236" s="1173" t="s">
        <v>131</v>
      </c>
      <c r="E236" s="1173"/>
      <c r="F236" s="1173"/>
      <c r="G236" s="40">
        <v>8</v>
      </c>
    </row>
    <row r="237" spans="2:7" x14ac:dyDescent="0.25">
      <c r="D237" s="1173" t="s">
        <v>132</v>
      </c>
      <c r="E237" s="1173"/>
      <c r="F237" s="1173"/>
      <c r="G237" s="40">
        <v>1</v>
      </c>
    </row>
    <row r="238" spans="2:7" ht="15.75" thickBot="1" x14ac:dyDescent="0.3">
      <c r="C238" s="65"/>
      <c r="D238" s="1102" t="s">
        <v>133</v>
      </c>
      <c r="E238" s="1102"/>
      <c r="F238" s="1102"/>
      <c r="G238" s="195">
        <f>G50*B243/100</f>
        <v>1650</v>
      </c>
    </row>
    <row r="239" spans="2:7" x14ac:dyDescent="0.25">
      <c r="B239" s="1170" t="s">
        <v>134</v>
      </c>
      <c r="C239" s="65"/>
      <c r="D239" s="1173" t="s">
        <v>115</v>
      </c>
      <c r="E239" s="1173"/>
      <c r="F239" s="1173"/>
      <c r="G239" s="197">
        <f>G36*F352</f>
        <v>242</v>
      </c>
    </row>
    <row r="240" spans="2:7" x14ac:dyDescent="0.25">
      <c r="B240" s="1171"/>
      <c r="D240" s="1173" t="s">
        <v>116</v>
      </c>
      <c r="E240" s="1173"/>
      <c r="F240" s="1173"/>
      <c r="G240" s="197">
        <v>50</v>
      </c>
    </row>
    <row r="241" spans="2:7" x14ac:dyDescent="0.25">
      <c r="B241" s="1171"/>
      <c r="D241" s="1173" t="s">
        <v>118</v>
      </c>
      <c r="E241" s="1173"/>
      <c r="F241" s="1173"/>
      <c r="G241" s="197">
        <v>320</v>
      </c>
    </row>
    <row r="242" spans="2:7" ht="15.75" thickBot="1" x14ac:dyDescent="0.3">
      <c r="B242" s="1172"/>
      <c r="D242" s="1173" t="s">
        <v>119</v>
      </c>
      <c r="E242" s="1173"/>
      <c r="F242" s="1173"/>
      <c r="G242" s="197">
        <v>50</v>
      </c>
    </row>
    <row r="243" spans="2:7" x14ac:dyDescent="0.25">
      <c r="B243" s="180">
        <v>125</v>
      </c>
      <c r="D243" s="1102" t="s">
        <v>120</v>
      </c>
      <c r="E243" s="1102"/>
      <c r="F243" s="1102"/>
      <c r="G243" s="195">
        <f>G239*G60/100</f>
        <v>-14.520200051961549</v>
      </c>
    </row>
    <row r="244" spans="2:7" ht="15.75" thickBot="1" x14ac:dyDescent="0.3">
      <c r="D244" s="1102" t="s">
        <v>121</v>
      </c>
      <c r="E244" s="1102"/>
      <c r="F244" s="1102"/>
      <c r="G244" s="195">
        <f>IF(B247="CLT",G238*G61/100,E407)</f>
        <v>132.00019485580674</v>
      </c>
    </row>
    <row r="245" spans="2:7" x14ac:dyDescent="0.25">
      <c r="B245" s="1174" t="s">
        <v>726</v>
      </c>
      <c r="D245" s="1102" t="s">
        <v>122</v>
      </c>
      <c r="E245" s="1102"/>
      <c r="F245" s="1102"/>
      <c r="G245" s="195">
        <f>G238*G62/100</f>
        <v>137.50000000000003</v>
      </c>
    </row>
    <row r="246" spans="2:7" ht="15.75" thickBot="1" x14ac:dyDescent="0.3">
      <c r="B246" s="1175"/>
      <c r="D246" s="1102" t="s">
        <v>123</v>
      </c>
      <c r="E246" s="1102"/>
      <c r="F246" s="1102"/>
      <c r="G246" s="195">
        <f>IF(B247="CLT",G238*G63/100,0)</f>
        <v>10.999610288386593</v>
      </c>
    </row>
    <row r="247" spans="2:7" x14ac:dyDescent="0.25">
      <c r="B247" s="560" t="s">
        <v>728</v>
      </c>
      <c r="D247" s="1102" t="s">
        <v>124</v>
      </c>
      <c r="E247" s="1102"/>
      <c r="F247" s="1102"/>
      <c r="G247" s="195">
        <f>G238*G64/100</f>
        <v>137.50000000000003</v>
      </c>
    </row>
    <row r="248" spans="2:7" x14ac:dyDescent="0.25">
      <c r="D248" s="1102" t="s">
        <v>126</v>
      </c>
      <c r="E248" s="1102"/>
      <c r="F248" s="1102"/>
      <c r="G248" s="195">
        <f>G238*G65/100</f>
        <v>45.834957131722533</v>
      </c>
    </row>
    <row r="249" spans="2:7" x14ac:dyDescent="0.25">
      <c r="D249" s="1102" t="s">
        <v>127</v>
      </c>
      <c r="E249" s="1102"/>
      <c r="F249" s="1102"/>
      <c r="G249" s="195">
        <f>IF(B247="CLT",G238*G66/100,0)</f>
        <v>14.667770849571319</v>
      </c>
    </row>
    <row r="250" spans="2:7" x14ac:dyDescent="0.25">
      <c r="D250" s="1075" t="s">
        <v>47</v>
      </c>
      <c r="E250" s="1075"/>
      <c r="F250" s="1075"/>
      <c r="G250" s="197">
        <f>G238*G67/100</f>
        <v>48.713951675759944</v>
      </c>
    </row>
    <row r="251" spans="2:7" ht="15" customHeight="1" x14ac:dyDescent="0.25">
      <c r="E251" s="91"/>
      <c r="F251" s="569" t="s">
        <v>103</v>
      </c>
      <c r="G251" s="570">
        <f>SUM(G238:G250)*G237</f>
        <v>2824.6962847492855</v>
      </c>
    </row>
    <row r="252" spans="2:7" x14ac:dyDescent="0.25">
      <c r="D252" s="1179"/>
      <c r="E252" s="1180"/>
      <c r="F252" s="1180"/>
      <c r="G252" s="97">
        <f>G238*100/G50</f>
        <v>125</v>
      </c>
    </row>
    <row r="253" spans="2:7" x14ac:dyDescent="0.25">
      <c r="C253" s="98">
        <f>C235+1</f>
        <v>11</v>
      </c>
      <c r="D253" s="1181" t="s">
        <v>146</v>
      </c>
      <c r="E253" s="1181"/>
      <c r="F253" s="1181"/>
      <c r="G253" s="1182"/>
    </row>
    <row r="254" spans="2:7" x14ac:dyDescent="0.25">
      <c r="C254" s="91"/>
      <c r="D254" s="1173" t="s">
        <v>131</v>
      </c>
      <c r="E254" s="1173"/>
      <c r="F254" s="1173"/>
      <c r="G254" s="40">
        <v>8</v>
      </c>
    </row>
    <row r="255" spans="2:7" x14ac:dyDescent="0.25">
      <c r="D255" s="1173" t="s">
        <v>132</v>
      </c>
      <c r="E255" s="1173"/>
      <c r="F255" s="1173"/>
      <c r="G255" s="40">
        <v>0</v>
      </c>
    </row>
    <row r="256" spans="2:7" ht="15.75" thickBot="1" x14ac:dyDescent="0.3">
      <c r="C256" s="65"/>
      <c r="D256" s="1102" t="s">
        <v>133</v>
      </c>
      <c r="E256" s="1102"/>
      <c r="F256" s="1102"/>
      <c r="G256" s="195">
        <f>G50*B261/100</f>
        <v>1584</v>
      </c>
    </row>
    <row r="257" spans="2:7" x14ac:dyDescent="0.25">
      <c r="B257" s="1170" t="s">
        <v>134</v>
      </c>
      <c r="C257" s="65"/>
      <c r="D257" s="1173" t="s">
        <v>115</v>
      </c>
      <c r="E257" s="1173"/>
      <c r="F257" s="1173"/>
      <c r="G257" s="197">
        <f>G36*F352</f>
        <v>242</v>
      </c>
    </row>
    <row r="258" spans="2:7" x14ac:dyDescent="0.25">
      <c r="B258" s="1171"/>
      <c r="D258" s="1173" t="s">
        <v>116</v>
      </c>
      <c r="E258" s="1173"/>
      <c r="F258" s="1173"/>
      <c r="G258" s="197">
        <v>50</v>
      </c>
    </row>
    <row r="259" spans="2:7" x14ac:dyDescent="0.25">
      <c r="B259" s="1171"/>
      <c r="D259" s="1173" t="s">
        <v>118</v>
      </c>
      <c r="E259" s="1173"/>
      <c r="F259" s="1173"/>
      <c r="G259" s="197">
        <v>320</v>
      </c>
    </row>
    <row r="260" spans="2:7" ht="15.75" thickBot="1" x14ac:dyDescent="0.3">
      <c r="B260" s="1172"/>
      <c r="D260" s="1173" t="s">
        <v>119</v>
      </c>
      <c r="E260" s="1173"/>
      <c r="F260" s="1173"/>
      <c r="G260" s="197">
        <v>50</v>
      </c>
    </row>
    <row r="261" spans="2:7" x14ac:dyDescent="0.25">
      <c r="B261" s="180">
        <v>120</v>
      </c>
      <c r="D261" s="1102" t="s">
        <v>120</v>
      </c>
      <c r="E261" s="1102"/>
      <c r="F261" s="1102"/>
      <c r="G261" s="195">
        <f>G257*G60/100</f>
        <v>-14.520200051961549</v>
      </c>
    </row>
    <row r="262" spans="2:7" ht="15.75" thickBot="1" x14ac:dyDescent="0.3">
      <c r="D262" s="1102" t="s">
        <v>121</v>
      </c>
      <c r="E262" s="1102"/>
      <c r="F262" s="1102"/>
      <c r="G262" s="195">
        <f>IF(B265="CLT",G256*G61/100,E407)</f>
        <v>126.72018706157445</v>
      </c>
    </row>
    <row r="263" spans="2:7" x14ac:dyDescent="0.25">
      <c r="B263" s="1174" t="s">
        <v>726</v>
      </c>
      <c r="D263" s="1102" t="s">
        <v>122</v>
      </c>
      <c r="E263" s="1102"/>
      <c r="F263" s="1102"/>
      <c r="G263" s="195">
        <f>G256*G62/100</f>
        <v>132.00000000000003</v>
      </c>
    </row>
    <row r="264" spans="2:7" ht="15.75" thickBot="1" x14ac:dyDescent="0.3">
      <c r="B264" s="1175"/>
      <c r="D264" s="1102" t="s">
        <v>123</v>
      </c>
      <c r="E264" s="1102"/>
      <c r="F264" s="1102"/>
      <c r="G264" s="195">
        <f>IF(B265="CLT",G256*G63/100,0)</f>
        <v>10.559625876851131</v>
      </c>
    </row>
    <row r="265" spans="2:7" x14ac:dyDescent="0.25">
      <c r="B265" s="560" t="s">
        <v>728</v>
      </c>
      <c r="D265" s="1102" t="s">
        <v>124</v>
      </c>
      <c r="E265" s="1102"/>
      <c r="F265" s="1102"/>
      <c r="G265" s="195">
        <f>G256*G64/100</f>
        <v>132.00000000000003</v>
      </c>
    </row>
    <row r="266" spans="2:7" x14ac:dyDescent="0.25">
      <c r="D266" s="1102" t="s">
        <v>126</v>
      </c>
      <c r="E266" s="1102"/>
      <c r="F266" s="1102"/>
      <c r="G266" s="195">
        <f>G256*G65/100</f>
        <v>44.001558846453626</v>
      </c>
    </row>
    <row r="267" spans="2:7" x14ac:dyDescent="0.25">
      <c r="D267" s="1102" t="s">
        <v>127</v>
      </c>
      <c r="E267" s="1102"/>
      <c r="F267" s="1102"/>
      <c r="G267" s="195">
        <f>IF(B265="CLT",G256*G66/100,0)</f>
        <v>14.081060015588465</v>
      </c>
    </row>
    <row r="268" spans="2:7" x14ac:dyDescent="0.25">
      <c r="D268" s="1075" t="s">
        <v>47</v>
      </c>
      <c r="E268" s="1075"/>
      <c r="F268" s="1075"/>
      <c r="G268" s="197">
        <f>G256*G67/100</f>
        <v>46.765393608729546</v>
      </c>
    </row>
    <row r="269" spans="2:7" ht="15" customHeight="1" x14ac:dyDescent="0.25">
      <c r="E269" s="91"/>
      <c r="F269" s="569" t="s">
        <v>103</v>
      </c>
      <c r="G269" s="570">
        <f>SUM(G256:G268)*G255</f>
        <v>0</v>
      </c>
    </row>
    <row r="270" spans="2:7" x14ac:dyDescent="0.25">
      <c r="D270" s="1179"/>
      <c r="E270" s="1180"/>
      <c r="F270" s="1180"/>
      <c r="G270" s="97">
        <f>G256*100/G50</f>
        <v>120</v>
      </c>
    </row>
    <row r="271" spans="2:7" x14ac:dyDescent="0.25">
      <c r="C271" s="98">
        <f>C253+1</f>
        <v>12</v>
      </c>
      <c r="D271" s="1181" t="s">
        <v>147</v>
      </c>
      <c r="E271" s="1181"/>
      <c r="F271" s="1181"/>
      <c r="G271" s="1182"/>
    </row>
    <row r="272" spans="2:7" x14ac:dyDescent="0.25">
      <c r="C272" s="91"/>
      <c r="D272" s="1173" t="s">
        <v>131</v>
      </c>
      <c r="E272" s="1173"/>
      <c r="F272" s="1173"/>
      <c r="G272" s="40">
        <v>8</v>
      </c>
    </row>
    <row r="273" spans="2:7" x14ac:dyDescent="0.25">
      <c r="D273" s="1173" t="s">
        <v>132</v>
      </c>
      <c r="E273" s="1173"/>
      <c r="F273" s="1173"/>
      <c r="G273" s="40">
        <v>1</v>
      </c>
    </row>
    <row r="274" spans="2:7" ht="15.75" thickBot="1" x14ac:dyDescent="0.3">
      <c r="C274" s="65"/>
      <c r="D274" s="1102" t="s">
        <v>133</v>
      </c>
      <c r="E274" s="1102"/>
      <c r="F274" s="1102"/>
      <c r="G274" s="195">
        <f>G50*B279/100</f>
        <v>1716</v>
      </c>
    </row>
    <row r="275" spans="2:7" x14ac:dyDescent="0.25">
      <c r="B275" s="1170" t="s">
        <v>134</v>
      </c>
      <c r="C275" s="65"/>
      <c r="D275" s="1173" t="s">
        <v>115</v>
      </c>
      <c r="E275" s="1173"/>
      <c r="F275" s="1173"/>
      <c r="G275" s="197">
        <f>G36*F352</f>
        <v>242</v>
      </c>
    </row>
    <row r="276" spans="2:7" x14ac:dyDescent="0.25">
      <c r="B276" s="1171"/>
      <c r="D276" s="1173" t="s">
        <v>116</v>
      </c>
      <c r="E276" s="1173"/>
      <c r="F276" s="1173"/>
      <c r="G276" s="197">
        <v>50</v>
      </c>
    </row>
    <row r="277" spans="2:7" x14ac:dyDescent="0.25">
      <c r="B277" s="1171"/>
      <c r="D277" s="1173" t="s">
        <v>118</v>
      </c>
      <c r="E277" s="1173"/>
      <c r="F277" s="1173"/>
      <c r="G277" s="197">
        <v>320</v>
      </c>
    </row>
    <row r="278" spans="2:7" ht="15.75" thickBot="1" x14ac:dyDescent="0.3">
      <c r="B278" s="1172"/>
      <c r="D278" s="1173" t="s">
        <v>119</v>
      </c>
      <c r="E278" s="1173"/>
      <c r="F278" s="1173"/>
      <c r="G278" s="197">
        <v>50</v>
      </c>
    </row>
    <row r="279" spans="2:7" x14ac:dyDescent="0.25">
      <c r="B279" s="180">
        <v>130</v>
      </c>
      <c r="D279" s="1102" t="s">
        <v>120</v>
      </c>
      <c r="E279" s="1102"/>
      <c r="F279" s="1102"/>
      <c r="G279" s="195">
        <f>G275*G60/100</f>
        <v>-14.520200051961549</v>
      </c>
    </row>
    <row r="280" spans="2:7" ht="15.75" thickBot="1" x14ac:dyDescent="0.3">
      <c r="D280" s="1102" t="s">
        <v>121</v>
      </c>
      <c r="E280" s="1102"/>
      <c r="F280" s="1102"/>
      <c r="G280" s="195">
        <f>IF(B283="CLT",G274*G61/100,E407)</f>
        <v>137.280202650039</v>
      </c>
    </row>
    <row r="281" spans="2:7" x14ac:dyDescent="0.25">
      <c r="B281" s="1174" t="s">
        <v>726</v>
      </c>
      <c r="D281" s="1102" t="s">
        <v>122</v>
      </c>
      <c r="E281" s="1102"/>
      <c r="F281" s="1102"/>
      <c r="G281" s="195">
        <f>G274*G62/100</f>
        <v>143.00000000000003</v>
      </c>
    </row>
    <row r="282" spans="2:7" ht="15.75" thickBot="1" x14ac:dyDescent="0.3">
      <c r="B282" s="1175"/>
      <c r="D282" s="1102" t="s">
        <v>123</v>
      </c>
      <c r="E282" s="1102"/>
      <c r="F282" s="1102"/>
      <c r="G282" s="195">
        <f>IF(B283="CLT",G274*G63/100,0)</f>
        <v>11.439594699922059</v>
      </c>
    </row>
    <row r="283" spans="2:7" x14ac:dyDescent="0.25">
      <c r="B283" s="560" t="s">
        <v>728</v>
      </c>
      <c r="D283" s="1102" t="s">
        <v>124</v>
      </c>
      <c r="E283" s="1102"/>
      <c r="F283" s="1102"/>
      <c r="G283" s="195">
        <f>G274*G64/100</f>
        <v>143.00000000000003</v>
      </c>
    </row>
    <row r="284" spans="2:7" x14ac:dyDescent="0.25">
      <c r="D284" s="1102" t="s">
        <v>126</v>
      </c>
      <c r="E284" s="1102"/>
      <c r="F284" s="1102"/>
      <c r="G284" s="195">
        <f>G274*G65/100</f>
        <v>47.668355416991425</v>
      </c>
    </row>
    <row r="285" spans="2:7" x14ac:dyDescent="0.25">
      <c r="D285" s="1102" t="s">
        <v>127</v>
      </c>
      <c r="E285" s="1102"/>
      <c r="F285" s="1102"/>
      <c r="G285" s="195">
        <f>IF(B283="CLT",G274*G66/100,0)</f>
        <v>15.25448168355417</v>
      </c>
    </row>
    <row r="286" spans="2:7" x14ac:dyDescent="0.25">
      <c r="D286" s="1075" t="s">
        <v>47</v>
      </c>
      <c r="E286" s="1075"/>
      <c r="F286" s="1075"/>
      <c r="G286" s="197">
        <f>G274*G67/100</f>
        <v>50.662509742790334</v>
      </c>
    </row>
    <row r="287" spans="2:7" ht="15" customHeight="1" x14ac:dyDescent="0.25">
      <c r="E287" s="91"/>
      <c r="F287" s="569" t="s">
        <v>103</v>
      </c>
      <c r="G287" s="570">
        <f>SUM(G274:G286)*G273</f>
        <v>2911.7849441413355</v>
      </c>
    </row>
    <row r="288" spans="2:7" x14ac:dyDescent="0.25">
      <c r="D288" s="1179"/>
      <c r="E288" s="1180"/>
      <c r="F288" s="1180"/>
      <c r="G288" s="97" t="e">
        <f>G274*100/F356</f>
        <v>#DIV/0!</v>
      </c>
    </row>
    <row r="289" spans="2:7" x14ac:dyDescent="0.25">
      <c r="C289" s="98">
        <f>C271+1</f>
        <v>13</v>
      </c>
      <c r="D289" s="1181" t="s">
        <v>148</v>
      </c>
      <c r="E289" s="1181"/>
      <c r="F289" s="1181"/>
      <c r="G289" s="1182"/>
    </row>
    <row r="290" spans="2:7" x14ac:dyDescent="0.25">
      <c r="C290" s="91"/>
      <c r="D290" s="1173" t="s">
        <v>131</v>
      </c>
      <c r="E290" s="1173"/>
      <c r="F290" s="1173"/>
      <c r="G290" s="40">
        <v>8</v>
      </c>
    </row>
    <row r="291" spans="2:7" x14ac:dyDescent="0.25">
      <c r="D291" s="1173" t="s">
        <v>132</v>
      </c>
      <c r="E291" s="1173"/>
      <c r="F291" s="1173"/>
      <c r="G291" s="40">
        <v>2</v>
      </c>
    </row>
    <row r="292" spans="2:7" ht="15.75" thickBot="1" x14ac:dyDescent="0.3">
      <c r="C292" s="65"/>
      <c r="D292" s="1173" t="s">
        <v>133</v>
      </c>
      <c r="E292" s="1173"/>
      <c r="F292" s="1173"/>
      <c r="G292" s="197">
        <f>G50*B297/100</f>
        <v>3960</v>
      </c>
    </row>
    <row r="293" spans="2:7" x14ac:dyDescent="0.25">
      <c r="B293" s="1170" t="s">
        <v>134</v>
      </c>
      <c r="C293" s="65"/>
      <c r="D293" s="1173" t="s">
        <v>115</v>
      </c>
      <c r="E293" s="1173"/>
      <c r="F293" s="1173"/>
      <c r="G293" s="197">
        <f>G36*F352</f>
        <v>242</v>
      </c>
    </row>
    <row r="294" spans="2:7" x14ac:dyDescent="0.25">
      <c r="B294" s="1171"/>
      <c r="D294" s="1173" t="s">
        <v>116</v>
      </c>
      <c r="E294" s="1173"/>
      <c r="F294" s="1173"/>
      <c r="G294" s="197">
        <v>0</v>
      </c>
    </row>
    <row r="295" spans="2:7" x14ac:dyDescent="0.25">
      <c r="B295" s="1171"/>
      <c r="D295" s="1173" t="s">
        <v>118</v>
      </c>
      <c r="E295" s="1173"/>
      <c r="F295" s="1173"/>
      <c r="G295" s="197">
        <v>320</v>
      </c>
    </row>
    <row r="296" spans="2:7" ht="15.75" thickBot="1" x14ac:dyDescent="0.3">
      <c r="B296" s="1172"/>
      <c r="D296" s="1173" t="s">
        <v>119</v>
      </c>
      <c r="E296" s="1173"/>
      <c r="F296" s="1173"/>
      <c r="G296" s="197">
        <v>0</v>
      </c>
    </row>
    <row r="297" spans="2:7" x14ac:dyDescent="0.25">
      <c r="B297" s="180">
        <v>300</v>
      </c>
      <c r="D297" s="1173" t="s">
        <v>120</v>
      </c>
      <c r="E297" s="1173"/>
      <c r="F297" s="1173"/>
      <c r="G297" s="197">
        <f>G293*G60/100</f>
        <v>-14.520200051961549</v>
      </c>
    </row>
    <row r="298" spans="2:7" ht="15.75" thickBot="1" x14ac:dyDescent="0.3">
      <c r="D298" s="1173" t="s">
        <v>121</v>
      </c>
      <c r="E298" s="1173"/>
      <c r="F298" s="1173"/>
      <c r="G298" s="197">
        <f>IF(B301="CLT",G292*G61/100,E407)</f>
        <v>66</v>
      </c>
    </row>
    <row r="299" spans="2:7" x14ac:dyDescent="0.25">
      <c r="B299" s="1174" t="s">
        <v>726</v>
      </c>
      <c r="D299" s="1173" t="s">
        <v>122</v>
      </c>
      <c r="E299" s="1173"/>
      <c r="F299" s="1173"/>
      <c r="G299" s="197">
        <f>G292*G62/100</f>
        <v>330</v>
      </c>
    </row>
    <row r="300" spans="2:7" ht="15.75" thickBot="1" x14ac:dyDescent="0.3">
      <c r="B300" s="1175"/>
      <c r="D300" s="1173" t="s">
        <v>123</v>
      </c>
      <c r="E300" s="1173"/>
      <c r="F300" s="1173"/>
      <c r="G300" s="197">
        <f>IF(B301="CLT",G292*G63/100,0)</f>
        <v>0</v>
      </c>
    </row>
    <row r="301" spans="2:7" ht="15" customHeight="1" x14ac:dyDescent="0.25">
      <c r="B301" s="560" t="s">
        <v>727</v>
      </c>
      <c r="D301" s="1173" t="s">
        <v>124</v>
      </c>
      <c r="E301" s="1173"/>
      <c r="F301" s="1173"/>
      <c r="G301" s="197">
        <f>G292*G64/100</f>
        <v>330</v>
      </c>
    </row>
    <row r="302" spans="2:7" ht="15" customHeight="1" x14ac:dyDescent="0.25">
      <c r="D302" s="1173" t="s">
        <v>126</v>
      </c>
      <c r="E302" s="1173"/>
      <c r="F302" s="1173"/>
      <c r="G302" s="197">
        <f>G292*G65/100</f>
        <v>110.00389711613407</v>
      </c>
    </row>
    <row r="303" spans="2:7" x14ac:dyDescent="0.25">
      <c r="D303" s="1173" t="s">
        <v>127</v>
      </c>
      <c r="E303" s="1173"/>
      <c r="F303" s="1173"/>
      <c r="G303" s="197">
        <f>IF(B301="CLT",G292*G66/100,0)</f>
        <v>0</v>
      </c>
    </row>
    <row r="304" spans="2:7" x14ac:dyDescent="0.25">
      <c r="D304" s="1075" t="s">
        <v>47</v>
      </c>
      <c r="E304" s="1075"/>
      <c r="F304" s="1075"/>
      <c r="G304" s="197">
        <f>G292*G285/100</f>
        <v>604.07747466874514</v>
      </c>
    </row>
    <row r="305" spans="3:7" x14ac:dyDescent="0.25">
      <c r="E305" s="91"/>
      <c r="F305" s="569" t="s">
        <v>103</v>
      </c>
      <c r="G305" s="570">
        <f>SUM(G292:G304)*G291</f>
        <v>11895.122343465835</v>
      </c>
    </row>
    <row r="306" spans="3:7" x14ac:dyDescent="0.25">
      <c r="D306" s="1179"/>
      <c r="E306" s="1180"/>
      <c r="F306" s="1180"/>
      <c r="G306" s="97">
        <f>G274*100/G50</f>
        <v>130</v>
      </c>
    </row>
    <row r="307" spans="3:7" x14ac:dyDescent="0.25">
      <c r="C307" s="1183" t="s">
        <v>18</v>
      </c>
      <c r="D307" s="1184"/>
      <c r="E307" s="1184"/>
      <c r="F307" s="1184"/>
      <c r="G307" s="1185"/>
    </row>
    <row r="308" spans="3:7" x14ac:dyDescent="0.25">
      <c r="C308" s="1186"/>
      <c r="D308" s="1187"/>
      <c r="E308" s="1187"/>
      <c r="F308" s="1187"/>
      <c r="G308" s="1188"/>
    </row>
    <row r="309" spans="3:7" ht="15" customHeight="1" x14ac:dyDescent="0.25">
      <c r="D309" s="161" t="s">
        <v>149</v>
      </c>
      <c r="E309" s="162">
        <v>1000</v>
      </c>
      <c r="F309" s="158" t="s">
        <v>150</v>
      </c>
      <c r="G309" s="199">
        <v>10000</v>
      </c>
    </row>
    <row r="310" spans="3:7" ht="15" customHeight="1" x14ac:dyDescent="0.25">
      <c r="D310" s="1084" t="s">
        <v>151</v>
      </c>
      <c r="E310" s="1084"/>
      <c r="F310" s="1084"/>
      <c r="G310" s="197">
        <v>700</v>
      </c>
    </row>
    <row r="311" spans="3:7" x14ac:dyDescent="0.25">
      <c r="D311" s="1110" t="s">
        <v>744</v>
      </c>
      <c r="E311" s="1111"/>
      <c r="F311" s="1112"/>
      <c r="G311" s="197">
        <v>500</v>
      </c>
    </row>
    <row r="312" spans="3:7" x14ac:dyDescent="0.25">
      <c r="D312" s="1075" t="s">
        <v>745</v>
      </c>
      <c r="E312" s="1075"/>
      <c r="F312" s="1075"/>
      <c r="G312" s="197">
        <v>180</v>
      </c>
    </row>
    <row r="313" spans="3:7" x14ac:dyDescent="0.25">
      <c r="D313" s="1075" t="s">
        <v>153</v>
      </c>
      <c r="E313" s="1075"/>
      <c r="F313" s="1075"/>
      <c r="G313" s="197">
        <v>200</v>
      </c>
    </row>
    <row r="314" spans="3:7" x14ac:dyDescent="0.25">
      <c r="D314" s="1173" t="s">
        <v>47</v>
      </c>
      <c r="E314" s="1173"/>
      <c r="F314" s="1173"/>
      <c r="G314" s="197">
        <f>100+(F54*5)</f>
        <v>180</v>
      </c>
    </row>
    <row r="315" spans="3:7" ht="15" customHeight="1" x14ac:dyDescent="0.25">
      <c r="D315" s="1189"/>
      <c r="E315" s="1189"/>
      <c r="F315" s="1189"/>
      <c r="G315" s="1189"/>
    </row>
    <row r="316" spans="3:7" x14ac:dyDescent="0.25">
      <c r="C316" s="1183" t="s">
        <v>57</v>
      </c>
      <c r="D316" s="1184"/>
      <c r="E316" s="1184"/>
      <c r="F316" s="1184"/>
      <c r="G316" s="1185"/>
    </row>
    <row r="317" spans="3:7" x14ac:dyDescent="0.25">
      <c r="C317" s="1186"/>
      <c r="D317" s="1190"/>
      <c r="E317" s="1190"/>
      <c r="F317" s="1190"/>
      <c r="G317" s="1188"/>
    </row>
    <row r="318" spans="3:7" x14ac:dyDescent="0.25">
      <c r="D318" s="1084" t="s">
        <v>154</v>
      </c>
      <c r="E318" s="1084"/>
      <c r="F318" s="1084"/>
      <c r="G318" s="200">
        <v>500</v>
      </c>
    </row>
    <row r="319" spans="3:7" x14ac:dyDescent="0.25">
      <c r="D319" s="1102" t="str">
        <f>D322</f>
        <v>Outras Despesas</v>
      </c>
      <c r="E319" s="1102"/>
      <c r="F319" s="1102"/>
      <c r="G319" s="195">
        <f>SUM(G324:G333)</f>
        <v>2000</v>
      </c>
    </row>
    <row r="320" spans="3:7" x14ac:dyDescent="0.25">
      <c r="D320" s="1173" t="s">
        <v>47</v>
      </c>
      <c r="E320" s="1173"/>
      <c r="F320" s="1173"/>
      <c r="G320" s="197">
        <v>0</v>
      </c>
    </row>
    <row r="321" spans="3:7" x14ac:dyDescent="0.25">
      <c r="D321" s="1191"/>
      <c r="E321" s="1191"/>
      <c r="F321" s="1191"/>
      <c r="G321" s="1191"/>
    </row>
    <row r="322" spans="3:7" x14ac:dyDescent="0.25">
      <c r="D322" s="1192" t="s">
        <v>69</v>
      </c>
      <c r="E322" s="1192"/>
      <c r="F322" s="1192"/>
      <c r="G322" s="1192"/>
    </row>
    <row r="323" spans="3:7" x14ac:dyDescent="0.25">
      <c r="D323" s="1192"/>
      <c r="E323" s="1192"/>
      <c r="F323" s="1192"/>
      <c r="G323" s="1192"/>
    </row>
    <row r="324" spans="3:7" x14ac:dyDescent="0.25">
      <c r="D324" s="1193" t="s">
        <v>155</v>
      </c>
      <c r="E324" s="1194"/>
      <c r="F324" s="1195"/>
      <c r="G324" s="197">
        <v>2000</v>
      </c>
    </row>
    <row r="325" spans="3:7" x14ac:dyDescent="0.25">
      <c r="D325" s="1193" t="s">
        <v>155</v>
      </c>
      <c r="E325" s="1194"/>
      <c r="F325" s="1195"/>
      <c r="G325" s="197">
        <v>0</v>
      </c>
    </row>
    <row r="326" spans="3:7" x14ac:dyDescent="0.25">
      <c r="D326" s="1193" t="s">
        <v>155</v>
      </c>
      <c r="E326" s="1194"/>
      <c r="F326" s="1195"/>
      <c r="G326" s="197">
        <v>0</v>
      </c>
    </row>
    <row r="327" spans="3:7" x14ac:dyDescent="0.25">
      <c r="D327" s="1193" t="s">
        <v>155</v>
      </c>
      <c r="E327" s="1194"/>
      <c r="F327" s="1195"/>
      <c r="G327" s="197">
        <v>0</v>
      </c>
    </row>
    <row r="328" spans="3:7" ht="15" customHeight="1" x14ac:dyDescent="0.25">
      <c r="D328" s="1193" t="s">
        <v>155</v>
      </c>
      <c r="E328" s="1194"/>
      <c r="F328" s="1195"/>
      <c r="G328" s="197">
        <v>0</v>
      </c>
    </row>
    <row r="329" spans="3:7" ht="15" customHeight="1" x14ac:dyDescent="0.25">
      <c r="D329" s="1193" t="s">
        <v>155</v>
      </c>
      <c r="E329" s="1194"/>
      <c r="F329" s="1195"/>
      <c r="G329" s="197">
        <v>0</v>
      </c>
    </row>
    <row r="330" spans="3:7" x14ac:dyDescent="0.25">
      <c r="D330" s="1193" t="s">
        <v>155</v>
      </c>
      <c r="E330" s="1194"/>
      <c r="F330" s="1195"/>
      <c r="G330" s="197">
        <v>0</v>
      </c>
    </row>
    <row r="331" spans="3:7" x14ac:dyDescent="0.25">
      <c r="D331" s="1193" t="s">
        <v>155</v>
      </c>
      <c r="E331" s="1194"/>
      <c r="F331" s="1195"/>
      <c r="G331" s="197">
        <v>0</v>
      </c>
    </row>
    <row r="332" spans="3:7" x14ac:dyDescent="0.25">
      <c r="D332" s="1193" t="s">
        <v>155</v>
      </c>
      <c r="E332" s="1194"/>
      <c r="F332" s="1195"/>
      <c r="G332" s="197">
        <v>0</v>
      </c>
    </row>
    <row r="333" spans="3:7" x14ac:dyDescent="0.25">
      <c r="D333" s="1193" t="s">
        <v>155</v>
      </c>
      <c r="E333" s="1194"/>
      <c r="F333" s="1195"/>
      <c r="G333" s="197">
        <v>0</v>
      </c>
    </row>
    <row r="334" spans="3:7" x14ac:dyDescent="0.25">
      <c r="D334" s="1120"/>
      <c r="E334" s="1120"/>
      <c r="F334" s="1120"/>
      <c r="G334" s="1120"/>
    </row>
    <row r="335" spans="3:7" x14ac:dyDescent="0.25">
      <c r="C335" s="1183" t="s">
        <v>156</v>
      </c>
      <c r="D335" s="1184"/>
      <c r="E335" s="1184"/>
      <c r="F335" s="1184"/>
      <c r="G335" s="1185"/>
    </row>
    <row r="336" spans="3:7" x14ac:dyDescent="0.25">
      <c r="C336" s="1186"/>
      <c r="D336" s="1190"/>
      <c r="E336" s="1190"/>
      <c r="F336" s="1190"/>
      <c r="G336" s="1188"/>
    </row>
    <row r="337" spans="3:7" x14ac:dyDescent="0.25">
      <c r="C337" s="1196" t="s">
        <v>157</v>
      </c>
      <c r="D337" s="1197"/>
      <c r="E337" s="1198"/>
      <c r="F337" s="99" t="s">
        <v>158</v>
      </c>
      <c r="G337" s="100" t="s">
        <v>159</v>
      </c>
    </row>
    <row r="338" spans="3:7" x14ac:dyDescent="0.25">
      <c r="C338" s="1199" t="s">
        <v>160</v>
      </c>
      <c r="D338" s="1200"/>
      <c r="E338" s="1201"/>
      <c r="F338" s="197" t="s">
        <v>161</v>
      </c>
      <c r="G338" s="101">
        <v>43831</v>
      </c>
    </row>
    <row r="339" spans="3:7" x14ac:dyDescent="0.25">
      <c r="C339" s="1199" t="s">
        <v>162</v>
      </c>
      <c r="D339" s="1200"/>
      <c r="E339" s="1201"/>
      <c r="F339" s="197" t="s">
        <v>163</v>
      </c>
      <c r="G339" s="101">
        <v>43466</v>
      </c>
    </row>
    <row r="340" spans="3:7" x14ac:dyDescent="0.25">
      <c r="C340" s="1199" t="s">
        <v>164</v>
      </c>
      <c r="D340" s="1200"/>
      <c r="E340" s="1201"/>
      <c r="F340" s="197" t="s">
        <v>165</v>
      </c>
      <c r="G340" s="101">
        <v>43101</v>
      </c>
    </row>
    <row r="341" spans="3:7" x14ac:dyDescent="0.25">
      <c r="C341" s="1199"/>
      <c r="D341" s="1200"/>
      <c r="E341" s="1201"/>
      <c r="F341" s="197"/>
      <c r="G341" s="101"/>
    </row>
    <row r="342" spans="3:7" x14ac:dyDescent="0.25">
      <c r="C342" s="1199"/>
      <c r="D342" s="1200"/>
      <c r="E342" s="1201"/>
      <c r="F342" s="197"/>
      <c r="G342" s="101"/>
    </row>
    <row r="343" spans="3:7" x14ac:dyDescent="0.25">
      <c r="C343" s="1199"/>
      <c r="D343" s="1200"/>
      <c r="E343" s="1201"/>
      <c r="F343" s="197"/>
      <c r="G343" s="101"/>
    </row>
    <row r="344" spans="3:7" x14ac:dyDescent="0.25">
      <c r="C344" s="1199"/>
      <c r="D344" s="1200"/>
      <c r="E344" s="1201"/>
      <c r="F344" s="197"/>
      <c r="G344" s="101"/>
    </row>
    <row r="345" spans="3:7" x14ac:dyDescent="0.25">
      <c r="C345" s="1199"/>
      <c r="D345" s="1200"/>
      <c r="E345" s="1201"/>
      <c r="F345" s="197"/>
      <c r="G345" s="101"/>
    </row>
    <row r="346" spans="3:7" x14ac:dyDescent="0.25">
      <c r="C346" s="1199"/>
      <c r="D346" s="1200"/>
      <c r="E346" s="1201"/>
      <c r="F346" s="197"/>
      <c r="G346" s="101"/>
    </row>
    <row r="347" spans="3:7" x14ac:dyDescent="0.25">
      <c r="C347" s="1199"/>
      <c r="D347" s="1200"/>
      <c r="E347" s="1201"/>
      <c r="F347" s="197"/>
      <c r="G347" s="101"/>
    </row>
    <row r="348" spans="3:7" x14ac:dyDescent="0.25">
      <c r="C348" s="1199"/>
      <c r="D348" s="1200"/>
      <c r="E348" s="1201"/>
      <c r="F348" s="197"/>
      <c r="G348" s="101"/>
    </row>
    <row r="349" spans="3:7" ht="15" customHeight="1" x14ac:dyDescent="0.25">
      <c r="C349" s="1199"/>
      <c r="D349" s="1200"/>
      <c r="E349" s="1201"/>
      <c r="F349" s="197"/>
      <c r="G349" s="101"/>
    </row>
    <row r="350" spans="3:7" ht="15" customHeight="1" x14ac:dyDescent="0.25">
      <c r="C350" s="1199"/>
      <c r="D350" s="1200"/>
      <c r="E350" s="1201"/>
      <c r="F350" s="197"/>
      <c r="G350" s="101"/>
    </row>
    <row r="351" spans="3:7" x14ac:dyDescent="0.25">
      <c r="C351" s="1199" t="s">
        <v>166</v>
      </c>
      <c r="D351" s="1200"/>
      <c r="E351" s="1201"/>
      <c r="F351" s="197">
        <v>5.5</v>
      </c>
      <c r="G351" s="101"/>
    </row>
    <row r="352" spans="3:7" ht="15" customHeight="1" x14ac:dyDescent="0.25">
      <c r="C352" s="1199" t="s">
        <v>167</v>
      </c>
      <c r="D352" s="1200"/>
      <c r="E352" s="1201"/>
      <c r="F352" s="197">
        <f>F351*2</f>
        <v>11</v>
      </c>
      <c r="G352" s="101"/>
    </row>
    <row r="353" spans="3:8" x14ac:dyDescent="0.25">
      <c r="C353" s="1199"/>
      <c r="D353" s="1200"/>
      <c r="E353" s="1201"/>
      <c r="F353" s="197"/>
      <c r="G353" s="101"/>
    </row>
    <row r="354" spans="3:8" x14ac:dyDescent="0.25">
      <c r="C354" s="1218"/>
      <c r="D354" s="1219"/>
      <c r="E354" s="1219"/>
      <c r="F354" s="1219"/>
      <c r="G354" s="1220"/>
    </row>
    <row r="355" spans="3:8" x14ac:dyDescent="0.25">
      <c r="C355" s="1221"/>
      <c r="D355" s="1222"/>
      <c r="E355" s="1222"/>
      <c r="F355" s="1222"/>
      <c r="G355" s="1223"/>
    </row>
    <row r="356" spans="3:8" x14ac:dyDescent="0.25">
      <c r="C356" s="1183" t="s">
        <v>168</v>
      </c>
      <c r="D356" s="1184"/>
      <c r="E356" s="1184"/>
      <c r="F356" s="1184"/>
      <c r="G356" s="1185"/>
    </row>
    <row r="357" spans="3:8" x14ac:dyDescent="0.25">
      <c r="C357" s="1186"/>
      <c r="D357" s="1190"/>
      <c r="E357" s="1190"/>
      <c r="F357" s="1190"/>
      <c r="G357" s="1188"/>
    </row>
    <row r="358" spans="3:8" x14ac:dyDescent="0.25">
      <c r="C358" s="1224" t="s">
        <v>169</v>
      </c>
      <c r="D358" s="1225"/>
      <c r="E358" s="1225"/>
      <c r="F358" s="1225"/>
      <c r="G358" s="1226"/>
    </row>
    <row r="359" spans="3:8" x14ac:dyDescent="0.25">
      <c r="C359" s="1227" t="s">
        <v>170</v>
      </c>
      <c r="D359" s="1216"/>
      <c r="E359" s="1216"/>
      <c r="F359" s="1216"/>
      <c r="G359" s="1217"/>
    </row>
    <row r="360" spans="3:8" x14ac:dyDescent="0.25">
      <c r="C360" s="1215"/>
      <c r="D360" s="1216"/>
      <c r="E360" s="1216"/>
      <c r="F360" s="1216"/>
      <c r="G360" s="1217"/>
    </row>
    <row r="361" spans="3:8" x14ac:dyDescent="0.25">
      <c r="C361" s="1215"/>
      <c r="D361" s="1216"/>
      <c r="E361" s="1216"/>
      <c r="F361" s="1216"/>
      <c r="G361" s="1217"/>
    </row>
    <row r="362" spans="3:8" x14ac:dyDescent="0.25">
      <c r="C362" s="1215"/>
      <c r="D362" s="1216"/>
      <c r="E362" s="1216"/>
      <c r="F362" s="1216"/>
      <c r="G362" s="1217"/>
    </row>
    <row r="363" spans="3:8" x14ac:dyDescent="0.25">
      <c r="C363" s="1215"/>
      <c r="D363" s="1216"/>
      <c r="E363" s="1216"/>
      <c r="F363" s="1216"/>
      <c r="G363" s="1217"/>
    </row>
    <row r="364" spans="3:8" x14ac:dyDescent="0.25">
      <c r="C364" s="1215"/>
      <c r="D364" s="1216"/>
      <c r="E364" s="1216"/>
      <c r="F364" s="1216"/>
      <c r="G364" s="1217"/>
    </row>
    <row r="365" spans="3:8" x14ac:dyDescent="0.25">
      <c r="C365" s="1215"/>
      <c r="D365" s="1216"/>
      <c r="E365" s="1216"/>
      <c r="F365" s="1216"/>
      <c r="G365" s="1217"/>
      <c r="H365" s="102"/>
    </row>
    <row r="366" spans="3:8" x14ac:dyDescent="0.25">
      <c r="C366" s="1215"/>
      <c r="D366" s="1216"/>
      <c r="E366" s="1216"/>
      <c r="F366" s="1216"/>
      <c r="G366" s="1217"/>
      <c r="H366" s="102"/>
    </row>
    <row r="367" spans="3:8" x14ac:dyDescent="0.25">
      <c r="C367" s="1215"/>
      <c r="D367" s="1216"/>
      <c r="E367" s="1216"/>
      <c r="F367" s="1216"/>
      <c r="G367" s="1217"/>
      <c r="H367" s="102"/>
    </row>
    <row r="368" spans="3:8" x14ac:dyDescent="0.25">
      <c r="C368" s="1215"/>
      <c r="D368" s="1216"/>
      <c r="E368" s="1216"/>
      <c r="F368" s="1216"/>
      <c r="G368" s="1217"/>
      <c r="H368" s="102"/>
    </row>
    <row r="369" spans="3:8" x14ac:dyDescent="0.25">
      <c r="C369" s="1215"/>
      <c r="D369" s="1216"/>
      <c r="E369" s="1216"/>
      <c r="F369" s="1216"/>
      <c r="G369" s="1217"/>
      <c r="H369" s="102"/>
    </row>
    <row r="370" spans="3:8" x14ac:dyDescent="0.25">
      <c r="C370" s="1215"/>
      <c r="D370" s="1216"/>
      <c r="E370" s="1216"/>
      <c r="F370" s="1216"/>
      <c r="G370" s="1217"/>
      <c r="H370" s="102"/>
    </row>
    <row r="371" spans="3:8" x14ac:dyDescent="0.25">
      <c r="C371" s="1215"/>
      <c r="D371" s="1216"/>
      <c r="E371" s="1216"/>
      <c r="F371" s="1216"/>
      <c r="G371" s="1217"/>
      <c r="H371" s="102"/>
    </row>
    <row r="372" spans="3:8" x14ac:dyDescent="0.25">
      <c r="C372" s="1215"/>
      <c r="D372" s="1216"/>
      <c r="E372" s="1216"/>
      <c r="F372" s="1216"/>
      <c r="G372" s="1217"/>
      <c r="H372" s="102"/>
    </row>
    <row r="373" spans="3:8" x14ac:dyDescent="0.25">
      <c r="C373" s="1215"/>
      <c r="D373" s="1216"/>
      <c r="E373" s="1216"/>
      <c r="F373" s="1216"/>
      <c r="G373" s="1217"/>
      <c r="H373" s="102"/>
    </row>
    <row r="374" spans="3:8" x14ac:dyDescent="0.25">
      <c r="C374" s="1215"/>
      <c r="D374" s="1216"/>
      <c r="E374" s="1216"/>
      <c r="F374" s="1216"/>
      <c r="G374" s="1217"/>
      <c r="H374" s="102"/>
    </row>
    <row r="375" spans="3:8" x14ac:dyDescent="0.25">
      <c r="C375" s="1215"/>
      <c r="D375" s="1216"/>
      <c r="E375" s="1216"/>
      <c r="F375" s="1216"/>
      <c r="G375" s="1217"/>
      <c r="H375" s="102"/>
    </row>
    <row r="376" spans="3:8" x14ac:dyDescent="0.25">
      <c r="C376" s="1215"/>
      <c r="D376" s="1216"/>
      <c r="E376" s="1216"/>
      <c r="F376" s="1216"/>
      <c r="G376" s="1217"/>
      <c r="H376" s="102"/>
    </row>
    <row r="377" spans="3:8" x14ac:dyDescent="0.25">
      <c r="C377" s="1215"/>
      <c r="D377" s="1216"/>
      <c r="E377" s="1216"/>
      <c r="F377" s="1216"/>
      <c r="G377" s="1217"/>
      <c r="H377" s="102"/>
    </row>
    <row r="378" spans="3:8" x14ac:dyDescent="0.25">
      <c r="C378" s="1215"/>
      <c r="D378" s="1216"/>
      <c r="E378" s="1216"/>
      <c r="F378" s="1216"/>
      <c r="G378" s="1217"/>
      <c r="H378" s="102"/>
    </row>
    <row r="379" spans="3:8" x14ac:dyDescent="0.25">
      <c r="C379" s="1215"/>
      <c r="D379" s="1216"/>
      <c r="E379" s="1216"/>
      <c r="F379" s="1216"/>
      <c r="G379" s="1217"/>
      <c r="H379" s="102"/>
    </row>
    <row r="380" spans="3:8" x14ac:dyDescent="0.25">
      <c r="C380" s="103"/>
      <c r="D380" s="104"/>
      <c r="E380" s="104"/>
      <c r="F380" s="104"/>
      <c r="G380" s="105"/>
      <c r="H380" s="102"/>
    </row>
    <row r="381" spans="3:8" x14ac:dyDescent="0.25">
      <c r="H381" s="102"/>
    </row>
    <row r="382" spans="3:8" x14ac:dyDescent="0.25">
      <c r="H382" s="102"/>
    </row>
    <row r="383" spans="3:8" x14ac:dyDescent="0.25">
      <c r="C383" s="102"/>
      <c r="D383" s="102"/>
      <c r="E383" s="102"/>
      <c r="F383" s="102"/>
      <c r="G383" s="102"/>
      <c r="H383" s="102"/>
    </row>
    <row r="384" spans="3:8" x14ac:dyDescent="0.25">
      <c r="C384" s="1211" t="s">
        <v>171</v>
      </c>
      <c r="D384" s="1212"/>
      <c r="E384" s="1212"/>
      <c r="F384" s="1212"/>
      <c r="G384" s="1213"/>
      <c r="H384" s="102"/>
    </row>
    <row r="385" spans="1:8" x14ac:dyDescent="0.25">
      <c r="A385" s="39"/>
      <c r="B385" s="102"/>
      <c r="C385" s="1179" t="s">
        <v>172</v>
      </c>
      <c r="D385" s="1180"/>
      <c r="E385" s="1180"/>
      <c r="F385" s="1180"/>
      <c r="G385" s="1214"/>
      <c r="H385" s="39"/>
    </row>
    <row r="386" spans="1:8" x14ac:dyDescent="0.25">
      <c r="A386" s="39"/>
      <c r="C386" s="1173" t="s">
        <v>133</v>
      </c>
      <c r="D386" s="1173"/>
      <c r="E386" s="1173"/>
      <c r="F386" s="197">
        <v>3387.12</v>
      </c>
      <c r="G386" s="81">
        <f>F386*100/F386</f>
        <v>100</v>
      </c>
    </row>
    <row r="387" spans="1:8" x14ac:dyDescent="0.25">
      <c r="A387" s="39"/>
      <c r="C387" s="1173" t="s">
        <v>115</v>
      </c>
      <c r="D387" s="1173"/>
      <c r="E387" s="1173"/>
      <c r="F387" s="197">
        <f>G36*11</f>
        <v>242</v>
      </c>
      <c r="G387" s="567">
        <f>F387*100/F386</f>
        <v>7.144712912444791</v>
      </c>
    </row>
    <row r="388" spans="1:8" x14ac:dyDescent="0.25">
      <c r="A388" s="39"/>
      <c r="C388" s="1173" t="s">
        <v>116</v>
      </c>
      <c r="D388" s="1173"/>
      <c r="E388" s="1173"/>
      <c r="F388" s="197">
        <v>50</v>
      </c>
      <c r="G388" s="567">
        <f>F388*100/F386</f>
        <v>1.4761803538109073</v>
      </c>
    </row>
    <row r="389" spans="1:8" x14ac:dyDescent="0.25">
      <c r="A389" s="39"/>
      <c r="C389" s="1173" t="s">
        <v>118</v>
      </c>
      <c r="D389" s="1173"/>
      <c r="E389" s="1173"/>
      <c r="F389" s="197">
        <f>G36*15</f>
        <v>330</v>
      </c>
      <c r="G389" s="567">
        <f>F389*100/F386</f>
        <v>9.7427903351519873</v>
      </c>
    </row>
    <row r="390" spans="1:8" x14ac:dyDescent="0.25">
      <c r="A390" s="39"/>
      <c r="C390" s="1173" t="s">
        <v>119</v>
      </c>
      <c r="D390" s="1173"/>
      <c r="E390" s="1173"/>
      <c r="F390" s="197">
        <v>50</v>
      </c>
      <c r="G390" s="567">
        <f>F390*100/F386</f>
        <v>1.4761803538109073</v>
      </c>
      <c r="H390" s="39"/>
    </row>
    <row r="391" spans="1:8" x14ac:dyDescent="0.25">
      <c r="A391" s="39"/>
      <c r="C391" s="1173" t="s">
        <v>120</v>
      </c>
      <c r="D391" s="1173"/>
      <c r="E391" s="1173"/>
      <c r="F391" s="197">
        <v>-203.23</v>
      </c>
      <c r="G391" s="567">
        <f>F391*100/F386</f>
        <v>-6.0000826660998134</v>
      </c>
      <c r="H391" s="39"/>
    </row>
    <row r="392" spans="1:8" ht="15" customHeight="1" x14ac:dyDescent="0.25">
      <c r="A392" s="39"/>
      <c r="C392" s="1173" t="s">
        <v>121</v>
      </c>
      <c r="D392" s="1173"/>
      <c r="E392" s="1173"/>
      <c r="F392" s="197">
        <v>270.97000000000003</v>
      </c>
      <c r="G392" s="567">
        <f>F392*100/F386</f>
        <v>8.0000118094428316</v>
      </c>
      <c r="H392" s="39"/>
    </row>
    <row r="393" spans="1:8" x14ac:dyDescent="0.25">
      <c r="A393" s="39"/>
      <c r="C393" s="1173" t="s">
        <v>122</v>
      </c>
      <c r="D393" s="1173"/>
      <c r="E393" s="1173"/>
      <c r="F393" s="197">
        <v>282.26</v>
      </c>
      <c r="G393" s="567">
        <f>F393*100/F386</f>
        <v>8.3333333333333339</v>
      </c>
      <c r="H393" s="39"/>
    </row>
    <row r="394" spans="1:8" x14ac:dyDescent="0.25">
      <c r="A394" s="39"/>
      <c r="C394" s="1173" t="s">
        <v>123</v>
      </c>
      <c r="D394" s="1173"/>
      <c r="E394" s="1173"/>
      <c r="F394" s="197">
        <v>22.58</v>
      </c>
      <c r="G394" s="567">
        <f>F394*100/F386</f>
        <v>0.66664304778100569</v>
      </c>
      <c r="H394" s="39"/>
    </row>
    <row r="395" spans="1:8" x14ac:dyDescent="0.25">
      <c r="A395" s="39"/>
      <c r="C395" s="1173" t="s">
        <v>124</v>
      </c>
      <c r="D395" s="1173"/>
      <c r="E395" s="1173"/>
      <c r="F395" s="197">
        <v>282.26</v>
      </c>
      <c r="G395" s="567">
        <f>F395*100/F386</f>
        <v>8.3333333333333339</v>
      </c>
      <c r="H395" s="39"/>
    </row>
    <row r="396" spans="1:8" x14ac:dyDescent="0.25">
      <c r="A396" s="39"/>
      <c r="C396" s="1173" t="s">
        <v>126</v>
      </c>
      <c r="D396" s="1173"/>
      <c r="E396" s="1173"/>
      <c r="F396" s="197">
        <v>94.09</v>
      </c>
      <c r="G396" s="567">
        <f>F396*100/F386</f>
        <v>2.7778761898013653</v>
      </c>
      <c r="H396" s="39"/>
    </row>
    <row r="397" spans="1:8" x14ac:dyDescent="0.25">
      <c r="A397" s="39"/>
      <c r="C397" s="1173" t="s">
        <v>127</v>
      </c>
      <c r="D397" s="1173"/>
      <c r="E397" s="1173"/>
      <c r="F397" s="197">
        <v>30.11</v>
      </c>
      <c r="G397" s="567">
        <f>F397*100/F386</f>
        <v>0.88895580906492833</v>
      </c>
      <c r="H397" s="39"/>
    </row>
    <row r="398" spans="1:8" x14ac:dyDescent="0.25">
      <c r="A398" s="39"/>
      <c r="C398" s="1173" t="s">
        <v>47</v>
      </c>
      <c r="D398" s="1173"/>
      <c r="E398" s="1173"/>
      <c r="F398" s="197">
        <v>100</v>
      </c>
      <c r="G398" s="567">
        <f>F398*100/F386</f>
        <v>2.9523607076218146</v>
      </c>
      <c r="H398" s="39"/>
    </row>
    <row r="399" spans="1:8" x14ac:dyDescent="0.25">
      <c r="A399" s="39"/>
      <c r="D399" s="91"/>
      <c r="E399" s="569" t="s">
        <v>103</v>
      </c>
      <c r="F399" s="570">
        <f>SUM(F386:F398)</f>
        <v>4938.16</v>
      </c>
      <c r="G399" s="568">
        <f>SUM(G386:G398)/100</f>
        <v>1.4579229551949737</v>
      </c>
      <c r="H399" s="39"/>
    </row>
    <row r="400" spans="1:8" x14ac:dyDescent="0.25">
      <c r="A400" s="39"/>
      <c r="C400" s="1202" t="s">
        <v>173</v>
      </c>
      <c r="D400" s="1203"/>
      <c r="E400" s="1203"/>
      <c r="F400" s="1203"/>
      <c r="G400" s="1204"/>
      <c r="H400" s="39"/>
    </row>
    <row r="401" spans="1:8" x14ac:dyDescent="0.25">
      <c r="A401" s="39"/>
      <c r="C401" s="1205"/>
      <c r="D401" s="1206"/>
      <c r="E401" s="1206"/>
      <c r="F401" s="1206"/>
      <c r="G401" s="1207"/>
      <c r="H401" s="39"/>
    </row>
    <row r="402" spans="1:8" x14ac:dyDescent="0.25">
      <c r="A402" s="39"/>
      <c r="C402" s="1205"/>
      <c r="D402" s="1206"/>
      <c r="E402" s="1206"/>
      <c r="F402" s="1206"/>
      <c r="G402" s="1207"/>
      <c r="H402" s="39"/>
    </row>
    <row r="403" spans="1:8" x14ac:dyDescent="0.25">
      <c r="A403" s="39"/>
      <c r="C403" s="1208"/>
      <c r="D403" s="1209"/>
      <c r="E403" s="1209"/>
      <c r="F403" s="1209"/>
      <c r="G403" s="1210"/>
      <c r="H403" s="39"/>
    </row>
    <row r="404" spans="1:8" x14ac:dyDescent="0.25">
      <c r="A404" s="39"/>
      <c r="H404" s="39"/>
    </row>
    <row r="405" spans="1:8" x14ac:dyDescent="0.25">
      <c r="C405" s="1273" t="s">
        <v>732</v>
      </c>
      <c r="D405" s="1273"/>
      <c r="E405" s="561" t="s">
        <v>733</v>
      </c>
    </row>
    <row r="406" spans="1:8" x14ac:dyDescent="0.25">
      <c r="D406" s="562" t="s">
        <v>728</v>
      </c>
      <c r="E406" s="563" t="s">
        <v>734</v>
      </c>
    </row>
    <row r="407" spans="1:8" x14ac:dyDescent="0.25">
      <c r="D407" s="564" t="s">
        <v>727</v>
      </c>
      <c r="E407" s="565">
        <f>G50*5%</f>
        <v>66</v>
      </c>
    </row>
    <row r="408" spans="1:8" x14ac:dyDescent="0.25">
      <c r="D408" s="563"/>
      <c r="E408" s="563"/>
    </row>
  </sheetData>
  <sheetProtection algorithmName="SHA-512" hashValue="Sx4D/SeIzA2TuqjupNqibOdeIZwKKqtfHG/E/RYMToLI9PuMkldV4R8nPveKxOABd9zF1oqDyjbcUhJux9Nveg==" saltValue="+MMGiMC8gyXDZNyvnqxjew==" spinCount="100000" sheet="1" selectLockedCells="1"/>
  <mergeCells count="547">
    <mergeCell ref="V14:W14"/>
    <mergeCell ref="V15:W15"/>
    <mergeCell ref="V16:W16"/>
    <mergeCell ref="V18:W18"/>
    <mergeCell ref="V19:W19"/>
    <mergeCell ref="V20:W20"/>
    <mergeCell ref="X12:Z12"/>
    <mergeCell ref="V12:W12"/>
    <mergeCell ref="V10:X10"/>
    <mergeCell ref="Y10:Z10"/>
    <mergeCell ref="V13:W13"/>
    <mergeCell ref="B281:B282"/>
    <mergeCell ref="B299:B300"/>
    <mergeCell ref="C405:D405"/>
    <mergeCell ref="C29:F31"/>
    <mergeCell ref="E70:H70"/>
    <mergeCell ref="C37:C40"/>
    <mergeCell ref="D39:F39"/>
    <mergeCell ref="D43:G44"/>
    <mergeCell ref="D45:F46"/>
    <mergeCell ref="G45:G46"/>
    <mergeCell ref="D47:G47"/>
    <mergeCell ref="B119:B120"/>
    <mergeCell ref="B137:B138"/>
    <mergeCell ref="B155:B156"/>
    <mergeCell ref="B173:B174"/>
    <mergeCell ref="B191:B192"/>
    <mergeCell ref="B209:B210"/>
    <mergeCell ref="B227:B228"/>
    <mergeCell ref="B245:B246"/>
    <mergeCell ref="B263:B264"/>
    <mergeCell ref="C55:E55"/>
    <mergeCell ref="C56:E56"/>
    <mergeCell ref="C57:E57"/>
    <mergeCell ref="C58:E58"/>
    <mergeCell ref="R2:S2"/>
    <mergeCell ref="P3:Q3"/>
    <mergeCell ref="R3:S3"/>
    <mergeCell ref="P12:Q12"/>
    <mergeCell ref="P53:Q53"/>
    <mergeCell ref="B21:H22"/>
    <mergeCell ref="P10:Q11"/>
    <mergeCell ref="P51:Q52"/>
    <mergeCell ref="C54:E54"/>
    <mergeCell ref="B27:F27"/>
    <mergeCell ref="C12:F12"/>
    <mergeCell ref="D37:F37"/>
    <mergeCell ref="K39:M39"/>
    <mergeCell ref="L49:N49"/>
    <mergeCell ref="D38:F38"/>
    <mergeCell ref="D40:F40"/>
    <mergeCell ref="D41:F41"/>
    <mergeCell ref="D42:G42"/>
    <mergeCell ref="C48:G49"/>
    <mergeCell ref="D50:F50"/>
    <mergeCell ref="C51:G51"/>
    <mergeCell ref="C52:E52"/>
    <mergeCell ref="C53:E53"/>
    <mergeCell ref="C33:C34"/>
    <mergeCell ref="C59:E59"/>
    <mergeCell ref="C60:E60"/>
    <mergeCell ref="B3:B4"/>
    <mergeCell ref="K51:N51"/>
    <mergeCell ref="K52:N52"/>
    <mergeCell ref="K53:M53"/>
    <mergeCell ref="K50:M50"/>
    <mergeCell ref="K27:M27"/>
    <mergeCell ref="K29:M29"/>
    <mergeCell ref="K30:M30"/>
    <mergeCell ref="L8:N8"/>
    <mergeCell ref="C11:F11"/>
    <mergeCell ref="C13:F13"/>
    <mergeCell ref="C14:F14"/>
    <mergeCell ref="C15:F16"/>
    <mergeCell ref="G15:G16"/>
    <mergeCell ref="C17:F18"/>
    <mergeCell ref="G17:G18"/>
    <mergeCell ref="D24:E24"/>
    <mergeCell ref="F24:G24"/>
    <mergeCell ref="K24:M24"/>
    <mergeCell ref="D25:E25"/>
    <mergeCell ref="F25:G25"/>
    <mergeCell ref="C10:F10"/>
    <mergeCell ref="C378:G378"/>
    <mergeCell ref="C379:G379"/>
    <mergeCell ref="C393:E393"/>
    <mergeCell ref="C394:E394"/>
    <mergeCell ref="C395:E395"/>
    <mergeCell ref="C396:E396"/>
    <mergeCell ref="C366:G366"/>
    <mergeCell ref="C367:G367"/>
    <mergeCell ref="C368:G368"/>
    <mergeCell ref="C375:G375"/>
    <mergeCell ref="C376:G376"/>
    <mergeCell ref="C377:G377"/>
    <mergeCell ref="C349:E349"/>
    <mergeCell ref="C350:E350"/>
    <mergeCell ref="C351:E351"/>
    <mergeCell ref="C352:E352"/>
    <mergeCell ref="C353:E353"/>
    <mergeCell ref="C354:G355"/>
    <mergeCell ref="C356:G357"/>
    <mergeCell ref="C358:G358"/>
    <mergeCell ref="C359:G359"/>
    <mergeCell ref="C360:G360"/>
    <mergeCell ref="C361:G361"/>
    <mergeCell ref="C362:G362"/>
    <mergeCell ref="C369:G369"/>
    <mergeCell ref="C370:G370"/>
    <mergeCell ref="C371:G371"/>
    <mergeCell ref="C372:G372"/>
    <mergeCell ref="C373:G373"/>
    <mergeCell ref="C374:G374"/>
    <mergeCell ref="C363:G363"/>
    <mergeCell ref="C364:G364"/>
    <mergeCell ref="C365:G365"/>
    <mergeCell ref="C398:E398"/>
    <mergeCell ref="C400:G403"/>
    <mergeCell ref="C384:G384"/>
    <mergeCell ref="C385:G385"/>
    <mergeCell ref="C386:E386"/>
    <mergeCell ref="C387:E387"/>
    <mergeCell ref="C388:E388"/>
    <mergeCell ref="C389:E389"/>
    <mergeCell ref="C390:E390"/>
    <mergeCell ref="C391:E391"/>
    <mergeCell ref="C392:E392"/>
    <mergeCell ref="C397:E397"/>
    <mergeCell ref="C340:E340"/>
    <mergeCell ref="C341:E341"/>
    <mergeCell ref="C342:E342"/>
    <mergeCell ref="C343:E343"/>
    <mergeCell ref="C344:E344"/>
    <mergeCell ref="C345:E345"/>
    <mergeCell ref="C346:E346"/>
    <mergeCell ref="C347:E347"/>
    <mergeCell ref="C348:E348"/>
    <mergeCell ref="D330:F330"/>
    <mergeCell ref="D331:F331"/>
    <mergeCell ref="D332:F332"/>
    <mergeCell ref="D333:F333"/>
    <mergeCell ref="D334:G334"/>
    <mergeCell ref="C335:G336"/>
    <mergeCell ref="C337:E337"/>
    <mergeCell ref="C338:E338"/>
    <mergeCell ref="C339:E339"/>
    <mergeCell ref="D320:F320"/>
    <mergeCell ref="D321:G321"/>
    <mergeCell ref="D322:G323"/>
    <mergeCell ref="D324:F324"/>
    <mergeCell ref="D325:F325"/>
    <mergeCell ref="D326:F326"/>
    <mergeCell ref="D327:F327"/>
    <mergeCell ref="D328:F328"/>
    <mergeCell ref="D329:F329"/>
    <mergeCell ref="C307:G308"/>
    <mergeCell ref="D310:F310"/>
    <mergeCell ref="D312:F312"/>
    <mergeCell ref="D313:F313"/>
    <mergeCell ref="D314:F314"/>
    <mergeCell ref="D315:G315"/>
    <mergeCell ref="C316:G317"/>
    <mergeCell ref="D318:F318"/>
    <mergeCell ref="D319:F319"/>
    <mergeCell ref="D311:F311"/>
    <mergeCell ref="D297:F297"/>
    <mergeCell ref="D298:F298"/>
    <mergeCell ref="D299:F299"/>
    <mergeCell ref="D300:F300"/>
    <mergeCell ref="D301:F301"/>
    <mergeCell ref="D302:F302"/>
    <mergeCell ref="D303:F303"/>
    <mergeCell ref="D304:F304"/>
    <mergeCell ref="D306:F306"/>
    <mergeCell ref="D289:G289"/>
    <mergeCell ref="D290:F290"/>
    <mergeCell ref="D291:F291"/>
    <mergeCell ref="D292:F292"/>
    <mergeCell ref="B293:B296"/>
    <mergeCell ref="D293:F293"/>
    <mergeCell ref="D294:F294"/>
    <mergeCell ref="D295:F295"/>
    <mergeCell ref="D296:F296"/>
    <mergeCell ref="D279:F279"/>
    <mergeCell ref="D280:F280"/>
    <mergeCell ref="D281:F281"/>
    <mergeCell ref="D282:F282"/>
    <mergeCell ref="D283:F283"/>
    <mergeCell ref="D284:F284"/>
    <mergeCell ref="D285:F285"/>
    <mergeCell ref="D286:F286"/>
    <mergeCell ref="D288:F288"/>
    <mergeCell ref="D271:G271"/>
    <mergeCell ref="D272:F272"/>
    <mergeCell ref="D273:F273"/>
    <mergeCell ref="D274:F274"/>
    <mergeCell ref="B275:B278"/>
    <mergeCell ref="D275:F275"/>
    <mergeCell ref="D276:F276"/>
    <mergeCell ref="D277:F277"/>
    <mergeCell ref="D278:F278"/>
    <mergeCell ref="D261:F261"/>
    <mergeCell ref="D262:F262"/>
    <mergeCell ref="D263:F263"/>
    <mergeCell ref="D264:F264"/>
    <mergeCell ref="D265:F265"/>
    <mergeCell ref="D266:F266"/>
    <mergeCell ref="D267:F267"/>
    <mergeCell ref="D268:F268"/>
    <mergeCell ref="D270:F270"/>
    <mergeCell ref="D253:G253"/>
    <mergeCell ref="D254:F254"/>
    <mergeCell ref="D255:F255"/>
    <mergeCell ref="D256:F256"/>
    <mergeCell ref="B257:B260"/>
    <mergeCell ref="D257:F257"/>
    <mergeCell ref="D258:F258"/>
    <mergeCell ref="D259:F259"/>
    <mergeCell ref="D260:F260"/>
    <mergeCell ref="D243:F243"/>
    <mergeCell ref="D244:F244"/>
    <mergeCell ref="D245:F245"/>
    <mergeCell ref="D246:F246"/>
    <mergeCell ref="D247:F247"/>
    <mergeCell ref="D248:F248"/>
    <mergeCell ref="D249:F249"/>
    <mergeCell ref="D250:F250"/>
    <mergeCell ref="D252:F252"/>
    <mergeCell ref="D235:G235"/>
    <mergeCell ref="D236:F236"/>
    <mergeCell ref="D237:F237"/>
    <mergeCell ref="D238:F238"/>
    <mergeCell ref="B239:B242"/>
    <mergeCell ref="D239:F239"/>
    <mergeCell ref="D240:F240"/>
    <mergeCell ref="D241:F241"/>
    <mergeCell ref="D242:F242"/>
    <mergeCell ref="D225:F225"/>
    <mergeCell ref="D226:F226"/>
    <mergeCell ref="D227:F227"/>
    <mergeCell ref="D228:F228"/>
    <mergeCell ref="D229:F229"/>
    <mergeCell ref="D230:F230"/>
    <mergeCell ref="D231:F231"/>
    <mergeCell ref="D232:F232"/>
    <mergeCell ref="D234:F234"/>
    <mergeCell ref="D217:G217"/>
    <mergeCell ref="D218:F218"/>
    <mergeCell ref="D219:F219"/>
    <mergeCell ref="D220:F220"/>
    <mergeCell ref="B221:B224"/>
    <mergeCell ref="D221:F221"/>
    <mergeCell ref="D222:F222"/>
    <mergeCell ref="D223:F223"/>
    <mergeCell ref="D224:F224"/>
    <mergeCell ref="D207:F207"/>
    <mergeCell ref="D208:F208"/>
    <mergeCell ref="D209:F209"/>
    <mergeCell ref="D210:F210"/>
    <mergeCell ref="D211:F211"/>
    <mergeCell ref="D212:F212"/>
    <mergeCell ref="D213:F213"/>
    <mergeCell ref="D214:F214"/>
    <mergeCell ref="D216:F216"/>
    <mergeCell ref="D199:G199"/>
    <mergeCell ref="D200:F200"/>
    <mergeCell ref="D201:F201"/>
    <mergeCell ref="D202:F202"/>
    <mergeCell ref="B203:B206"/>
    <mergeCell ref="D203:F203"/>
    <mergeCell ref="D204:F204"/>
    <mergeCell ref="D205:F205"/>
    <mergeCell ref="D206:F206"/>
    <mergeCell ref="D189:F189"/>
    <mergeCell ref="D190:F190"/>
    <mergeCell ref="D191:F191"/>
    <mergeCell ref="D192:F192"/>
    <mergeCell ref="D193:F193"/>
    <mergeCell ref="D194:F194"/>
    <mergeCell ref="D195:F195"/>
    <mergeCell ref="D196:F196"/>
    <mergeCell ref="D198:F198"/>
    <mergeCell ref="D181:G181"/>
    <mergeCell ref="D182:F182"/>
    <mergeCell ref="D183:F183"/>
    <mergeCell ref="D184:F184"/>
    <mergeCell ref="B185:B188"/>
    <mergeCell ref="D185:F185"/>
    <mergeCell ref="D186:F186"/>
    <mergeCell ref="D187:F187"/>
    <mergeCell ref="D188:F188"/>
    <mergeCell ref="D171:F171"/>
    <mergeCell ref="D172:F172"/>
    <mergeCell ref="D173:F173"/>
    <mergeCell ref="D174:F174"/>
    <mergeCell ref="D175:F175"/>
    <mergeCell ref="D176:F176"/>
    <mergeCell ref="D177:F177"/>
    <mergeCell ref="D178:F178"/>
    <mergeCell ref="D180:F180"/>
    <mergeCell ref="D163:G163"/>
    <mergeCell ref="D164:F164"/>
    <mergeCell ref="D165:F165"/>
    <mergeCell ref="D166:F166"/>
    <mergeCell ref="B167:B170"/>
    <mergeCell ref="D167:F167"/>
    <mergeCell ref="D168:F168"/>
    <mergeCell ref="D169:F169"/>
    <mergeCell ref="D170:F170"/>
    <mergeCell ref="D153:F153"/>
    <mergeCell ref="D154:F154"/>
    <mergeCell ref="D155:F155"/>
    <mergeCell ref="D156:F156"/>
    <mergeCell ref="D157:F157"/>
    <mergeCell ref="D158:F158"/>
    <mergeCell ref="D159:F159"/>
    <mergeCell ref="D160:F160"/>
    <mergeCell ref="D162:F162"/>
    <mergeCell ref="D145:G145"/>
    <mergeCell ref="D146:F146"/>
    <mergeCell ref="D147:F147"/>
    <mergeCell ref="D148:F148"/>
    <mergeCell ref="B149:B152"/>
    <mergeCell ref="D149:F149"/>
    <mergeCell ref="D150:F150"/>
    <mergeCell ref="D151:F151"/>
    <mergeCell ref="D152:F152"/>
    <mergeCell ref="D135:F135"/>
    <mergeCell ref="D136:F136"/>
    <mergeCell ref="D137:F137"/>
    <mergeCell ref="D138:F138"/>
    <mergeCell ref="D139:F139"/>
    <mergeCell ref="D140:F140"/>
    <mergeCell ref="D141:F141"/>
    <mergeCell ref="D142:F142"/>
    <mergeCell ref="D144:F144"/>
    <mergeCell ref="D127:G127"/>
    <mergeCell ref="D128:F128"/>
    <mergeCell ref="D129:F129"/>
    <mergeCell ref="D130:F130"/>
    <mergeCell ref="B131:B134"/>
    <mergeCell ref="D131:F131"/>
    <mergeCell ref="D132:F132"/>
    <mergeCell ref="D133:F133"/>
    <mergeCell ref="D134:F134"/>
    <mergeCell ref="D117:F117"/>
    <mergeCell ref="D118:F118"/>
    <mergeCell ref="D119:F119"/>
    <mergeCell ref="D120:F120"/>
    <mergeCell ref="D121:F121"/>
    <mergeCell ref="D122:F122"/>
    <mergeCell ref="D123:F123"/>
    <mergeCell ref="D124:F124"/>
    <mergeCell ref="D126:F126"/>
    <mergeCell ref="D109:G109"/>
    <mergeCell ref="D110:F110"/>
    <mergeCell ref="D111:F111"/>
    <mergeCell ref="D112:F112"/>
    <mergeCell ref="B113:B116"/>
    <mergeCell ref="D113:F113"/>
    <mergeCell ref="D114:F114"/>
    <mergeCell ref="D115:F115"/>
    <mergeCell ref="D116:F116"/>
    <mergeCell ref="D99:F99"/>
    <mergeCell ref="D100:F100"/>
    <mergeCell ref="D101:F101"/>
    <mergeCell ref="D102:F102"/>
    <mergeCell ref="D103:F103"/>
    <mergeCell ref="D104:F104"/>
    <mergeCell ref="D105:F105"/>
    <mergeCell ref="B107:H107"/>
    <mergeCell ref="D108:F108"/>
    <mergeCell ref="B100:B101"/>
    <mergeCell ref="D91:F91"/>
    <mergeCell ref="D92:F92"/>
    <mergeCell ref="D93:F93"/>
    <mergeCell ref="B94:B97"/>
    <mergeCell ref="D94:F94"/>
    <mergeCell ref="D95:F95"/>
    <mergeCell ref="D96:F96"/>
    <mergeCell ref="D97:F97"/>
    <mergeCell ref="D98:F98"/>
    <mergeCell ref="D85:F85"/>
    <mergeCell ref="D86:F86"/>
    <mergeCell ref="D88:F88"/>
    <mergeCell ref="B89:D89"/>
    <mergeCell ref="E89:H89"/>
    <mergeCell ref="D90:G90"/>
    <mergeCell ref="D71:G71"/>
    <mergeCell ref="D72:F72"/>
    <mergeCell ref="D73:F73"/>
    <mergeCell ref="D74:F74"/>
    <mergeCell ref="B75:B78"/>
    <mergeCell ref="D75:F75"/>
    <mergeCell ref="D76:F76"/>
    <mergeCell ref="D77:F77"/>
    <mergeCell ref="D78:F78"/>
    <mergeCell ref="D79:F79"/>
    <mergeCell ref="D80:F80"/>
    <mergeCell ref="D81:F81"/>
    <mergeCell ref="D82:F82"/>
    <mergeCell ref="D83:F83"/>
    <mergeCell ref="B81:B82"/>
    <mergeCell ref="K68:M68"/>
    <mergeCell ref="K63:M63"/>
    <mergeCell ref="K64:M64"/>
    <mergeCell ref="K65:M65"/>
    <mergeCell ref="D84:F84"/>
    <mergeCell ref="C63:E63"/>
    <mergeCell ref="C64:E64"/>
    <mergeCell ref="C65:E65"/>
    <mergeCell ref="C66:E66"/>
    <mergeCell ref="K55:N55"/>
    <mergeCell ref="K56:L56"/>
    <mergeCell ref="B70:D70"/>
    <mergeCell ref="K54:M54"/>
    <mergeCell ref="AC84:AE84"/>
    <mergeCell ref="AC83:AE83"/>
    <mergeCell ref="K79:L79"/>
    <mergeCell ref="K80:M80"/>
    <mergeCell ref="C62:E62"/>
    <mergeCell ref="K60:N60"/>
    <mergeCell ref="K61:N61"/>
    <mergeCell ref="K62:M62"/>
    <mergeCell ref="K57:L57"/>
    <mergeCell ref="K58:L58"/>
    <mergeCell ref="K59:M59"/>
    <mergeCell ref="C67:E67"/>
    <mergeCell ref="C61:E61"/>
    <mergeCell ref="K72:M72"/>
    <mergeCell ref="K73:M73"/>
    <mergeCell ref="K69:M69"/>
    <mergeCell ref="K70:M70"/>
    <mergeCell ref="K71:M71"/>
    <mergeCell ref="K66:M66"/>
    <mergeCell ref="K67:M67"/>
    <mergeCell ref="AD85:AG85"/>
    <mergeCell ref="P23:T23"/>
    <mergeCell ref="P24:Q24"/>
    <mergeCell ref="R24:S24"/>
    <mergeCell ref="P25:Q25"/>
    <mergeCell ref="R25:S25"/>
    <mergeCell ref="P64:T64"/>
    <mergeCell ref="P65:Q65"/>
    <mergeCell ref="O55:Q55"/>
    <mergeCell ref="AC41:AE41"/>
    <mergeCell ref="AC42:AE42"/>
    <mergeCell ref="AC43:AE43"/>
    <mergeCell ref="AC44:AE44"/>
    <mergeCell ref="AD45:AG45"/>
    <mergeCell ref="AF29:AG29"/>
    <mergeCell ref="AC78:AE78"/>
    <mergeCell ref="AB79:AB83"/>
    <mergeCell ref="AC79:AE79"/>
    <mergeCell ref="AC80:AE80"/>
    <mergeCell ref="R65:S65"/>
    <mergeCell ref="P66:Q66"/>
    <mergeCell ref="R66:S66"/>
    <mergeCell ref="AC81:AE81"/>
    <mergeCell ref="AC82:AE82"/>
    <mergeCell ref="AH74:AJ75"/>
    <mergeCell ref="K76:N76"/>
    <mergeCell ref="AC74:AG74"/>
    <mergeCell ref="K77:N77"/>
    <mergeCell ref="AC76:AG76"/>
    <mergeCell ref="AH76:AI76"/>
    <mergeCell ref="AJ76:AJ77"/>
    <mergeCell ref="K78:L78"/>
    <mergeCell ref="AD77:AE77"/>
    <mergeCell ref="K74:M74"/>
    <mergeCell ref="AC75:AG75"/>
    <mergeCell ref="K75:N75"/>
    <mergeCell ref="AH34:AJ35"/>
    <mergeCell ref="K35:N35"/>
    <mergeCell ref="AC35:AG35"/>
    <mergeCell ref="AC34:AG34"/>
    <mergeCell ref="AB39:AB43"/>
    <mergeCell ref="AC39:AE39"/>
    <mergeCell ref="AC40:AE40"/>
    <mergeCell ref="J48:N48"/>
    <mergeCell ref="K36:N36"/>
    <mergeCell ref="AC36:AG36"/>
    <mergeCell ref="AH36:AI36"/>
    <mergeCell ref="AJ36:AJ37"/>
    <mergeCell ref="K37:L37"/>
    <mergeCell ref="AD37:AE37"/>
    <mergeCell ref="K38:L38"/>
    <mergeCell ref="AC38:AE38"/>
    <mergeCell ref="V26:W26"/>
    <mergeCell ref="D33:G34"/>
    <mergeCell ref="D35:G35"/>
    <mergeCell ref="D36:F36"/>
    <mergeCell ref="K32:M32"/>
    <mergeCell ref="K33:M33"/>
    <mergeCell ref="K34:N34"/>
    <mergeCell ref="AE27:AG27"/>
    <mergeCell ref="K28:M28"/>
    <mergeCell ref="AE28:AG28"/>
    <mergeCell ref="K31:M31"/>
    <mergeCell ref="P2:Q2"/>
    <mergeCell ref="AD24:AH25"/>
    <mergeCell ref="K25:M25"/>
    <mergeCell ref="K26:M26"/>
    <mergeCell ref="AE26:AG26"/>
    <mergeCell ref="K15:L15"/>
    <mergeCell ref="AE15:AG15"/>
    <mergeCell ref="K16:L16"/>
    <mergeCell ref="AE16:AG16"/>
    <mergeCell ref="K21:M21"/>
    <mergeCell ref="AE21:AG21"/>
    <mergeCell ref="K22:M22"/>
    <mergeCell ref="AE22:AG22"/>
    <mergeCell ref="K23:M23"/>
    <mergeCell ref="AF23:AG23"/>
    <mergeCell ref="K18:M18"/>
    <mergeCell ref="AD18:AH19"/>
    <mergeCell ref="K19:N19"/>
    <mergeCell ref="K20:N20"/>
    <mergeCell ref="AE20:AG20"/>
    <mergeCell ref="V21:W21"/>
    <mergeCell ref="V23:W23"/>
    <mergeCell ref="V24:W24"/>
    <mergeCell ref="V25:W25"/>
    <mergeCell ref="U7:Z8"/>
    <mergeCell ref="J2:O2"/>
    <mergeCell ref="J3:O3"/>
    <mergeCell ref="AB6:AG7"/>
    <mergeCell ref="J7:N7"/>
    <mergeCell ref="C2:G2"/>
    <mergeCell ref="K17:L17"/>
    <mergeCell ref="AF17:AG17"/>
    <mergeCell ref="K13:M13"/>
    <mergeCell ref="AE13:AG13"/>
    <mergeCell ref="K14:N14"/>
    <mergeCell ref="O14:Q14"/>
    <mergeCell ref="AE14:AG14"/>
    <mergeCell ref="C3:G4"/>
    <mergeCell ref="AD10:AH11"/>
    <mergeCell ref="K11:N11"/>
    <mergeCell ref="K12:M12"/>
    <mergeCell ref="AE12:AG12"/>
    <mergeCell ref="K9:M9"/>
    <mergeCell ref="K10:N10"/>
    <mergeCell ref="C6:G6"/>
    <mergeCell ref="C7:F7"/>
    <mergeCell ref="C8:F9"/>
    <mergeCell ref="G8:G9"/>
  </mergeCells>
  <conditionalFormatting sqref="C386:G403">
    <cfRule type="expression" dxfId="732" priority="3">
      <formula>$G$27="NÃO"</formula>
    </cfRule>
  </conditionalFormatting>
  <conditionalFormatting sqref="C399:G399">
    <cfRule type="expression" dxfId="731" priority="2">
      <formula>$G$38="NÃO"</formula>
    </cfRule>
  </conditionalFormatting>
  <conditionalFormatting sqref="D39:G41">
    <cfRule type="expression" dxfId="730" priority="5">
      <formula>$G$27="NÃO"</formula>
    </cfRule>
  </conditionalFormatting>
  <conditionalFormatting sqref="D43:G46">
    <cfRule type="expression" dxfId="729" priority="4">
      <formula>$G$27="NÃO"</formula>
    </cfRule>
  </conditionalFormatting>
  <conditionalFormatting sqref="D68:G69">
    <cfRule type="expression" dxfId="728" priority="18">
      <formula>$G$27="NÃO"</formula>
    </cfRule>
  </conditionalFormatting>
  <conditionalFormatting sqref="D74:G87 B79 D93:G106 B98 B107:H107 D108:G143 C109 B117 C127 B135 C145 D145:G305 B153 C163 B171 C181 B189 C199 B207 C217 B225 C235 B243 C253 B261 C271 B279 C289 B297 C307:G308 D309:G310 D311 G311 D312:G314 C316:G317 D318:G320 D322:G333 C335:G353">
    <cfRule type="expression" dxfId="727" priority="13">
      <formula>$G$38="NÃO"</formula>
    </cfRule>
  </conditionalFormatting>
  <conditionalFormatting sqref="G29">
    <cfRule type="expression" dxfId="726" priority="9">
      <formula>$G$29&lt;&gt;$P$12</formula>
    </cfRule>
    <cfRule type="expression" dxfId="725" priority="10">
      <formula>$P$12=$G$29</formula>
    </cfRule>
  </conditionalFormatting>
  <conditionalFormatting sqref="G30">
    <cfRule type="expression" dxfId="724" priority="11">
      <formula>$G$30&lt;&gt;$P$12</formula>
    </cfRule>
    <cfRule type="expression" dxfId="723" priority="12">
      <formula>$P$12=$G$30</formula>
    </cfRule>
  </conditionalFormatting>
  <conditionalFormatting sqref="K9:N9 K12:N13">
    <cfRule type="expression" dxfId="722" priority="8">
      <formula>$G$27="NÃO"</formula>
    </cfRule>
  </conditionalFormatting>
  <conditionalFormatting sqref="K50:N50 K53:N54">
    <cfRule type="expression" dxfId="721" priority="7">
      <formula>$G$27="NÃO"</formula>
    </cfRule>
  </conditionalFormatting>
  <conditionalFormatting sqref="N21 N62">
    <cfRule type="cellIs" dxfId="720" priority="15" operator="greaterThan">
      <formula>$G$37+$G$38</formula>
    </cfRule>
    <cfRule type="cellIs" dxfId="719" priority="16" operator="lessThan">
      <formula>$G$37-$G$38</formula>
    </cfRule>
    <cfRule type="cellIs" dxfId="718" priority="17" operator="between">
      <formula>$G$37-$G$38</formula>
      <formula>$G$37+$G$38</formula>
    </cfRule>
  </conditionalFormatting>
  <conditionalFormatting sqref="V10 Y10 AE12:AH16 AF17:AH17 AE20:AH22 AF23:AH23 AE26:AH28 K27:N33 AF29:AH29 AG31:AH31 AC38:AJ44 D50:G50 C51:G67 K68:N74 D74:G88 B75 AC78:AJ84 B79 B81 B83 D93:G106 B94 B98 B100:B102 B107:H108 C109:G109 D110:G126 B113:B117 B119 B121 C127:G127 D128:G144 B131:B135 B137:B139 C145:G145 D146:G162 B149:B153 B155:B157 C163:G163 D164:G180 B167:B171 B173:B175 C181:G181 D182:G198 B185:B189 B191:B193 C199:G199 D200:G216 B203:B207 B209:B211 C217:G217 D218:G234 B221:B225 B227:B229 C235:G235 D236:G252 B239:B243 B245:B247 C253:G253 D254:G270 B257:B261 B263:B265 C271:G271 D272:G288 B275:B279 B281:B283 C289:G289 D290:G306 B293:B297 B299:B301 C307 D309:G310 D311 G311 D312:G314 D315 C316 C318:G353 C405:E405 D406:E408">
    <cfRule type="expression" dxfId="717" priority="21">
      <formula>$G$27="NÃO"</formula>
    </cfRule>
  </conditionalFormatting>
  <dataValidations count="4">
    <dataValidation type="list" allowBlank="1" showInputMessage="1" showErrorMessage="1" sqref="G27" xr:uid="{D1C8C8DD-D085-4DBB-9761-7916F3F51C1A}">
      <formula1>"SIM, NÃO"</formula1>
    </dataValidation>
    <dataValidation type="list" allowBlank="1" showInputMessage="1" showErrorMessage="1" prompt="SIM ou NÃO" sqref="G12" xr:uid="{7E2B68AE-FC81-4238-A0A6-D42091764C2A}">
      <formula1>"SIM,NÃO"</formula1>
    </dataValidation>
    <dataValidation type="list" allowBlank="1" showInputMessage="1" showErrorMessage="1" sqref="B83 B301 B283 B265 B247 B229 B211 B193 B175 B157 B139 B121 B102" xr:uid="{6CA99027-FEFC-4C1A-80A4-83BE6613D812}">
      <formula1>$D$406:$D$408</formula1>
    </dataValidation>
    <dataValidation type="list" allowBlank="1" showInputMessage="1" showErrorMessage="1" sqref="P12:Q12 P53:Q53 V13:W13 V18:W18 V23:W23" xr:uid="{F876B076-1875-4E7B-A1B7-9299E70A137A}">
      <formula1>$G$29:$G$31</formula1>
    </dataValidation>
  </dataValidations>
  <hyperlinks>
    <hyperlink ref="C359" r:id="rId1" xr:uid="{F39AAB9A-97DE-4DAE-A560-43BF08F4716C}"/>
  </hyperlinks>
  <pageMargins left="0.511811024" right="0.511811024" top="0.78740157499999996" bottom="0.78740157499999996" header="0.31496062000000002" footer="0.31496062000000002"/>
  <pageSetup paperSize="260" orientation="portrait" horizontalDpi="203" verticalDpi="203"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ACAB7-10D9-4250-8696-EEF61D32A758}">
  <sheetPr>
    <pageSetUpPr fitToPage="1"/>
  </sheetPr>
  <dimension ref="B2:L219"/>
  <sheetViews>
    <sheetView showGridLines="0" topLeftCell="B69" zoomScale="85" zoomScaleNormal="85" workbookViewId="0">
      <selection activeCell="C80" sqref="C80"/>
    </sheetView>
  </sheetViews>
  <sheetFormatPr defaultRowHeight="21" customHeight="1" x14ac:dyDescent="0.25"/>
  <cols>
    <col min="1" max="1" width="10.85546875" customWidth="1"/>
    <col min="2" max="2" width="12.7109375" customWidth="1"/>
    <col min="3" max="4" width="18.28515625" customWidth="1"/>
    <col min="5" max="5" width="19.28515625" customWidth="1"/>
    <col min="6" max="6" width="18.28515625" customWidth="1"/>
    <col min="7" max="7" width="20.28515625" customWidth="1"/>
    <col min="8" max="8" width="20.5703125" customWidth="1"/>
    <col min="9" max="9" width="18" customWidth="1"/>
    <col min="10" max="10" width="14.42578125" customWidth="1"/>
    <col min="11" max="11" width="16" customWidth="1"/>
    <col min="12" max="12" width="17.28515625" customWidth="1"/>
    <col min="13" max="13" width="17.5703125" customWidth="1"/>
    <col min="14" max="14" width="18" customWidth="1"/>
    <col min="15" max="15" width="15.7109375" customWidth="1"/>
    <col min="16" max="16" width="16.5703125" customWidth="1"/>
    <col min="17" max="17" width="12" customWidth="1"/>
    <col min="18" max="18" width="13.28515625" customWidth="1"/>
    <col min="19" max="19" width="11.42578125" customWidth="1"/>
    <col min="20" max="20" width="14.85546875" customWidth="1"/>
    <col min="24" max="24" width="13.85546875" customWidth="1"/>
    <col min="25" max="25" width="9.85546875" customWidth="1"/>
    <col min="26" max="27" width="11.5703125" customWidth="1"/>
    <col min="28" max="28" width="13.28515625" customWidth="1"/>
    <col min="29" max="29" width="19.140625" customWidth="1"/>
    <col min="32" max="32" width="14.28515625" customWidth="1"/>
    <col min="33" max="33" width="10.7109375" customWidth="1"/>
    <col min="34" max="34" width="11.140625" customWidth="1"/>
    <col min="39" max="39" width="18.140625" customWidth="1"/>
  </cols>
  <sheetData>
    <row r="2" spans="2:12" ht="21" customHeight="1" x14ac:dyDescent="0.25">
      <c r="B2" s="1402" t="str">
        <f>'Programação Individual'!B21</f>
        <v>VMORDEKAI</v>
      </c>
      <c r="C2" s="1402"/>
      <c r="D2" s="1402"/>
      <c r="E2" s="1402"/>
      <c r="F2" s="1402"/>
      <c r="G2" s="1402"/>
      <c r="H2" s="1402"/>
      <c r="I2" s="1402"/>
      <c r="J2" s="1402"/>
      <c r="K2" s="1402"/>
      <c r="L2" s="1402"/>
    </row>
    <row r="3" spans="2:12" ht="21" customHeight="1" x14ac:dyDescent="0.25">
      <c r="B3" s="1402"/>
      <c r="C3" s="1402"/>
      <c r="D3" s="1402"/>
      <c r="E3" s="1402"/>
      <c r="F3" s="1402"/>
      <c r="G3" s="1402"/>
      <c r="H3" s="1402"/>
      <c r="I3" s="1402"/>
      <c r="J3" s="1402"/>
      <c r="K3" s="1402"/>
      <c r="L3" s="1402"/>
    </row>
    <row r="4" spans="2:12" ht="21" customHeight="1" x14ac:dyDescent="0.25">
      <c r="B4" t="s">
        <v>174</v>
      </c>
      <c r="D4" t="s">
        <v>930</v>
      </c>
      <c r="I4" t="s">
        <v>175</v>
      </c>
      <c r="J4" s="1404" t="s">
        <v>176</v>
      </c>
      <c r="K4" s="1404"/>
      <c r="L4" s="154">
        <v>45182</v>
      </c>
    </row>
    <row r="5" spans="2:12" ht="21" customHeight="1" x14ac:dyDescent="0.25">
      <c r="B5" t="s">
        <v>177</v>
      </c>
      <c r="D5" s="136">
        <v>45182</v>
      </c>
      <c r="I5" t="s">
        <v>178</v>
      </c>
      <c r="J5" s="1404" t="s">
        <v>176</v>
      </c>
      <c r="K5" s="1404"/>
      <c r="L5" s="154">
        <v>45182</v>
      </c>
    </row>
    <row r="6" spans="2:12" ht="21" customHeight="1" thickBot="1" x14ac:dyDescent="0.3"/>
    <row r="7" spans="2:12" ht="21" customHeight="1" thickBot="1" x14ac:dyDescent="0.3">
      <c r="B7" s="856" t="s">
        <v>331</v>
      </c>
      <c r="C7" s="1321" t="s">
        <v>931</v>
      </c>
      <c r="D7" s="1322"/>
      <c r="E7" s="1322"/>
      <c r="F7" s="1322"/>
      <c r="G7" s="1322"/>
      <c r="H7" s="1322"/>
      <c r="I7" s="1322"/>
      <c r="J7" s="1322"/>
      <c r="K7" s="1322"/>
      <c r="L7" s="1323"/>
    </row>
    <row r="8" spans="2:12" ht="21" customHeight="1" x14ac:dyDescent="0.25">
      <c r="B8" s="367" t="s">
        <v>903</v>
      </c>
      <c r="C8" s="1405" t="str">
        <f>IF(C7=0,"Informe o nome da referência!",CONCATENATE(LEFT(B8,3),". ",C7," - ",D13,"H x ",D14,"B x ",D15,"L (cm)"))</f>
        <v>REF. NOME + Nº - 15H x 10B x 5L (cm)</v>
      </c>
      <c r="D8" s="1405"/>
      <c r="E8" s="1405"/>
      <c r="F8" s="1405"/>
      <c r="G8" s="1405"/>
      <c r="H8" s="1405"/>
      <c r="I8" s="1405"/>
      <c r="J8" s="1405"/>
      <c r="K8" s="1405"/>
      <c r="L8" s="1405"/>
    </row>
    <row r="10" spans="2:12" ht="21" customHeight="1" x14ac:dyDescent="0.25">
      <c r="B10" s="288">
        <v>1</v>
      </c>
      <c r="C10" s="1403" t="s">
        <v>179</v>
      </c>
      <c r="D10" s="1403"/>
      <c r="E10" s="1403"/>
      <c r="F10" s="1403"/>
      <c r="G10" s="1403"/>
      <c r="H10" s="1403"/>
      <c r="I10" s="1403"/>
    </row>
    <row r="12" spans="2:12" ht="21" customHeight="1" x14ac:dyDescent="0.25">
      <c r="B12" s="1406" t="s">
        <v>180</v>
      </c>
      <c r="C12" s="1406"/>
      <c r="D12" s="1406"/>
      <c r="F12" s="1406" t="s">
        <v>181</v>
      </c>
      <c r="G12" s="1406"/>
      <c r="H12" s="1406"/>
      <c r="J12" s="1325" t="s">
        <v>904</v>
      </c>
      <c r="K12" s="1326"/>
      <c r="L12" s="1327"/>
    </row>
    <row r="13" spans="2:12" ht="21" customHeight="1" x14ac:dyDescent="0.25">
      <c r="B13" s="1394" t="s">
        <v>907</v>
      </c>
      <c r="C13" s="1394"/>
      <c r="D13" s="155">
        <v>15</v>
      </c>
      <c r="F13" s="1407" t="s">
        <v>384</v>
      </c>
      <c r="G13" s="1408"/>
      <c r="H13" s="596" t="s">
        <v>756</v>
      </c>
      <c r="J13" s="1324" t="s">
        <v>666</v>
      </c>
      <c r="K13" s="1310"/>
      <c r="L13" s="1311"/>
    </row>
    <row r="14" spans="2:12" ht="21" customHeight="1" x14ac:dyDescent="0.25">
      <c r="B14" s="1394" t="s">
        <v>906</v>
      </c>
      <c r="C14" s="1394"/>
      <c r="D14" s="155">
        <v>10</v>
      </c>
      <c r="F14" s="1300"/>
      <c r="G14" s="1301"/>
      <c r="H14" s="597"/>
      <c r="J14" s="370" t="s">
        <v>667</v>
      </c>
      <c r="K14" s="827" t="s">
        <v>60</v>
      </c>
      <c r="L14" s="827" t="s">
        <v>668</v>
      </c>
    </row>
    <row r="15" spans="2:12" ht="21" customHeight="1" x14ac:dyDescent="0.25">
      <c r="B15" s="1394" t="s">
        <v>916</v>
      </c>
      <c r="C15" s="1394"/>
      <c r="D15" s="155">
        <v>5</v>
      </c>
      <c r="F15" s="1300"/>
      <c r="G15" s="1301"/>
      <c r="H15" s="598"/>
      <c r="J15" s="614" t="s">
        <v>659</v>
      </c>
      <c r="K15" s="873">
        <v>90</v>
      </c>
      <c r="L15" s="874">
        <f ca="1">TODAY()-K15</f>
        <v>45650</v>
      </c>
    </row>
    <row r="16" spans="2:12" ht="21" customHeight="1" x14ac:dyDescent="0.25">
      <c r="B16" s="1299" t="s">
        <v>917</v>
      </c>
      <c r="C16" s="1299"/>
      <c r="D16" s="155"/>
      <c r="F16" s="1300"/>
      <c r="G16" s="1301"/>
      <c r="H16" s="597"/>
      <c r="J16" s="868" t="s">
        <v>660</v>
      </c>
      <c r="K16" s="871">
        <v>7</v>
      </c>
      <c r="L16" s="872">
        <f ca="1">TODAY()-K16</f>
        <v>45733</v>
      </c>
    </row>
    <row r="17" spans="2:12" ht="21" customHeight="1" x14ac:dyDescent="0.25">
      <c r="B17" s="1299" t="s">
        <v>917</v>
      </c>
      <c r="C17" s="1299"/>
      <c r="D17" s="155"/>
      <c r="F17" s="1300"/>
      <c r="G17" s="1301"/>
      <c r="H17" s="597"/>
      <c r="J17" s="869" t="s">
        <v>661</v>
      </c>
      <c r="K17" s="871">
        <v>30</v>
      </c>
      <c r="L17" s="872">
        <f ca="1">TODAY()-K17</f>
        <v>45710</v>
      </c>
    </row>
    <row r="18" spans="2:12" ht="21" customHeight="1" x14ac:dyDescent="0.25">
      <c r="B18" s="1394" t="s">
        <v>183</v>
      </c>
      <c r="C18" s="1394"/>
      <c r="D18" s="155">
        <v>1</v>
      </c>
      <c r="F18" s="1300"/>
      <c r="G18" s="1301"/>
      <c r="H18" s="597"/>
      <c r="J18" s="870" t="s">
        <v>662</v>
      </c>
      <c r="K18" s="871">
        <v>60</v>
      </c>
      <c r="L18" s="872">
        <f ca="1">TODAY()-K18</f>
        <v>45680</v>
      </c>
    </row>
    <row r="19" spans="2:12" ht="21" customHeight="1" x14ac:dyDescent="0.25">
      <c r="B19" s="1394" t="s">
        <v>184</v>
      </c>
      <c r="C19" s="1394"/>
      <c r="D19" s="322" t="s">
        <v>61</v>
      </c>
      <c r="E19" s="6" t="str">
        <f>IF(D19="SIM","1","0")</f>
        <v>1</v>
      </c>
      <c r="F19" s="1300"/>
      <c r="G19" s="1301"/>
      <c r="H19" s="597"/>
      <c r="J19" s="1054" t="s">
        <v>663</v>
      </c>
      <c r="K19" s="871">
        <v>90</v>
      </c>
      <c r="L19" s="872">
        <f ca="1">TODAY()-K19</f>
        <v>45650</v>
      </c>
    </row>
    <row r="20" spans="2:12" ht="21" customHeight="1" x14ac:dyDescent="0.25">
      <c r="B20" s="1394" t="s">
        <v>185</v>
      </c>
      <c r="C20" s="1394"/>
      <c r="D20" s="322" t="s">
        <v>189</v>
      </c>
      <c r="E20" s="6" t="str">
        <f>IF(D20="SIM","2","1")</f>
        <v>1</v>
      </c>
      <c r="F20" s="1300"/>
      <c r="G20" s="1301"/>
      <c r="H20" s="597"/>
    </row>
    <row r="21" spans="2:12" ht="21" customHeight="1" x14ac:dyDescent="0.25">
      <c r="B21" s="1394" t="s">
        <v>186</v>
      </c>
      <c r="C21" s="1394"/>
      <c r="D21" s="155">
        <v>3</v>
      </c>
      <c r="F21" s="1300"/>
      <c r="G21" s="1301"/>
      <c r="H21" s="597"/>
    </row>
    <row r="22" spans="2:12" ht="21" customHeight="1" x14ac:dyDescent="0.25">
      <c r="B22" s="1394" t="s">
        <v>187</v>
      </c>
      <c r="C22" s="1394"/>
      <c r="D22" s="322" t="s">
        <v>189</v>
      </c>
      <c r="E22" s="6" t="str">
        <f t="shared" ref="E22:E26" si="0">IF(D22="SIM","1","0")</f>
        <v>0</v>
      </c>
      <c r="F22" s="1300"/>
      <c r="G22" s="1301"/>
      <c r="H22" s="597"/>
    </row>
    <row r="23" spans="2:12" ht="21" customHeight="1" x14ac:dyDescent="0.25">
      <c r="B23" s="1299" t="s">
        <v>188</v>
      </c>
      <c r="C23" s="1299"/>
      <c r="D23" s="322" t="s">
        <v>189</v>
      </c>
      <c r="E23" s="6" t="str">
        <f t="shared" si="0"/>
        <v>0</v>
      </c>
      <c r="F23" s="1300"/>
      <c r="G23" s="1301"/>
      <c r="H23" s="597"/>
    </row>
    <row r="24" spans="2:12" ht="21" customHeight="1" x14ac:dyDescent="0.25">
      <c r="B24" s="1299" t="s">
        <v>717</v>
      </c>
      <c r="C24" s="1299"/>
      <c r="D24" s="322" t="s">
        <v>189</v>
      </c>
      <c r="E24" s="6" t="str">
        <f t="shared" si="0"/>
        <v>0</v>
      </c>
      <c r="F24" s="1300"/>
      <c r="G24" s="1301"/>
      <c r="H24" s="597"/>
    </row>
    <row r="25" spans="2:12" ht="21" customHeight="1" x14ac:dyDescent="0.25">
      <c r="B25" s="1299" t="s">
        <v>923</v>
      </c>
      <c r="C25" s="1299"/>
      <c r="D25" s="322" t="s">
        <v>189</v>
      </c>
      <c r="E25" s="6" t="str">
        <f t="shared" si="0"/>
        <v>0</v>
      </c>
      <c r="F25" s="1300"/>
      <c r="G25" s="1301"/>
      <c r="H25" s="597"/>
    </row>
    <row r="26" spans="2:12" ht="21" customHeight="1" x14ac:dyDescent="0.25">
      <c r="B26" s="1299" t="s">
        <v>768</v>
      </c>
      <c r="C26" s="1299"/>
      <c r="D26" s="322" t="s">
        <v>189</v>
      </c>
      <c r="E26" s="6" t="str">
        <f t="shared" si="0"/>
        <v>0</v>
      </c>
      <c r="F26" s="1300"/>
      <c r="G26" s="1301"/>
      <c r="H26" s="597"/>
    </row>
    <row r="27" spans="2:12" ht="21" customHeight="1" x14ac:dyDescent="0.25">
      <c r="B27" s="1299" t="s">
        <v>925</v>
      </c>
      <c r="C27" s="1299"/>
      <c r="D27" s="322" t="s">
        <v>189</v>
      </c>
      <c r="E27" s="6" t="str">
        <f>IF(D27="SIM","1","0")</f>
        <v>0</v>
      </c>
      <c r="F27" s="1300"/>
      <c r="G27" s="1301"/>
      <c r="H27" s="597"/>
    </row>
    <row r="28" spans="2:12" ht="21" customHeight="1" x14ac:dyDescent="0.25">
      <c r="B28" s="1299" t="s">
        <v>927</v>
      </c>
      <c r="C28" s="1299"/>
      <c r="D28" s="322" t="s">
        <v>189</v>
      </c>
      <c r="E28" s="6" t="str">
        <f>IF(D28="SIM","1","0")</f>
        <v>0</v>
      </c>
      <c r="F28" s="1300"/>
      <c r="G28" s="1301"/>
      <c r="H28" s="597"/>
    </row>
    <row r="30" spans="2:12" ht="21" customHeight="1" x14ac:dyDescent="0.25">
      <c r="B30" s="275">
        <f>B10+1</f>
        <v>2</v>
      </c>
      <c r="C30" s="1304" t="s">
        <v>190</v>
      </c>
      <c r="D30" s="1304"/>
      <c r="E30" s="1304"/>
      <c r="F30" s="1304"/>
      <c r="G30" s="1304"/>
      <c r="H30" s="1304"/>
      <c r="I30" s="1304"/>
      <c r="J30" s="1304"/>
      <c r="K30" s="1304"/>
      <c r="L30" s="1304"/>
    </row>
    <row r="31" spans="2:12" ht="21" customHeight="1" x14ac:dyDescent="0.25">
      <c r="B31" s="1328" t="s">
        <v>191</v>
      </c>
      <c r="C31" s="1328"/>
    </row>
    <row r="32" spans="2:12" ht="21" customHeight="1" x14ac:dyDescent="0.25">
      <c r="B32" s="584" t="s">
        <v>192</v>
      </c>
      <c r="C32" s="322" t="s">
        <v>61</v>
      </c>
      <c r="F32" s="1333" t="s">
        <v>193</v>
      </c>
      <c r="G32" s="1334"/>
      <c r="H32" s="259" t="str">
        <f>IF(E42=0,D47,IF(E42=(1+IF(D23="SIM","1","0")+IF(D24="SIM","1","0")+IF(D25="SIM","1","0")+IF(D26="SIM","1","0")+IF(D27="SIM","1","0")),D48,D49))</f>
        <v>MOLDES</v>
      </c>
      <c r="I32" s="1332" t="str">
        <f>IF(H32=D47,E47, IF(H32=D48,E48, IF(H32=D49,E49,"0")))</f>
        <v>INDIVIDUAL</v>
      </c>
      <c r="J32" s="1332"/>
    </row>
    <row r="33" spans="2:12" ht="21" customHeight="1" x14ac:dyDescent="0.25">
      <c r="B33" s="584" t="s">
        <v>194</v>
      </c>
      <c r="C33" s="322" t="s">
        <v>189</v>
      </c>
    </row>
    <row r="34" spans="2:12" ht="21" customHeight="1" x14ac:dyDescent="0.25">
      <c r="B34" s="1310"/>
      <c r="C34" s="1311"/>
      <c r="D34" s="327" t="s">
        <v>195</v>
      </c>
      <c r="E34" s="323" t="s">
        <v>196</v>
      </c>
      <c r="F34" s="327" t="s">
        <v>197</v>
      </c>
      <c r="G34" s="327" t="s">
        <v>198</v>
      </c>
      <c r="H34" s="327" t="s">
        <v>88</v>
      </c>
      <c r="I34" s="327" t="s">
        <v>671</v>
      </c>
      <c r="J34" s="327" t="s">
        <v>199</v>
      </c>
      <c r="K34" s="327" t="s">
        <v>200</v>
      </c>
      <c r="L34" s="327" t="s">
        <v>374</v>
      </c>
    </row>
    <row r="35" spans="2:12" ht="21" customHeight="1" x14ac:dyDescent="0.25">
      <c r="B35" s="1331" t="s">
        <v>722</v>
      </c>
      <c r="C35" s="1331"/>
      <c r="D35" s="374" t="s">
        <v>922</v>
      </c>
      <c r="E35" s="340" t="s">
        <v>203</v>
      </c>
      <c r="F35" s="374" t="s">
        <v>900</v>
      </c>
      <c r="G35" s="878">
        <f>ENFESTO!AU274/H128</f>
        <v>0</v>
      </c>
      <c r="H35" s="377">
        <v>49.9</v>
      </c>
      <c r="I35" s="382">
        <v>45133</v>
      </c>
      <c r="J35" s="374">
        <v>140</v>
      </c>
      <c r="K35" s="380">
        <f>IF(E35=D47,MODELAGEM!EG14,IF(H50=1,H35*G35,"ERRO"))</f>
        <v>8.9467764705882349</v>
      </c>
      <c r="L35" s="297"/>
    </row>
    <row r="36" spans="2:12" ht="21" customHeight="1" x14ac:dyDescent="0.25">
      <c r="B36" s="1329" t="str">
        <f t="shared" ref="B36:B40" si="1">B23</f>
        <v>Entretela</v>
      </c>
      <c r="C36" s="1329"/>
      <c r="D36" s="595">
        <v>80</v>
      </c>
      <c r="E36" s="340" t="s">
        <v>203</v>
      </c>
      <c r="F36" s="375" t="s">
        <v>716</v>
      </c>
      <c r="G36" s="878">
        <f>ENFESTO!AU275/H128</f>
        <v>0</v>
      </c>
      <c r="H36" s="378">
        <v>16</v>
      </c>
      <c r="I36" s="383">
        <v>45133</v>
      </c>
      <c r="J36" s="375">
        <v>75</v>
      </c>
      <c r="K36" s="381">
        <f>IF(J36&gt;0,IF(E36=D47, (MODELAGEM!EG15)*E23,IF(H50=1,H36*G36*E23,"ERRO")),0)</f>
        <v>0</v>
      </c>
      <c r="L36" s="299"/>
    </row>
    <row r="37" spans="2:12" ht="21" customHeight="1" x14ac:dyDescent="0.25">
      <c r="B37" s="1330" t="str">
        <f t="shared" si="1"/>
        <v>Forro</v>
      </c>
      <c r="C37" s="1330"/>
      <c r="D37" s="375" t="s">
        <v>929</v>
      </c>
      <c r="E37" s="340" t="s">
        <v>203</v>
      </c>
      <c r="F37" s="375" t="s">
        <v>900</v>
      </c>
      <c r="G37" s="878">
        <f>ENFESTO!AU276/H128</f>
        <v>0</v>
      </c>
      <c r="H37" s="378">
        <v>19.899999999999999</v>
      </c>
      <c r="I37" s="383">
        <v>45133</v>
      </c>
      <c r="J37" s="375">
        <v>140</v>
      </c>
      <c r="K37" s="381">
        <f>IF(J37&gt;0,IF(E37=D47, (MODELAGEM!EG16)*E24, IF(H50=1,H37*G37*E24,"ERRO")),0)</f>
        <v>0</v>
      </c>
      <c r="L37" s="299"/>
    </row>
    <row r="38" spans="2:12" ht="21" customHeight="1" x14ac:dyDescent="0.25">
      <c r="B38" s="1329" t="str">
        <f t="shared" si="1"/>
        <v>Couro</v>
      </c>
      <c r="C38" s="1329"/>
      <c r="D38" s="375" t="s">
        <v>924</v>
      </c>
      <c r="E38" s="340" t="s">
        <v>203</v>
      </c>
      <c r="F38" s="375" t="s">
        <v>493</v>
      </c>
      <c r="G38" s="878">
        <f>ENFESTO!AU277/H128</f>
        <v>0</v>
      </c>
      <c r="H38" s="378">
        <v>74.900000000000006</v>
      </c>
      <c r="I38" s="383">
        <v>45133</v>
      </c>
      <c r="J38" s="375">
        <v>100</v>
      </c>
      <c r="K38" s="381">
        <f>IF(J38&gt;0,IF(E38=D47, (MODELAGEM!EG17)*E25, IF(H50=1, H38*G38*E25,"ERRO")),0)</f>
        <v>0</v>
      </c>
      <c r="L38" s="299"/>
    </row>
    <row r="39" spans="2:12" ht="21" customHeight="1" x14ac:dyDescent="0.25">
      <c r="B39" s="1330" t="str">
        <f t="shared" si="1"/>
        <v>Tec. Vivo</v>
      </c>
      <c r="C39" s="1330"/>
      <c r="D39" s="375" t="str">
        <f>D35</f>
        <v>Aquablock</v>
      </c>
      <c r="E39" s="340" t="s">
        <v>203</v>
      </c>
      <c r="F39" s="375" t="str">
        <f>F35</f>
        <v>BRASILUSA</v>
      </c>
      <c r="G39" s="878">
        <f>ENFESTO!AU278/H128</f>
        <v>0</v>
      </c>
      <c r="H39" s="378">
        <f>H35</f>
        <v>49.9</v>
      </c>
      <c r="I39" s="383">
        <f>I35</f>
        <v>45133</v>
      </c>
      <c r="J39" s="375">
        <f>J35</f>
        <v>140</v>
      </c>
      <c r="K39" s="381">
        <f>IF(J39&gt;0,IF(E39=D47, (MODELAGEM!EG18)*E26, IF(H50=1, H39*G39*E26,"ERRO")),0)</f>
        <v>0</v>
      </c>
      <c r="L39" s="299"/>
    </row>
    <row r="40" spans="2:12" ht="21" customHeight="1" x14ac:dyDescent="0.25">
      <c r="B40" s="1328" t="str">
        <f t="shared" si="1"/>
        <v>Estrutura</v>
      </c>
      <c r="C40" s="1328"/>
      <c r="D40" s="375" t="s">
        <v>926</v>
      </c>
      <c r="E40" s="340" t="s">
        <v>203</v>
      </c>
      <c r="F40" s="375" t="s">
        <v>493</v>
      </c>
      <c r="G40" s="878">
        <f>ENFESTO!AU279/H128</f>
        <v>0</v>
      </c>
      <c r="H40" s="378">
        <v>20.12</v>
      </c>
      <c r="I40" s="383">
        <v>45182</v>
      </c>
      <c r="J40" s="375">
        <v>28</v>
      </c>
      <c r="K40" s="879">
        <f>IF(J40&gt;0,IF(E40=D47, (MODELAGEM!EG19)*E27, IF(H50=1,H40*G40*E27,"ERRO")),0)</f>
        <v>0</v>
      </c>
      <c r="L40" s="299"/>
    </row>
    <row r="41" spans="2:12" ht="21" customHeight="1" x14ac:dyDescent="0.25">
      <c r="B41" s="1302" t="str">
        <f>B28</f>
        <v>Reforço</v>
      </c>
      <c r="C41" s="1302"/>
      <c r="D41" s="376" t="s">
        <v>928</v>
      </c>
      <c r="E41" s="340" t="s">
        <v>203</v>
      </c>
      <c r="F41" s="376" t="s">
        <v>493</v>
      </c>
      <c r="G41" s="880">
        <f>ENFESTO!AU281/H129</f>
        <v>0</v>
      </c>
      <c r="H41" s="379">
        <v>7.9</v>
      </c>
      <c r="I41" s="384">
        <v>45133</v>
      </c>
      <c r="J41" s="376">
        <v>140</v>
      </c>
      <c r="K41" s="881">
        <f>IF(J41&gt;0,IF(E41=D47, (MODELAGEM!EG20)*E28, IF(H50=1,H41*G41*E28,"ERRO")),0)</f>
        <v>0</v>
      </c>
      <c r="L41" s="300"/>
    </row>
    <row r="42" spans="2:12" ht="21" customHeight="1" x14ac:dyDescent="0.3">
      <c r="C42" s="13"/>
      <c r="D42" s="13"/>
      <c r="E42" s="19">
        <f>IF(E35=D47,"0","1")+IF(D23="SIM",IF(E36=D47,"0","1"),"0")+IF(D24="SIM",IF(E37=D47,"0","1"),"0")+IF(D25="SIM",IF(E38=D47,"0","1"),"0")+IF(D26="SIM",IF(E39=D47,"0","1"),"0")+IF(D27="SIM",IF(E40=D47,"0","1"),"0")</f>
        <v>0</v>
      </c>
      <c r="F42" s="31" t="s">
        <v>217</v>
      </c>
      <c r="I42" s="369">
        <f ca="1">IF(SUM(I35:I40)&gt;0,SMALL(I35:I40,1),TODAY())</f>
        <v>45133</v>
      </c>
      <c r="J42" s="310" t="s">
        <v>200</v>
      </c>
      <c r="K42" s="324">
        <f>K35+IF(D23="SIM",K36,0)+IF(D24="SIM",K37,0)+IF(D25="SIM",K38,0)+IF(D26="SIM",K39,0)+IF(D27="SIM",K40,0)+IF(D28="SIM",K41,0)</f>
        <v>8.9467764705882349</v>
      </c>
    </row>
    <row r="43" spans="2:12" ht="21" customHeight="1" x14ac:dyDescent="0.25">
      <c r="D43" s="152"/>
      <c r="E43" s="151"/>
    </row>
    <row r="44" spans="2:12" ht="21" customHeight="1" x14ac:dyDescent="0.25">
      <c r="D44" s="216" t="s">
        <v>195</v>
      </c>
      <c r="E44" s="216"/>
      <c r="F44" s="216"/>
      <c r="G44" s="216"/>
      <c r="H44" s="216"/>
      <c r="I44" s="216"/>
      <c r="J44" s="216"/>
      <c r="K44" s="216"/>
      <c r="L44" s="216"/>
    </row>
    <row r="45" spans="2:12" ht="21" customHeight="1" x14ac:dyDescent="0.25">
      <c r="D45" s="1397" t="s">
        <v>201</v>
      </c>
      <c r="E45" s="1397"/>
      <c r="F45" s="1397"/>
      <c r="G45" s="1397"/>
      <c r="H45" s="1397"/>
      <c r="I45" s="1397"/>
      <c r="J45" s="1397"/>
      <c r="K45" s="1397"/>
      <c r="L45" s="1397"/>
    </row>
    <row r="46" spans="2:12" ht="21" customHeight="1" x14ac:dyDescent="0.25">
      <c r="D46" s="255" t="s">
        <v>204</v>
      </c>
      <c r="E46" s="1400" t="s">
        <v>205</v>
      </c>
      <c r="F46" s="1400"/>
      <c r="G46" s="1400" t="s">
        <v>206</v>
      </c>
      <c r="H46" s="1400"/>
      <c r="I46" s="1400"/>
      <c r="J46" s="1400"/>
      <c r="K46" s="1400"/>
      <c r="L46" s="1400"/>
    </row>
    <row r="47" spans="2:12" ht="21" customHeight="1" x14ac:dyDescent="0.25">
      <c r="D47" s="256" t="s">
        <v>203</v>
      </c>
      <c r="E47" s="1401" t="s">
        <v>207</v>
      </c>
      <c r="F47" s="1401"/>
      <c r="G47" s="1337" t="s">
        <v>208</v>
      </c>
      <c r="H47" s="1337"/>
      <c r="I47" s="1337"/>
      <c r="J47" s="1398" t="s">
        <v>209</v>
      </c>
      <c r="K47" s="1398"/>
      <c r="L47" s="1398"/>
    </row>
    <row r="48" spans="2:12" ht="21" customHeight="1" x14ac:dyDescent="0.25">
      <c r="D48" s="256" t="s">
        <v>194</v>
      </c>
      <c r="E48" s="1401" t="s">
        <v>210</v>
      </c>
      <c r="F48" s="1401"/>
      <c r="G48" s="1337" t="s">
        <v>211</v>
      </c>
      <c r="H48" s="1337"/>
      <c r="I48" s="1337"/>
      <c r="J48" s="1398" t="s">
        <v>212</v>
      </c>
      <c r="K48" s="1398"/>
      <c r="L48" s="1398"/>
    </row>
    <row r="49" spans="2:12" ht="21" customHeight="1" x14ac:dyDescent="0.25">
      <c r="D49" s="866" t="s">
        <v>213</v>
      </c>
      <c r="E49" s="1338" t="s">
        <v>214</v>
      </c>
      <c r="F49" s="1338"/>
      <c r="G49" s="1339" t="s">
        <v>215</v>
      </c>
      <c r="H49" s="1339"/>
      <c r="I49" s="1339"/>
      <c r="J49" s="1399" t="s">
        <v>216</v>
      </c>
      <c r="K49" s="1399"/>
      <c r="L49" s="1399"/>
    </row>
    <row r="50" spans="2:12" ht="21" customHeight="1" x14ac:dyDescent="0.25">
      <c r="D50" s="782"/>
      <c r="E50" s="783" t="s">
        <v>192</v>
      </c>
      <c r="F50" s="867">
        <f>IF(C32="SIM",1,0)</f>
        <v>1</v>
      </c>
      <c r="G50" s="877" t="s">
        <v>908</v>
      </c>
      <c r="H50" s="867">
        <f>IF(C33="SIM",1,0)</f>
        <v>0</v>
      </c>
      <c r="I50" s="783" t="s">
        <v>194</v>
      </c>
      <c r="J50" s="783"/>
      <c r="K50" s="783"/>
      <c r="L50" s="784"/>
    </row>
    <row r="52" spans="2:12" ht="21" customHeight="1" x14ac:dyDescent="0.25">
      <c r="B52" s="288">
        <f>B30+1</f>
        <v>3</v>
      </c>
      <c r="C52" s="1304" t="s">
        <v>218</v>
      </c>
      <c r="D52" s="1304"/>
      <c r="E52" s="1304"/>
      <c r="F52" s="1304"/>
      <c r="G52" s="1304"/>
      <c r="H52" s="1304"/>
      <c r="I52" s="1304"/>
      <c r="J52" s="1304"/>
      <c r="K52" s="1304"/>
      <c r="L52" s="1304"/>
    </row>
    <row r="54" spans="2:12" ht="21" customHeight="1" x14ac:dyDescent="0.25">
      <c r="C54" s="1313" t="s">
        <v>379</v>
      </c>
      <c r="D54" s="1344"/>
      <c r="E54" s="322" t="s">
        <v>189</v>
      </c>
      <c r="G54" s="1313" t="s">
        <v>443</v>
      </c>
      <c r="H54" s="1313"/>
      <c r="I54" s="1344"/>
      <c r="J54" s="322" t="s">
        <v>61</v>
      </c>
    </row>
    <row r="56" spans="2:12" ht="21" customHeight="1" x14ac:dyDescent="0.25">
      <c r="E56" s="1309" t="s">
        <v>384</v>
      </c>
      <c r="F56" s="1309" t="s">
        <v>88</v>
      </c>
      <c r="G56" s="1309" t="s">
        <v>815</v>
      </c>
      <c r="H56" s="1309" t="s">
        <v>197</v>
      </c>
      <c r="I56" s="1309" t="s">
        <v>623</v>
      </c>
      <c r="J56" s="1309" t="s">
        <v>444</v>
      </c>
      <c r="K56" s="1309" t="s">
        <v>390</v>
      </c>
      <c r="L56" s="1309" t="s">
        <v>391</v>
      </c>
    </row>
    <row r="57" spans="2:12" ht="21" customHeight="1" x14ac:dyDescent="0.25">
      <c r="E57" s="1309"/>
      <c r="F57" s="1309"/>
      <c r="G57" s="1309"/>
      <c r="H57" s="1309"/>
      <c r="I57" s="1309"/>
      <c r="J57" s="1309"/>
      <c r="K57" s="1309"/>
      <c r="L57" s="1309"/>
    </row>
    <row r="58" spans="2:12" ht="21" customHeight="1" x14ac:dyDescent="0.25">
      <c r="C58" s="1345" t="str">
        <f>IF(E54="NÃO","CORDÃO PARA VIVO:","VIVO PRONTO:")</f>
        <v>CORDÃO PARA VIVO:</v>
      </c>
      <c r="D58" s="1345"/>
      <c r="E58" s="678" t="s">
        <v>817</v>
      </c>
      <c r="F58" s="680">
        <v>0</v>
      </c>
      <c r="G58" s="682">
        <f>IF(E58&lt;&gt;0,LOOKUP(E58,ListaDeEstoque[DESCRIÇÃO],ListaDeEstoque[Largura e Dimensões]),"")</f>
        <v>0</v>
      </c>
      <c r="H58" s="682" t="str">
        <f>IF(E58&lt;&gt;0,IF((LOOKUP(E58,ListaDeEstoque[DESCRIÇÃO],ListaDeEstoque[CÓD. do FORNECEDOR]))&lt;&gt;0,IF(LOOKUP(E58,ListaDeEstoque[DESCRIÇÃO],ListaDeEstoque[FORNECEDOR])=0,"NI",LOOKUP(E58,ListaDeEstoque[DESCRIÇÃO],ListaDeEstoque[FORNECEDOR])),"NI"),"")</f>
        <v>NI</v>
      </c>
      <c r="I58" s="682">
        <f>IF(E58&lt;&gt;0,LOOKUP(E58,ListaDeEstoque[DESCRIÇÃO],ListaDeEstoque[Data do último ORÇAMENTO DO FORNECEDOR]),"")</f>
        <v>44862</v>
      </c>
      <c r="J58" s="684">
        <f>IF(E58&lt;&gt;0,LOOKUP(E58,ListaDeEstoque[DESCRIÇÃO],ListaDeEstoque[Preço unitário]),0)</f>
        <v>2.4900000000000002</v>
      </c>
      <c r="K58" s="686">
        <f>(MODELAGEM!AG36+MODELAGEM!Z37)*MODELAGEM!AG37/100</f>
        <v>1.0624777960769378</v>
      </c>
      <c r="L58" s="684">
        <f>IF(J54="SIM",IF(D22="SIM",K58*J58,0),K58*F58)</f>
        <v>0</v>
      </c>
    </row>
    <row r="59" spans="2:12" ht="21" customHeight="1" x14ac:dyDescent="0.25">
      <c r="C59" s="1312" t="str">
        <f>IF(E54="NÃO",MODELAGEM!AC33,"")</f>
        <v>MATERIAL:</v>
      </c>
      <c r="D59" s="1312"/>
      <c r="E59" s="679" t="str">
        <f>IF(E54="NÃO",MODELAGEM!AE33,"")</f>
        <v>Tec. Vivo</v>
      </c>
      <c r="F59" s="681" t="str">
        <f>IF(D54="NÃO",MODELAGEM!AF33,"")</f>
        <v/>
      </c>
      <c r="G59" s="683" t="str">
        <f>IF(E54="NÃO","**","")</f>
        <v>**</v>
      </c>
      <c r="H59" s="683" t="str">
        <f>IF(E54="NÃO","**","")</f>
        <v>**</v>
      </c>
      <c r="I59" s="683" t="str">
        <f>IF(E54="NÃO","**","")</f>
        <v>**</v>
      </c>
      <c r="J59" s="685">
        <f>IF(E54="NÃO",MODELAGEM!AG33,"")</f>
        <v>49.9</v>
      </c>
      <c r="K59" s="687">
        <f>IF(E54="NÃO",MODELAGEM!AG43/MODELAGEM!AG38,"")</f>
        <v>2.3053095630220101E-2</v>
      </c>
      <c r="L59" s="688" t="str">
        <f>IF(E54="NÃO","**","")</f>
        <v>**</v>
      </c>
    </row>
    <row r="60" spans="2:12" ht="21" customHeight="1" x14ac:dyDescent="0.3">
      <c r="D60" s="325" t="s">
        <v>374</v>
      </c>
      <c r="E60" s="1395"/>
      <c r="F60" s="1396"/>
      <c r="G60" s="1396"/>
      <c r="H60" s="1396"/>
      <c r="I60" s="1396"/>
      <c r="J60" s="1396"/>
      <c r="K60" s="307" t="s">
        <v>200</v>
      </c>
      <c r="L60" s="308">
        <f>SUM(L58:L59)</f>
        <v>0</v>
      </c>
    </row>
    <row r="61" spans="2:12" ht="21" customHeight="1" x14ac:dyDescent="0.3">
      <c r="I61" s="248"/>
      <c r="J61" s="249"/>
    </row>
    <row r="62" spans="2:12" ht="21" customHeight="1" x14ac:dyDescent="0.25">
      <c r="C62" s="1313" t="s">
        <v>401</v>
      </c>
      <c r="D62" s="1313"/>
      <c r="E62" s="322" t="s">
        <v>189</v>
      </c>
    </row>
    <row r="64" spans="2:12" ht="21" customHeight="1" x14ac:dyDescent="0.25">
      <c r="C64" s="1336" t="s">
        <v>410</v>
      </c>
      <c r="D64" s="1335" t="s">
        <v>406</v>
      </c>
      <c r="E64" s="1335" t="s">
        <v>390</v>
      </c>
      <c r="F64" s="1335" t="s">
        <v>374</v>
      </c>
      <c r="G64" s="1335" t="s">
        <v>197</v>
      </c>
      <c r="H64" s="1335" t="s">
        <v>623</v>
      </c>
      <c r="I64" s="1388" t="s">
        <v>622</v>
      </c>
      <c r="J64" s="1335" t="s">
        <v>88</v>
      </c>
      <c r="K64" s="1335" t="s">
        <v>444</v>
      </c>
      <c r="L64" s="1335" t="s">
        <v>419</v>
      </c>
    </row>
    <row r="65" spans="2:12" ht="21" customHeight="1" x14ac:dyDescent="0.25">
      <c r="B65" s="287" t="s">
        <v>389</v>
      </c>
      <c r="C65" s="1336"/>
      <c r="D65" s="1335"/>
      <c r="E65" s="1335"/>
      <c r="F65" s="1335"/>
      <c r="G65" s="1335"/>
      <c r="H65" s="1335"/>
      <c r="I65" s="1388"/>
      <c r="J65" s="1335"/>
      <c r="K65" s="1335"/>
      <c r="L65" s="1335"/>
    </row>
    <row r="66" spans="2:12" ht="21" customHeight="1" x14ac:dyDescent="0.25">
      <c r="B66">
        <v>1</v>
      </c>
      <c r="C66" s="355" t="s">
        <v>636</v>
      </c>
      <c r="D66" s="357" t="e">
        <f>LOOKUP(C66,MODELAGEM!Y21:Y25,MODELAGEM!AA21:AA25)</f>
        <v>#N/A</v>
      </c>
      <c r="E66" s="357">
        <f>MODELAGEM!S291</f>
        <v>0.124</v>
      </c>
      <c r="F66" s="359"/>
      <c r="G66" s="357" t="e">
        <f>IF(C66&lt;&gt;0,IF((LOOKUP(C66,ListaDeEstoque[DESCRIÇÃO],ListaDeEstoque[CÓD. do FORNECEDOR]))&lt;&gt;0,IF(LOOKUP(C66,ListaDeEstoque[DESCRIÇÃO],ListaDeEstoque[FORNECEDOR])=0,"NI",LOOKUP(C66,ListaDeEstoque[DESCRIÇÃO],ListaDeEstoque[FORNECEDOR])),"NI"),"")</f>
        <v>#N/A</v>
      </c>
      <c r="H66" s="361" t="e">
        <f>IF(C66&lt;&gt;0,LOOKUP(C66,ListaDeEstoque[DESCRIÇÃO],ListaDeEstoque[Data do último ORÇAMENTO DO FORNECEDOR]),"")</f>
        <v>#N/A</v>
      </c>
      <c r="I66" s="322" t="s">
        <v>61</v>
      </c>
      <c r="J66" s="363">
        <v>0</v>
      </c>
      <c r="K66" s="365" t="str">
        <f>IF(E62="SIM",MODELAGEM!Z21,"**")</f>
        <v>**</v>
      </c>
      <c r="L66" s="365" t="str">
        <f>IF(I66="SIM",IF(E62="SIM",K66*E66,"**"),J66*E66)</f>
        <v>**</v>
      </c>
    </row>
    <row r="67" spans="2:12" ht="21" customHeight="1" x14ac:dyDescent="0.25">
      <c r="B67">
        <v>2</v>
      </c>
      <c r="C67" s="356"/>
      <c r="D67" s="358">
        <f>LOOKUP(C67,MODELAGEM!Y22:Y26,MODELAGEM!AA22:AA26)</f>
        <v>0</v>
      </c>
      <c r="E67" s="358">
        <f>MODELAGEM!S292</f>
        <v>0</v>
      </c>
      <c r="F67" s="360"/>
      <c r="G67" s="346" t="str">
        <f>IF(C67&lt;&gt;0,IF((LOOKUP(C67,ListaDeEstoque[DESCRIÇÃO],ListaDeEstoque[CÓD. do FORNECEDOR]))&lt;&gt;0,IF(LOOKUP(C67,ListaDeEstoque[DESCRIÇÃO],ListaDeEstoque[FORNECEDOR])=0,"NI",LOOKUP(C67,ListaDeEstoque[DESCRIÇÃO],ListaDeEstoque[FORNECEDOR])),"NI"),"")</f>
        <v/>
      </c>
      <c r="H67" s="362" t="str">
        <f>IF(C67&lt;&gt;0,LOOKUP(C67,ListaDeEstoque[DESCRIÇÃO],ListaDeEstoque[Data do último ORÇAMENTO DO FORNECEDOR]),"")</f>
        <v/>
      </c>
      <c r="I67" s="322" t="s">
        <v>61</v>
      </c>
      <c r="J67" s="364">
        <v>0</v>
      </c>
      <c r="K67" s="366" t="str">
        <f>IF(E62="SIM",MODELAGEM!Z22,"**")</f>
        <v>**</v>
      </c>
      <c r="L67" s="366" t="str">
        <f>IF(I67="SIM",IF(E62="SIM",K67*E67,"**"),J67*E67)</f>
        <v>**</v>
      </c>
    </row>
    <row r="68" spans="2:12" ht="21" customHeight="1" x14ac:dyDescent="0.25">
      <c r="B68">
        <v>3</v>
      </c>
      <c r="C68" s="356"/>
      <c r="D68" s="358">
        <f>LOOKUP(C68,MODELAGEM!Y23:Y27,MODELAGEM!AA23:AA27)</f>
        <v>0</v>
      </c>
      <c r="E68" s="358">
        <f>MODELAGEM!S293</f>
        <v>0</v>
      </c>
      <c r="F68" s="360"/>
      <c r="G68" s="346" t="str">
        <f>IF(C68&lt;&gt;0,IF((LOOKUP(C68,ListaDeEstoque[DESCRIÇÃO],ListaDeEstoque[CÓD. do FORNECEDOR]))&lt;&gt;0,IF(LOOKUP(C68,ListaDeEstoque[DESCRIÇÃO],ListaDeEstoque[FORNECEDOR])=0,"NI",LOOKUP(C68,ListaDeEstoque[DESCRIÇÃO],ListaDeEstoque[FORNECEDOR])),"NI"),"")</f>
        <v/>
      </c>
      <c r="H68" s="362" t="str">
        <f>IF(C68&lt;&gt;0,LOOKUP(C68,ListaDeEstoque[DESCRIÇÃO],ListaDeEstoque[Data do último ORÇAMENTO DO FORNECEDOR]),"")</f>
        <v/>
      </c>
      <c r="I68" s="322" t="s">
        <v>61</v>
      </c>
      <c r="J68" s="364">
        <v>0</v>
      </c>
      <c r="K68" s="366" t="str">
        <f>IF(E62="SIM",MODELAGEM!Z23,"**")</f>
        <v>**</v>
      </c>
      <c r="L68" s="366" t="str">
        <f>IF(I68="SIM",IF(E62="SIM",K68*E68,"**"),J68*E68)</f>
        <v>**</v>
      </c>
    </row>
    <row r="69" spans="2:12" ht="21" customHeight="1" x14ac:dyDescent="0.25">
      <c r="B69">
        <v>4</v>
      </c>
      <c r="C69" s="356"/>
      <c r="D69" s="358">
        <f>LOOKUP(C69,MODELAGEM!Y24:Y28,MODELAGEM!AA24:AA28)</f>
        <v>0</v>
      </c>
      <c r="E69" s="358">
        <f>MODELAGEM!S294</f>
        <v>0</v>
      </c>
      <c r="F69" s="360"/>
      <c r="G69" s="346" t="str">
        <f>IF(C69&lt;&gt;0,IF((LOOKUP(C69,ListaDeEstoque[DESCRIÇÃO],ListaDeEstoque[CÓD. do FORNECEDOR]))&lt;&gt;0,IF(LOOKUP(C69,ListaDeEstoque[DESCRIÇÃO],ListaDeEstoque[FORNECEDOR])=0,"NI",LOOKUP(C69,ListaDeEstoque[DESCRIÇÃO],ListaDeEstoque[FORNECEDOR])),"NI"),"")</f>
        <v/>
      </c>
      <c r="H69" s="362" t="str">
        <f>IF(C69&lt;&gt;0,LOOKUP(C69,ListaDeEstoque[DESCRIÇÃO],ListaDeEstoque[Data do último ORÇAMENTO DO FORNECEDOR]),"")</f>
        <v/>
      </c>
      <c r="I69" s="322" t="s">
        <v>61</v>
      </c>
      <c r="J69" s="364">
        <v>0</v>
      </c>
      <c r="K69" s="366" t="str">
        <f>IF(E62="SIM",MODELAGEM!Z24,"**")</f>
        <v>**</v>
      </c>
      <c r="L69" s="366" t="str">
        <f>IF(I69="SIM",IF(E62="SIM",K69*E69,"**"),J69*E69)</f>
        <v>**</v>
      </c>
    </row>
    <row r="70" spans="2:12" ht="21" customHeight="1" x14ac:dyDescent="0.25">
      <c r="B70" s="453">
        <v>5</v>
      </c>
      <c r="C70" s="448"/>
      <c r="D70" s="440">
        <f>LOOKUP(C70,MODELAGEM!Y25:Y29,MODELAGEM!AA25:AA29)</f>
        <v>0</v>
      </c>
      <c r="E70" s="441">
        <f>MODELAGEM!S295</f>
        <v>0</v>
      </c>
      <c r="F70" s="460"/>
      <c r="G70" s="440" t="str">
        <f>IF(C70&lt;&gt;0,IF((LOOKUP(C70,ListaDeEstoque[DESCRIÇÃO],ListaDeEstoque[CÓD. do FORNECEDOR]))&lt;&gt;0,IF(LOOKUP(C70,ListaDeEstoque[DESCRIÇÃO],ListaDeEstoque[FORNECEDOR])=0,"NI",LOOKUP(C70,ListaDeEstoque[DESCRIÇÃO],ListaDeEstoque[FORNECEDOR])),"NI"),"")</f>
        <v/>
      </c>
      <c r="H70" s="442" t="str">
        <f>IF(C70&lt;&gt;0,LOOKUP(C70,ListaDeEstoque[DESCRIÇÃO],ListaDeEstoque[Data do último ORÇAMENTO DO FORNECEDOR]),"")</f>
        <v/>
      </c>
      <c r="I70" s="450" t="s">
        <v>61</v>
      </c>
      <c r="J70" s="451"/>
      <c r="K70" s="443" t="str">
        <f>IF(E62="SIM",MODELAGEM!Z25,"**")</f>
        <v>**</v>
      </c>
      <c r="L70" s="443" t="str">
        <f>IF(I70="SIM",IF(E62="SIM",K70*E70,"**"),J70*E70)</f>
        <v>**</v>
      </c>
    </row>
    <row r="71" spans="2:12" ht="21" customHeight="1" x14ac:dyDescent="0.25">
      <c r="B71" s="453">
        <v>6</v>
      </c>
      <c r="C71" s="449"/>
      <c r="D71" s="444">
        <f>LOOKUP(C71,MODELAGEM!Y26:Y30,MODELAGEM!AA26:AA30)</f>
        <v>0</v>
      </c>
      <c r="E71" s="444">
        <f>MODELAGEM!S296</f>
        <v>0</v>
      </c>
      <c r="F71" s="461"/>
      <c r="G71" s="445" t="str">
        <f>IF(C71&lt;&gt;0,IF((LOOKUP(C71,ListaDeEstoque[DESCRIÇÃO],ListaDeEstoque[CÓD. do FORNECEDOR]))&lt;&gt;0,IF(LOOKUP(C71,ListaDeEstoque[DESCRIÇÃO],ListaDeEstoque[FORNECEDOR])=0,"NI",LOOKUP(C71,ListaDeEstoque[DESCRIÇÃO],ListaDeEstoque[FORNECEDOR])),"NI"),"")</f>
        <v/>
      </c>
      <c r="H71" s="446" t="str">
        <f>IF(C71&lt;&gt;0,LOOKUP(C71,ListaDeEstoque[DESCRIÇÃO],ListaDeEstoque[Data do último ORÇAMENTO DO FORNECEDOR]),"")</f>
        <v/>
      </c>
      <c r="I71" s="450" t="s">
        <v>61</v>
      </c>
      <c r="J71" s="452"/>
      <c r="K71" s="447" t="str">
        <f>IF(E62="SIM",MODELAGEM!Z26,"**")</f>
        <v>**</v>
      </c>
      <c r="L71" s="447" t="str">
        <f>IF(I71="SIM",IF(E62="SIM",K71*E71,"**"),J71*E71)</f>
        <v>**</v>
      </c>
    </row>
    <row r="72" spans="2:12" ht="21" customHeight="1" x14ac:dyDescent="0.25">
      <c r="H72" s="437" t="e">
        <f ca="1">IF(SUM(H66:H71)&gt;0,SMALL(H66:H71,1),TODAY())</f>
        <v>#N/A</v>
      </c>
      <c r="K72" s="312" t="s">
        <v>200</v>
      </c>
      <c r="L72" s="313">
        <f>IF(E62="SIM",SUM(L66:L71),MODELAGEM!EI22)</f>
        <v>0.7310875816993464</v>
      </c>
    </row>
    <row r="73" spans="2:12" ht="21" customHeight="1" x14ac:dyDescent="0.25">
      <c r="C73" s="252"/>
      <c r="F73" s="220" t="s">
        <v>392</v>
      </c>
      <c r="J73" s="253"/>
      <c r="K73" s="48"/>
    </row>
    <row r="74" spans="2:12" ht="21" customHeight="1" x14ac:dyDescent="0.25">
      <c r="F74" s="220" t="str">
        <f>IF(E62="NÃO","** Valores de acordo com material específico definido na MODELAGEM","**Na planilha MODELAGEM, verificar possibilidade de moldes duplicados")</f>
        <v>** Valores de acordo com material específico definido na MODELAGEM</v>
      </c>
      <c r="I74" s="253"/>
      <c r="J74" s="48"/>
    </row>
    <row r="75" spans="2:12" ht="21" customHeight="1" x14ac:dyDescent="0.25">
      <c r="C75" s="252"/>
      <c r="H75" s="253"/>
      <c r="I75" s="48"/>
    </row>
    <row r="76" spans="2:12" ht="21" customHeight="1" x14ac:dyDescent="0.25">
      <c r="C76" s="1380" t="s">
        <v>380</v>
      </c>
      <c r="D76" s="1380"/>
      <c r="E76" s="1389"/>
      <c r="F76" s="1389"/>
      <c r="G76" s="1389"/>
      <c r="H76" s="1389"/>
      <c r="I76" s="1389"/>
      <c r="J76" s="1389"/>
      <c r="K76" s="1389"/>
      <c r="L76" s="1389"/>
    </row>
    <row r="77" spans="2:12" ht="21" customHeight="1" x14ac:dyDescent="0.25">
      <c r="C77" s="1305" t="s">
        <v>157</v>
      </c>
      <c r="D77" s="1307"/>
      <c r="E77" s="1309" t="s">
        <v>219</v>
      </c>
      <c r="F77" s="1309" t="s">
        <v>374</v>
      </c>
      <c r="G77" s="1309" t="s">
        <v>197</v>
      </c>
      <c r="H77" s="1309" t="s">
        <v>623</v>
      </c>
      <c r="I77" s="1316" t="s">
        <v>622</v>
      </c>
      <c r="J77" s="1309" t="s">
        <v>88</v>
      </c>
      <c r="K77" s="1309" t="s">
        <v>444</v>
      </c>
      <c r="L77" s="1309" t="s">
        <v>59</v>
      </c>
    </row>
    <row r="78" spans="2:12" ht="21" customHeight="1" x14ac:dyDescent="0.25">
      <c r="B78" s="286" t="s">
        <v>389</v>
      </c>
      <c r="C78" s="1306"/>
      <c r="D78" s="1308"/>
      <c r="E78" s="1309"/>
      <c r="F78" s="1309"/>
      <c r="G78" s="1317"/>
      <c r="H78" s="1309"/>
      <c r="I78" s="1316"/>
      <c r="J78" s="1309"/>
      <c r="K78" s="1309"/>
      <c r="L78" s="1309"/>
    </row>
    <row r="79" spans="2:12" ht="21" customHeight="1" x14ac:dyDescent="0.25">
      <c r="B79">
        <v>1</v>
      </c>
      <c r="C79" s="285" t="s">
        <v>220</v>
      </c>
      <c r="D79" s="270"/>
      <c r="E79" s="269">
        <v>0.05</v>
      </c>
      <c r="F79" s="857" t="s">
        <v>755</v>
      </c>
      <c r="G79" s="862" t="str">
        <f>IF(C79&lt;&gt;0,IF((LOOKUP(C79,ListaDeEstoque[DESCRIÇÃO],ListaDeEstoque[CÓD. do FORNECEDOR]))&lt;&gt;0,IF(LOOKUP(C79,ListaDeEstoque[DESCRIÇÃO],ListaDeEstoque[FORNECEDOR])=0,"NI",LOOKUP(C79,ListaDeEstoque[DESCRIÇÃO],ListaDeEstoque[FORNECEDOR])),"NI"),"")</f>
        <v>NI</v>
      </c>
      <c r="H79" s="339">
        <f>IF(C79&lt;&gt;0,LOOKUP(C79,ListaDeEstoque[DESCRIÇÃO],ListaDeEstoque[Data do último ORÇAMENTO DO FORNECEDOR]),"")</f>
        <v>44531</v>
      </c>
      <c r="I79" s="322" t="s">
        <v>61</v>
      </c>
      <c r="J79" s="266">
        <v>0</v>
      </c>
      <c r="K79" s="272">
        <f>IF(C79&lt;&gt;0,LOOKUP(C79,ListaDeEstoque[DESCRIÇÃO],ListaDeEstoque[Preço unitário]),0)</f>
        <v>0.48</v>
      </c>
      <c r="L79" s="272">
        <f t="shared" ref="L79:L88" si="2">IF(I79="SIM",K79*E79,J79*E79)</f>
        <v>2.4E-2</v>
      </c>
    </row>
    <row r="80" spans="2:12" ht="21" customHeight="1" x14ac:dyDescent="0.25">
      <c r="B80">
        <v>2</v>
      </c>
      <c r="C80" s="268" t="s">
        <v>546</v>
      </c>
      <c r="D80" s="265"/>
      <c r="E80" s="264">
        <v>5</v>
      </c>
      <c r="F80" s="858"/>
      <c r="G80" s="345" t="str">
        <f>IF(C80&lt;&gt;0,IF((LOOKUP(C80,ListaDeEstoque[DESCRIÇÃO],ListaDeEstoque[CÓD. do FORNECEDOR]))&lt;&gt;0,IF(LOOKUP(C80,ListaDeEstoque[DESCRIÇÃO],ListaDeEstoque[FORNECEDOR])=0,"NI",LOOKUP(C80,ListaDeEstoque[DESCRIÇÃO],ListaDeEstoque[FORNECEDOR])),"NI"),"")</f>
        <v>NI</v>
      </c>
      <c r="H80" s="339">
        <f>IF(C80&lt;&gt;0,LOOKUP(C80,ListaDeEstoque[DESCRIÇÃO],ListaDeEstoque[Data do último ORÇAMENTO DO FORNECEDOR]),"")</f>
        <v>44862</v>
      </c>
      <c r="I80" s="322" t="s">
        <v>61</v>
      </c>
      <c r="J80" s="266">
        <v>0</v>
      </c>
      <c r="K80" s="267">
        <f>IF(C80&lt;&gt;0,LOOKUP(C80,ListaDeEstoque[DESCRIÇÃO],ListaDeEstoque[Preço unitário]),0)</f>
        <v>20.8</v>
      </c>
      <c r="L80" s="272">
        <f t="shared" si="2"/>
        <v>104</v>
      </c>
    </row>
    <row r="81" spans="2:12" ht="21" customHeight="1" x14ac:dyDescent="0.25">
      <c r="B81">
        <v>3</v>
      </c>
      <c r="C81" s="268" t="s">
        <v>641</v>
      </c>
      <c r="D81" s="265"/>
      <c r="E81" s="264">
        <v>2</v>
      </c>
      <c r="F81" s="858"/>
      <c r="G81" s="345" t="str">
        <f>IF(C81&lt;&gt;0,IF((LOOKUP(C81,ListaDeEstoque[DESCRIÇÃO],ListaDeEstoque[CÓD. do FORNECEDOR]))&lt;&gt;0,IF(LOOKUP(C81,ListaDeEstoque[DESCRIÇÃO],ListaDeEstoque[FORNECEDOR])=0,"NI",LOOKUP(C81,ListaDeEstoque[DESCRIÇÃO],ListaDeEstoque[FORNECEDOR])),"NI"),"")</f>
        <v>NI</v>
      </c>
      <c r="H81" s="339">
        <f>IF(C81&lt;&gt;0,LOOKUP(C81,ListaDeEstoque[DESCRIÇÃO],ListaDeEstoque[Data do último ORÇAMENTO DO FORNECEDOR]),"")</f>
        <v>44862</v>
      </c>
      <c r="I81" s="322" t="s">
        <v>61</v>
      </c>
      <c r="J81" s="266">
        <v>0</v>
      </c>
      <c r="K81" s="267">
        <f>IF(C81&lt;&gt;0,LOOKUP(C81,ListaDeEstoque[DESCRIÇÃO],ListaDeEstoque[Preço unitário]),0)</f>
        <v>1.34</v>
      </c>
      <c r="L81" s="272">
        <f t="shared" si="2"/>
        <v>2.68</v>
      </c>
    </row>
    <row r="82" spans="2:12" ht="21" customHeight="1" x14ac:dyDescent="0.25">
      <c r="B82">
        <v>4</v>
      </c>
      <c r="C82" s="268"/>
      <c r="D82" s="265"/>
      <c r="E82" s="264"/>
      <c r="F82" s="858"/>
      <c r="G82" s="345" t="str">
        <f>IF(C82&lt;&gt;0,IF((LOOKUP(C82,ListaDeEstoque[DESCRIÇÃO],ListaDeEstoque[CÓD. do FORNECEDOR]))&lt;&gt;0,IF(LOOKUP(C82,ListaDeEstoque[DESCRIÇÃO],ListaDeEstoque[FORNECEDOR])=0,"NI",LOOKUP(C82,ListaDeEstoque[DESCRIÇÃO],ListaDeEstoque[FORNECEDOR])),"NI"),"")</f>
        <v/>
      </c>
      <c r="H82" s="339" t="str">
        <f>IF(C82&lt;&gt;0,LOOKUP(C82,ListaDeEstoque[DESCRIÇÃO],ListaDeEstoque[Data do último ORÇAMENTO DO FORNECEDOR]),"")</f>
        <v/>
      </c>
      <c r="I82" s="322" t="s">
        <v>61</v>
      </c>
      <c r="J82" s="266">
        <v>0</v>
      </c>
      <c r="K82" s="267">
        <f>IF(C82&lt;&gt;0,LOOKUP(C82,ListaDeEstoque[DESCRIÇÃO],ListaDeEstoque[Preço unitário]),0)</f>
        <v>0</v>
      </c>
      <c r="L82" s="272">
        <f t="shared" si="2"/>
        <v>0</v>
      </c>
    </row>
    <row r="83" spans="2:12" ht="21" customHeight="1" x14ac:dyDescent="0.25">
      <c r="B83">
        <v>5</v>
      </c>
      <c r="C83" s="268"/>
      <c r="D83" s="265"/>
      <c r="E83" s="1055"/>
      <c r="F83" s="859"/>
      <c r="G83" s="345" t="str">
        <f>IF(C83&lt;&gt;0,IF((LOOKUP(C83,ListaDeEstoque[DESCRIÇÃO],ListaDeEstoque[CÓD. do FORNECEDOR]))&lt;&gt;0,IF(LOOKUP(C83,ListaDeEstoque[DESCRIÇÃO],ListaDeEstoque[FORNECEDOR])=0,"NI",LOOKUP(C83,ListaDeEstoque[DESCRIÇÃO],ListaDeEstoque[FORNECEDOR])),"NI"),"")</f>
        <v/>
      </c>
      <c r="H83" s="339" t="str">
        <f>IF(C83&lt;&gt;0,LOOKUP(C83,ListaDeEstoque[DESCRIÇÃO],ListaDeEstoque[Data do último ORÇAMENTO DO FORNECEDOR]),"")</f>
        <v/>
      </c>
      <c r="I83" s="322" t="s">
        <v>61</v>
      </c>
      <c r="J83" s="266">
        <v>0</v>
      </c>
      <c r="K83" s="267">
        <f>IF(C83&lt;&gt;0,LOOKUP(C83,ListaDeEstoque[DESCRIÇÃO],ListaDeEstoque[Preço unitário]),0)</f>
        <v>0</v>
      </c>
      <c r="L83" s="272">
        <f t="shared" si="2"/>
        <v>0</v>
      </c>
    </row>
    <row r="84" spans="2:12" ht="21" customHeight="1" x14ac:dyDescent="0.25">
      <c r="B84">
        <v>6</v>
      </c>
      <c r="C84" s="268"/>
      <c r="D84" s="265"/>
      <c r="E84" s="264"/>
      <c r="F84" s="859"/>
      <c r="G84" s="345" t="str">
        <f>IF(C84&lt;&gt;0,IF((LOOKUP(C84,ListaDeEstoque[DESCRIÇÃO],ListaDeEstoque[CÓD. do FORNECEDOR]))&lt;&gt;0,IF(LOOKUP(C84,ListaDeEstoque[DESCRIÇÃO],ListaDeEstoque[FORNECEDOR])=0,"NI",LOOKUP(C84,ListaDeEstoque[DESCRIÇÃO],ListaDeEstoque[FORNECEDOR])),"NI"),"")</f>
        <v/>
      </c>
      <c r="H84" s="339" t="str">
        <f>IF(C84&lt;&gt;0,LOOKUP(C84,ListaDeEstoque[DESCRIÇÃO],ListaDeEstoque[Data do último ORÇAMENTO DO FORNECEDOR]),"")</f>
        <v/>
      </c>
      <c r="I84" s="322" t="s">
        <v>61</v>
      </c>
      <c r="J84" s="266">
        <v>0</v>
      </c>
      <c r="K84" s="267">
        <f>IF(C84&lt;&gt;0,LOOKUP(C84,ListaDeEstoque[DESCRIÇÃO],ListaDeEstoque[Preço unitário]),0)</f>
        <v>0</v>
      </c>
      <c r="L84" s="272">
        <f t="shared" si="2"/>
        <v>0</v>
      </c>
    </row>
    <row r="85" spans="2:12" ht="21" customHeight="1" x14ac:dyDescent="0.25">
      <c r="B85">
        <v>7</v>
      </c>
      <c r="C85" s="268"/>
      <c r="D85" s="265"/>
      <c r="E85" s="264"/>
      <c r="F85" s="859"/>
      <c r="G85" s="345" t="str">
        <f>IF(C85&lt;&gt;0,IF((LOOKUP(C85,ListaDeEstoque[DESCRIÇÃO],ListaDeEstoque[CÓD. do FORNECEDOR]))&lt;&gt;0,IF(LOOKUP(C85,ListaDeEstoque[DESCRIÇÃO],ListaDeEstoque[FORNECEDOR])=0,"NI",LOOKUP(C85,ListaDeEstoque[DESCRIÇÃO],ListaDeEstoque[FORNECEDOR])),"NI"),"")</f>
        <v/>
      </c>
      <c r="H85" s="339" t="str">
        <f>IF(C85&lt;&gt;0,LOOKUP(C85,ListaDeEstoque[DESCRIÇÃO],ListaDeEstoque[Data do último ORÇAMENTO DO FORNECEDOR]),"")</f>
        <v/>
      </c>
      <c r="I85" s="322" t="s">
        <v>61</v>
      </c>
      <c r="J85" s="266">
        <v>0</v>
      </c>
      <c r="K85" s="267">
        <f>IF(C85&lt;&gt;0,LOOKUP(C85,ListaDeEstoque[DESCRIÇÃO],ListaDeEstoque[Preço unitário]),0)</f>
        <v>0</v>
      </c>
      <c r="L85" s="272">
        <f t="shared" si="2"/>
        <v>0</v>
      </c>
    </row>
    <row r="86" spans="2:12" ht="21" customHeight="1" x14ac:dyDescent="0.25">
      <c r="B86">
        <v>8</v>
      </c>
      <c r="C86" s="268"/>
      <c r="D86" s="265"/>
      <c r="E86" s="264"/>
      <c r="F86" s="858"/>
      <c r="G86" s="345" t="str">
        <f>IF(C86&lt;&gt;0,IF((LOOKUP(C86,ListaDeEstoque[DESCRIÇÃO],ListaDeEstoque[CÓD. do FORNECEDOR]))&lt;&gt;0,IF(LOOKUP(C86,ListaDeEstoque[DESCRIÇÃO],ListaDeEstoque[FORNECEDOR])=0,"NI",LOOKUP(C86,ListaDeEstoque[DESCRIÇÃO],ListaDeEstoque[FORNECEDOR])),"NI"),"")</f>
        <v/>
      </c>
      <c r="H86" s="339" t="str">
        <f>IF(C86&lt;&gt;0,LOOKUP(C86,ListaDeEstoque[DESCRIÇÃO],ListaDeEstoque[Data do último ORÇAMENTO DO FORNECEDOR]),"")</f>
        <v/>
      </c>
      <c r="I86" s="322" t="s">
        <v>61</v>
      </c>
      <c r="J86" s="266">
        <v>0</v>
      </c>
      <c r="K86" s="267">
        <f>IF(C86&lt;&gt;0,LOOKUP(C86,ListaDeEstoque[DESCRIÇÃO],ListaDeEstoque[Preço unitário]),0)</f>
        <v>0</v>
      </c>
      <c r="L86" s="272">
        <f t="shared" si="2"/>
        <v>0</v>
      </c>
    </row>
    <row r="87" spans="2:12" ht="21" customHeight="1" x14ac:dyDescent="0.25">
      <c r="B87">
        <v>9</v>
      </c>
      <c r="C87" s="268"/>
      <c r="D87" s="265"/>
      <c r="E87" s="264"/>
      <c r="F87" s="858"/>
      <c r="G87" s="345" t="str">
        <f>IF(C87&lt;&gt;0,IF((LOOKUP(C87,ListaDeEstoque[DESCRIÇÃO],ListaDeEstoque[CÓD. do FORNECEDOR]))&lt;&gt;0,IF(LOOKUP(C87,ListaDeEstoque[DESCRIÇÃO],ListaDeEstoque[FORNECEDOR])=0,"NI",LOOKUP(C87,ListaDeEstoque[DESCRIÇÃO],ListaDeEstoque[FORNECEDOR])),"NI"),"")</f>
        <v/>
      </c>
      <c r="H87" s="339" t="str">
        <f>IF(C87&lt;&gt;0,LOOKUP(C87,ListaDeEstoque[DESCRIÇÃO],ListaDeEstoque[Data do último ORÇAMENTO DO FORNECEDOR]),"")</f>
        <v/>
      </c>
      <c r="I87" s="322" t="s">
        <v>61</v>
      </c>
      <c r="J87" s="266">
        <v>0</v>
      </c>
      <c r="K87" s="267">
        <f>IF(C87&lt;&gt;0,LOOKUP(C87,ListaDeEstoque[DESCRIÇÃO],ListaDeEstoque[Preço unitário]),0)</f>
        <v>0</v>
      </c>
      <c r="L87" s="272">
        <f t="shared" si="2"/>
        <v>0</v>
      </c>
    </row>
    <row r="88" spans="2:12" ht="21" customHeight="1" x14ac:dyDescent="0.25">
      <c r="B88">
        <v>10</v>
      </c>
      <c r="C88" s="268"/>
      <c r="D88" s="265"/>
      <c r="E88" s="264"/>
      <c r="F88" s="858"/>
      <c r="G88" s="345" t="str">
        <f>IF(C88&lt;&gt;0,IF((LOOKUP(C88,ListaDeEstoque[DESCRIÇÃO],ListaDeEstoque[CÓD. do FORNECEDOR]))&lt;&gt;0,IF(LOOKUP(C88,ListaDeEstoque[DESCRIÇÃO],ListaDeEstoque[FORNECEDOR])=0,"NI",LOOKUP(C88,ListaDeEstoque[DESCRIÇÃO],ListaDeEstoque[FORNECEDOR])),"NI"),"")</f>
        <v/>
      </c>
      <c r="H88" s="339" t="str">
        <f>IF(C88&lt;&gt;0,LOOKUP(C88,ListaDeEstoque[DESCRIÇÃO],ListaDeEstoque[Data do último ORÇAMENTO DO FORNECEDOR]),"")</f>
        <v/>
      </c>
      <c r="I88" s="322" t="s">
        <v>61</v>
      </c>
      <c r="J88" s="266">
        <v>0</v>
      </c>
      <c r="K88" s="267">
        <f>IF(C88&lt;&gt;0,LOOKUP(C88,ListaDeEstoque[DESCRIÇÃO],ListaDeEstoque[Preço unitário]),0)</f>
        <v>0</v>
      </c>
      <c r="L88" s="272">
        <f t="shared" si="2"/>
        <v>0</v>
      </c>
    </row>
    <row r="89" spans="2:12" ht="21" customHeight="1" x14ac:dyDescent="0.25">
      <c r="B89">
        <v>11</v>
      </c>
      <c r="C89" s="268"/>
      <c r="D89" s="265"/>
      <c r="E89" s="264"/>
      <c r="F89" s="858"/>
      <c r="G89" s="345" t="str">
        <f>IF(C89&lt;&gt;0,IF((LOOKUP(C89,ListaDeEstoque[DESCRIÇÃO],ListaDeEstoque[CÓD. do FORNECEDOR]))&lt;&gt;0,IF(LOOKUP(C89,ListaDeEstoque[DESCRIÇÃO],ListaDeEstoque[FORNECEDOR])=0,"NI",LOOKUP(C89,ListaDeEstoque[DESCRIÇÃO],ListaDeEstoque[FORNECEDOR])),"NI"),"")</f>
        <v/>
      </c>
      <c r="H89" s="339" t="str">
        <f>IF(C89&lt;&gt;0,LOOKUP(C89,ListaDeEstoque[DESCRIÇÃO],ListaDeEstoque[Data do último ORÇAMENTO DO FORNECEDOR]),"")</f>
        <v/>
      </c>
      <c r="I89" s="322" t="s">
        <v>61</v>
      </c>
      <c r="J89" s="266">
        <v>0</v>
      </c>
      <c r="K89" s="267">
        <f>IF(C89&lt;&gt;0,LOOKUP(C89,ListaDeEstoque[DESCRIÇÃO],ListaDeEstoque[Preço unitário]),0)</f>
        <v>0</v>
      </c>
      <c r="L89" s="272">
        <f t="shared" ref="L89:L103" si="3">IF(I89="SIM",K89*E89,J89*E89)</f>
        <v>0</v>
      </c>
    </row>
    <row r="90" spans="2:12" ht="21" customHeight="1" x14ac:dyDescent="0.25">
      <c r="B90">
        <v>12</v>
      </c>
      <c r="C90" s="268"/>
      <c r="D90" s="265"/>
      <c r="E90" s="264"/>
      <c r="F90" s="858"/>
      <c r="G90" s="345" t="str">
        <f>IF(C90&lt;&gt;0,IF((LOOKUP(C90,ListaDeEstoque[DESCRIÇÃO],ListaDeEstoque[CÓD. do FORNECEDOR]))&lt;&gt;0,IF(LOOKUP(C90,ListaDeEstoque[DESCRIÇÃO],ListaDeEstoque[FORNECEDOR])=0,"NI",LOOKUP(C90,ListaDeEstoque[DESCRIÇÃO],ListaDeEstoque[FORNECEDOR])),"NI"),"")</f>
        <v/>
      </c>
      <c r="H90" s="339" t="str">
        <f>IF(C90&lt;&gt;0,LOOKUP(C90,ListaDeEstoque[DESCRIÇÃO],ListaDeEstoque[Data do último ORÇAMENTO DO FORNECEDOR]),"")</f>
        <v/>
      </c>
      <c r="I90" s="322" t="s">
        <v>61</v>
      </c>
      <c r="J90" s="266">
        <v>0</v>
      </c>
      <c r="K90" s="267">
        <f>IF(C90&lt;&gt;0,LOOKUP(C90,ListaDeEstoque[DESCRIÇÃO],ListaDeEstoque[Preço unitário]),0)</f>
        <v>0</v>
      </c>
      <c r="L90" s="272">
        <f t="shared" si="3"/>
        <v>0</v>
      </c>
    </row>
    <row r="91" spans="2:12" ht="21" customHeight="1" x14ac:dyDescent="0.25">
      <c r="B91">
        <v>13</v>
      </c>
      <c r="C91" s="268"/>
      <c r="D91" s="265"/>
      <c r="E91" s="264"/>
      <c r="F91" s="858"/>
      <c r="G91" s="345" t="str">
        <f>IF(C91&lt;&gt;0,IF((LOOKUP(C91,ListaDeEstoque[DESCRIÇÃO],ListaDeEstoque[CÓD. do FORNECEDOR]))&lt;&gt;0,IF(LOOKUP(C91,ListaDeEstoque[DESCRIÇÃO],ListaDeEstoque[FORNECEDOR])=0,"NI",LOOKUP(C91,ListaDeEstoque[DESCRIÇÃO],ListaDeEstoque[FORNECEDOR])),"NI"),"")</f>
        <v/>
      </c>
      <c r="H91" s="339" t="str">
        <f>IF(C91&lt;&gt;0,LOOKUP(C91,ListaDeEstoque[DESCRIÇÃO],ListaDeEstoque[Data do último ORÇAMENTO DO FORNECEDOR]),"")</f>
        <v/>
      </c>
      <c r="I91" s="322" t="s">
        <v>61</v>
      </c>
      <c r="J91" s="266">
        <v>0</v>
      </c>
      <c r="K91" s="267">
        <f>IF(C91&lt;&gt;0,LOOKUP(C91,ListaDeEstoque[DESCRIÇÃO],ListaDeEstoque[Preço unitário]),0)</f>
        <v>0</v>
      </c>
      <c r="L91" s="272">
        <f t="shared" si="3"/>
        <v>0</v>
      </c>
    </row>
    <row r="92" spans="2:12" ht="21" customHeight="1" x14ac:dyDescent="0.25">
      <c r="B92">
        <v>14</v>
      </c>
      <c r="C92" s="268"/>
      <c r="D92" s="265"/>
      <c r="E92" s="264"/>
      <c r="F92" s="858"/>
      <c r="G92" s="345" t="str">
        <f>IF(C92&lt;&gt;0,IF((LOOKUP(C92,ListaDeEstoque[DESCRIÇÃO],ListaDeEstoque[CÓD. do FORNECEDOR]))&lt;&gt;0,IF(LOOKUP(C92,ListaDeEstoque[DESCRIÇÃO],ListaDeEstoque[FORNECEDOR])=0,"NI",LOOKUP(C92,ListaDeEstoque[DESCRIÇÃO],ListaDeEstoque[FORNECEDOR])),"NI"),"")</f>
        <v/>
      </c>
      <c r="H92" s="339" t="str">
        <f>IF(C92&lt;&gt;0,LOOKUP(C92,ListaDeEstoque[DESCRIÇÃO],ListaDeEstoque[Data do último ORÇAMENTO DO FORNECEDOR]),"")</f>
        <v/>
      </c>
      <c r="I92" s="322" t="s">
        <v>61</v>
      </c>
      <c r="J92" s="266">
        <v>0</v>
      </c>
      <c r="K92" s="267">
        <f>IF(C92&lt;&gt;0,LOOKUP(C92,ListaDeEstoque[DESCRIÇÃO],ListaDeEstoque[Preço unitário]),0)</f>
        <v>0</v>
      </c>
      <c r="L92" s="272">
        <f t="shared" si="3"/>
        <v>0</v>
      </c>
    </row>
    <row r="93" spans="2:12" ht="21" customHeight="1" x14ac:dyDescent="0.25">
      <c r="B93">
        <v>15</v>
      </c>
      <c r="C93" s="268"/>
      <c r="D93" s="265"/>
      <c r="E93" s="264"/>
      <c r="F93" s="858"/>
      <c r="G93" s="345" t="str">
        <f>IF(C93&lt;&gt;0,IF((LOOKUP(C93,ListaDeEstoque[DESCRIÇÃO],ListaDeEstoque[CÓD. do FORNECEDOR]))&lt;&gt;0,IF(LOOKUP(C93,ListaDeEstoque[DESCRIÇÃO],ListaDeEstoque[FORNECEDOR])=0,"NI",LOOKUP(C93,ListaDeEstoque[DESCRIÇÃO],ListaDeEstoque[FORNECEDOR])),"NI"),"")</f>
        <v/>
      </c>
      <c r="H93" s="339" t="str">
        <f>IF(C93&lt;&gt;0,LOOKUP(C93,ListaDeEstoque[DESCRIÇÃO],ListaDeEstoque[Data do último ORÇAMENTO DO FORNECEDOR]),"")</f>
        <v/>
      </c>
      <c r="I93" s="322" t="s">
        <v>61</v>
      </c>
      <c r="J93" s="266">
        <v>0</v>
      </c>
      <c r="K93" s="267">
        <f>IF(C93&lt;&gt;0,LOOKUP(C93,ListaDeEstoque[DESCRIÇÃO],ListaDeEstoque[Preço unitário]),0)</f>
        <v>0</v>
      </c>
      <c r="L93" s="272">
        <f t="shared" si="3"/>
        <v>0</v>
      </c>
    </row>
    <row r="94" spans="2:12" ht="21" customHeight="1" x14ac:dyDescent="0.25">
      <c r="B94">
        <v>16</v>
      </c>
      <c r="C94" s="268"/>
      <c r="D94" s="265"/>
      <c r="E94" s="264"/>
      <c r="F94" s="858"/>
      <c r="G94" s="345" t="str">
        <f>IF(C94&lt;&gt;0,IF((LOOKUP(C94,ListaDeEstoque[DESCRIÇÃO],ListaDeEstoque[CÓD. do FORNECEDOR]))&lt;&gt;0,IF(LOOKUP(C94,ListaDeEstoque[DESCRIÇÃO],ListaDeEstoque[FORNECEDOR])=0,"NI",LOOKUP(C94,ListaDeEstoque[DESCRIÇÃO],ListaDeEstoque[FORNECEDOR])),"NI"),"")</f>
        <v/>
      </c>
      <c r="H94" s="339" t="str">
        <f>IF(C94&lt;&gt;0,LOOKUP(C94,ListaDeEstoque[DESCRIÇÃO],ListaDeEstoque[Data do último ORÇAMENTO DO FORNECEDOR]),"")</f>
        <v/>
      </c>
      <c r="I94" s="322" t="s">
        <v>61</v>
      </c>
      <c r="J94" s="266">
        <v>0</v>
      </c>
      <c r="K94" s="267">
        <f>IF(C94&lt;&gt;0,LOOKUP(C94,ListaDeEstoque[DESCRIÇÃO],ListaDeEstoque[Preço unitário]),0)</f>
        <v>0</v>
      </c>
      <c r="L94" s="272">
        <f t="shared" si="3"/>
        <v>0</v>
      </c>
    </row>
    <row r="95" spans="2:12" ht="21" customHeight="1" x14ac:dyDescent="0.25">
      <c r="B95">
        <v>17</v>
      </c>
      <c r="C95" s="268"/>
      <c r="D95" s="265"/>
      <c r="E95" s="264"/>
      <c r="F95" s="858"/>
      <c r="G95" s="345" t="str">
        <f>IF(C95&lt;&gt;0,IF((LOOKUP(C95,ListaDeEstoque[DESCRIÇÃO],ListaDeEstoque[CÓD. do FORNECEDOR]))&lt;&gt;0,IF(LOOKUP(C95,ListaDeEstoque[DESCRIÇÃO],ListaDeEstoque[FORNECEDOR])=0,"NI",LOOKUP(C95,ListaDeEstoque[DESCRIÇÃO],ListaDeEstoque[FORNECEDOR])),"NI"),"")</f>
        <v/>
      </c>
      <c r="H95" s="339" t="str">
        <f>IF(C95&lt;&gt;0,LOOKUP(C95,ListaDeEstoque[DESCRIÇÃO],ListaDeEstoque[Data do último ORÇAMENTO DO FORNECEDOR]),"")</f>
        <v/>
      </c>
      <c r="I95" s="322" t="s">
        <v>61</v>
      </c>
      <c r="J95" s="266">
        <v>0</v>
      </c>
      <c r="K95" s="267">
        <f>IF(C95&lt;&gt;0,LOOKUP(C95,ListaDeEstoque[DESCRIÇÃO],ListaDeEstoque[Preço unitário]),0)</f>
        <v>0</v>
      </c>
      <c r="L95" s="272">
        <f t="shared" si="3"/>
        <v>0</v>
      </c>
    </row>
    <row r="96" spans="2:12" ht="21" customHeight="1" x14ac:dyDescent="0.25">
      <c r="B96">
        <v>18</v>
      </c>
      <c r="C96" s="268"/>
      <c r="D96" s="265"/>
      <c r="E96" s="264"/>
      <c r="F96" s="858"/>
      <c r="G96" s="345" t="str">
        <f>IF(C96&lt;&gt;0,IF((LOOKUP(C96,ListaDeEstoque[DESCRIÇÃO],ListaDeEstoque[CÓD. do FORNECEDOR]))&lt;&gt;0,IF(LOOKUP(C96,ListaDeEstoque[DESCRIÇÃO],ListaDeEstoque[FORNECEDOR])=0,"NI",LOOKUP(C96,ListaDeEstoque[DESCRIÇÃO],ListaDeEstoque[FORNECEDOR])),"NI"),"")</f>
        <v/>
      </c>
      <c r="H96" s="339" t="str">
        <f>IF(C96&lt;&gt;0,LOOKUP(C96,ListaDeEstoque[DESCRIÇÃO],ListaDeEstoque[Data do último ORÇAMENTO DO FORNECEDOR]),"")</f>
        <v/>
      </c>
      <c r="I96" s="322" t="s">
        <v>61</v>
      </c>
      <c r="J96" s="266">
        <v>0</v>
      </c>
      <c r="K96" s="267">
        <f>IF(C96&lt;&gt;0,LOOKUP(C96,ListaDeEstoque[DESCRIÇÃO],ListaDeEstoque[Preço unitário]),0)</f>
        <v>0</v>
      </c>
      <c r="L96" s="272">
        <f t="shared" si="3"/>
        <v>0</v>
      </c>
    </row>
    <row r="97" spans="2:12" ht="21" customHeight="1" x14ac:dyDescent="0.25">
      <c r="B97">
        <v>19</v>
      </c>
      <c r="C97" s="268"/>
      <c r="D97" s="265"/>
      <c r="E97" s="264"/>
      <c r="F97" s="858"/>
      <c r="G97" s="345" t="str">
        <f>IF(C97&lt;&gt;0,IF((LOOKUP(C97,ListaDeEstoque[DESCRIÇÃO],ListaDeEstoque[CÓD. do FORNECEDOR]))&lt;&gt;0,IF(LOOKUP(C97,ListaDeEstoque[DESCRIÇÃO],ListaDeEstoque[FORNECEDOR])=0,"NI",LOOKUP(C97,ListaDeEstoque[DESCRIÇÃO],ListaDeEstoque[FORNECEDOR])),"NI"),"")</f>
        <v/>
      </c>
      <c r="H97" s="339" t="str">
        <f>IF(C97&lt;&gt;0,LOOKUP(C97,ListaDeEstoque[DESCRIÇÃO],ListaDeEstoque[Data do último ORÇAMENTO DO FORNECEDOR]),"")</f>
        <v/>
      </c>
      <c r="I97" s="322" t="s">
        <v>61</v>
      </c>
      <c r="J97" s="266">
        <v>0</v>
      </c>
      <c r="K97" s="267">
        <f>IF(C97&lt;&gt;0,LOOKUP(C97,ListaDeEstoque[DESCRIÇÃO],ListaDeEstoque[Preço unitário]),0)</f>
        <v>0</v>
      </c>
      <c r="L97" s="272">
        <f t="shared" si="3"/>
        <v>0</v>
      </c>
    </row>
    <row r="98" spans="2:12" ht="21" customHeight="1" x14ac:dyDescent="0.25">
      <c r="B98">
        <v>20</v>
      </c>
      <c r="C98" s="268"/>
      <c r="D98" s="265"/>
      <c r="E98" s="264"/>
      <c r="F98" s="858"/>
      <c r="G98" s="345" t="str">
        <f>IF(C98&lt;&gt;0,IF((LOOKUP(C98,ListaDeEstoque[DESCRIÇÃO],ListaDeEstoque[CÓD. do FORNECEDOR]))&lt;&gt;0,IF(LOOKUP(C98,ListaDeEstoque[DESCRIÇÃO],ListaDeEstoque[FORNECEDOR])=0,"NI",LOOKUP(C98,ListaDeEstoque[DESCRIÇÃO],ListaDeEstoque[FORNECEDOR])),"NI"),"")</f>
        <v/>
      </c>
      <c r="H98" s="339" t="str">
        <f>IF(C98&lt;&gt;0,LOOKUP(C98,ListaDeEstoque[DESCRIÇÃO],ListaDeEstoque[Data do último ORÇAMENTO DO FORNECEDOR]),"")</f>
        <v/>
      </c>
      <c r="I98" s="322" t="s">
        <v>61</v>
      </c>
      <c r="J98" s="266">
        <v>0</v>
      </c>
      <c r="K98" s="267">
        <f>IF(C98&lt;&gt;0,LOOKUP(C98,ListaDeEstoque[DESCRIÇÃO],ListaDeEstoque[Preço unitário]),0)</f>
        <v>0</v>
      </c>
      <c r="L98" s="272">
        <f t="shared" si="3"/>
        <v>0</v>
      </c>
    </row>
    <row r="99" spans="2:12" ht="21" customHeight="1" x14ac:dyDescent="0.25">
      <c r="B99">
        <v>21</v>
      </c>
      <c r="C99" s="268"/>
      <c r="D99" s="265"/>
      <c r="E99" s="264"/>
      <c r="F99" s="858"/>
      <c r="G99" s="345" t="str">
        <f>IF(C99&lt;&gt;0,IF((LOOKUP(C99,ListaDeEstoque[DESCRIÇÃO],ListaDeEstoque[CÓD. do FORNECEDOR]))&lt;&gt;0,IF(LOOKUP(C99,ListaDeEstoque[DESCRIÇÃO],ListaDeEstoque[FORNECEDOR])=0,"NI",LOOKUP(C99,ListaDeEstoque[DESCRIÇÃO],ListaDeEstoque[FORNECEDOR])),"NI"),"")</f>
        <v/>
      </c>
      <c r="H99" s="339" t="str">
        <f>IF(C99&lt;&gt;0,LOOKUP(C99,ListaDeEstoque[DESCRIÇÃO],ListaDeEstoque[Data do último ORÇAMENTO DO FORNECEDOR]),"")</f>
        <v/>
      </c>
      <c r="I99" s="322" t="s">
        <v>61</v>
      </c>
      <c r="J99" s="266">
        <v>0</v>
      </c>
      <c r="K99" s="267">
        <f>IF(C99&lt;&gt;0,LOOKUP(C99,ListaDeEstoque[DESCRIÇÃO],ListaDeEstoque[Preço unitário]),0)</f>
        <v>0</v>
      </c>
      <c r="L99" s="272">
        <f t="shared" si="3"/>
        <v>0</v>
      </c>
    </row>
    <row r="100" spans="2:12" ht="21" customHeight="1" x14ac:dyDescent="0.25">
      <c r="B100">
        <v>22</v>
      </c>
      <c r="C100" s="268"/>
      <c r="D100" s="265"/>
      <c r="E100" s="264"/>
      <c r="F100" s="858"/>
      <c r="G100" s="345" t="str">
        <f>IF(C100&lt;&gt;0,IF((LOOKUP(C100,ListaDeEstoque[DESCRIÇÃO],ListaDeEstoque[CÓD. do FORNECEDOR]))&lt;&gt;0,IF(LOOKUP(C100,ListaDeEstoque[DESCRIÇÃO],ListaDeEstoque[FORNECEDOR])=0,"NI",LOOKUP(C100,ListaDeEstoque[DESCRIÇÃO],ListaDeEstoque[FORNECEDOR])),"NI"),"")</f>
        <v/>
      </c>
      <c r="H100" s="339" t="str">
        <f>IF(C100&lt;&gt;0,LOOKUP(C100,ListaDeEstoque[DESCRIÇÃO],ListaDeEstoque[Data do último ORÇAMENTO DO FORNECEDOR]),"")</f>
        <v/>
      </c>
      <c r="I100" s="322" t="s">
        <v>61</v>
      </c>
      <c r="J100" s="266">
        <v>0</v>
      </c>
      <c r="K100" s="267">
        <f>IF(C100&lt;&gt;0,LOOKUP(C100,ListaDeEstoque[DESCRIÇÃO],ListaDeEstoque[Preço unitário]),0)</f>
        <v>0</v>
      </c>
      <c r="L100" s="272">
        <f t="shared" si="3"/>
        <v>0</v>
      </c>
    </row>
    <row r="101" spans="2:12" ht="21" customHeight="1" x14ac:dyDescent="0.25">
      <c r="B101">
        <v>23</v>
      </c>
      <c r="C101" s="268"/>
      <c r="D101" s="265"/>
      <c r="E101" s="264"/>
      <c r="F101" s="858"/>
      <c r="G101" s="345" t="str">
        <f>IF(C101&lt;&gt;0,IF((LOOKUP(C101,ListaDeEstoque[DESCRIÇÃO],ListaDeEstoque[CÓD. do FORNECEDOR]))&lt;&gt;0,IF(LOOKUP(C101,ListaDeEstoque[DESCRIÇÃO],ListaDeEstoque[FORNECEDOR])=0,"NI",LOOKUP(C101,ListaDeEstoque[DESCRIÇÃO],ListaDeEstoque[FORNECEDOR])),"NI"),"")</f>
        <v/>
      </c>
      <c r="H101" s="339" t="str">
        <f>IF(C101&lt;&gt;0,LOOKUP(C101,ListaDeEstoque[DESCRIÇÃO],ListaDeEstoque[Data do último ORÇAMENTO DO FORNECEDOR]),"")</f>
        <v/>
      </c>
      <c r="I101" s="322" t="s">
        <v>61</v>
      </c>
      <c r="J101" s="266">
        <v>0</v>
      </c>
      <c r="K101" s="267">
        <f>IF(C101&lt;&gt;0,LOOKUP(C101,ListaDeEstoque[DESCRIÇÃO],ListaDeEstoque[Preço unitário]),0)</f>
        <v>0</v>
      </c>
      <c r="L101" s="272">
        <f t="shared" si="3"/>
        <v>0</v>
      </c>
    </row>
    <row r="102" spans="2:12" ht="21" customHeight="1" x14ac:dyDescent="0.25">
      <c r="B102">
        <v>24</v>
      </c>
      <c r="C102" s="268"/>
      <c r="D102" s="265"/>
      <c r="E102" s="264"/>
      <c r="F102" s="858"/>
      <c r="G102" s="345" t="str">
        <f>IF(C102&lt;&gt;0,IF((LOOKUP(C102,ListaDeEstoque[DESCRIÇÃO],ListaDeEstoque[CÓD. do FORNECEDOR]))&lt;&gt;0,IF(LOOKUP(C102,ListaDeEstoque[DESCRIÇÃO],ListaDeEstoque[FORNECEDOR])=0,"NI",LOOKUP(C102,ListaDeEstoque[DESCRIÇÃO],ListaDeEstoque[FORNECEDOR])),"NI"),"")</f>
        <v/>
      </c>
      <c r="H102" s="339" t="str">
        <f>IF(C102&lt;&gt;0,LOOKUP(C102,ListaDeEstoque[DESCRIÇÃO],ListaDeEstoque[Data do último ORÇAMENTO DO FORNECEDOR]),"")</f>
        <v/>
      </c>
      <c r="I102" s="322" t="s">
        <v>61</v>
      </c>
      <c r="J102" s="266">
        <v>0</v>
      </c>
      <c r="K102" s="267">
        <f>IF(C102&lt;&gt;0,LOOKUP(C102,ListaDeEstoque[DESCRIÇÃO],ListaDeEstoque[Preço unitário]),0)</f>
        <v>0</v>
      </c>
      <c r="L102" s="272">
        <f t="shared" si="3"/>
        <v>0</v>
      </c>
    </row>
    <row r="103" spans="2:12" ht="21" customHeight="1" x14ac:dyDescent="0.25">
      <c r="B103">
        <v>25</v>
      </c>
      <c r="C103" s="276"/>
      <c r="D103" s="277"/>
      <c r="E103" s="278"/>
      <c r="F103" s="860"/>
      <c r="G103" s="863" t="str">
        <f>IF(C103&lt;&gt;0,IF((LOOKUP(C103,ListaDeEstoque[DESCRIÇÃO],ListaDeEstoque[CÓD. do FORNECEDOR]))&lt;&gt;0,IF(LOOKUP(C103,ListaDeEstoque[DESCRIÇÃO],ListaDeEstoque[FORNECEDOR])=0,"NI",LOOKUP(C103,ListaDeEstoque[DESCRIÇÃO],ListaDeEstoque[FORNECEDOR])),"NI"),"")</f>
        <v/>
      </c>
      <c r="H103" s="861" t="str">
        <f>IF(C103&lt;&gt;0,LOOKUP(C103,ListaDeEstoque[DESCRIÇÃO],ListaDeEstoque[Data do último ORÇAMENTO DO FORNECEDOR]),"")</f>
        <v/>
      </c>
      <c r="I103" s="322" t="s">
        <v>61</v>
      </c>
      <c r="J103" s="279">
        <v>0</v>
      </c>
      <c r="K103" s="280">
        <f>IF(C103&lt;&gt;0,LOOKUP(C103,ListaDeEstoque[DESCRIÇÃO],ListaDeEstoque[Preço unitário]),0)</f>
        <v>0</v>
      </c>
      <c r="L103" s="281">
        <f t="shared" si="3"/>
        <v>0</v>
      </c>
    </row>
    <row r="104" spans="2:12" ht="21" customHeight="1" x14ac:dyDescent="0.3">
      <c r="D104" s="221" t="s">
        <v>445</v>
      </c>
      <c r="H104" s="369">
        <f ca="1">IF(SUM(H79:H103)&gt;0,SMALL(H79:H103,1),TODAY())</f>
        <v>44531</v>
      </c>
      <c r="K104" s="310" t="s">
        <v>200</v>
      </c>
      <c r="L104" s="311">
        <f>SUM(L79:L103)</f>
        <v>106.70400000000001</v>
      </c>
    </row>
    <row r="106" spans="2:12" ht="21" customHeight="1" x14ac:dyDescent="0.25">
      <c r="B106" s="275">
        <f>B52+1</f>
        <v>4</v>
      </c>
      <c r="C106" s="1304" t="s">
        <v>224</v>
      </c>
      <c r="D106" s="1304"/>
      <c r="E106" s="1304"/>
      <c r="F106" s="1304"/>
      <c r="G106" s="1304"/>
      <c r="H106" s="1304"/>
      <c r="I106" s="1304"/>
      <c r="J106" s="1304"/>
      <c r="K106" s="1304"/>
      <c r="L106" s="1304"/>
    </row>
    <row r="108" spans="2:12" ht="21" customHeight="1" x14ac:dyDescent="0.25">
      <c r="B108" s="1314" t="s">
        <v>225</v>
      </c>
      <c r="C108" s="1314"/>
      <c r="D108" s="1315"/>
      <c r="E108" s="260">
        <v>1</v>
      </c>
    </row>
    <row r="110" spans="2:12" ht="21" customHeight="1" x14ac:dyDescent="0.25">
      <c r="C110" s="1305" t="s">
        <v>157</v>
      </c>
      <c r="D110" s="1307"/>
      <c r="E110" s="1309" t="s">
        <v>219</v>
      </c>
      <c r="F110" s="1309" t="s">
        <v>374</v>
      </c>
      <c r="G110" s="1309" t="s">
        <v>197</v>
      </c>
      <c r="H110" s="1309" t="s">
        <v>623</v>
      </c>
      <c r="I110" s="1316" t="s">
        <v>622</v>
      </c>
      <c r="J110" s="1309" t="s">
        <v>88</v>
      </c>
      <c r="K110" s="1309" t="s">
        <v>444</v>
      </c>
      <c r="L110" s="1309" t="s">
        <v>59</v>
      </c>
    </row>
    <row r="111" spans="2:12" ht="21" customHeight="1" x14ac:dyDescent="0.25">
      <c r="B111" s="290" t="s">
        <v>389</v>
      </c>
      <c r="C111" s="1306"/>
      <c r="D111" s="1308"/>
      <c r="E111" s="1309"/>
      <c r="F111" s="1309"/>
      <c r="G111" s="1309"/>
      <c r="H111" s="1309"/>
      <c r="I111" s="1316"/>
      <c r="J111" s="1309"/>
      <c r="K111" s="1309"/>
      <c r="L111" s="1309"/>
    </row>
    <row r="112" spans="2:12" ht="21" customHeight="1" x14ac:dyDescent="0.25">
      <c r="B112">
        <v>1</v>
      </c>
      <c r="C112" s="285" t="s">
        <v>654</v>
      </c>
      <c r="D112" s="270"/>
      <c r="E112" s="269">
        <v>1</v>
      </c>
      <c r="F112" s="857"/>
      <c r="G112" s="862" t="str">
        <f>IF(C112&lt;&gt;0,IF((LOOKUP(C112,ListaDeEstoque[DESCRIÇÃO],ListaDeEstoque[CÓD. do FORNECEDOR]))&lt;&gt;0,IF(LOOKUP(C112,ListaDeEstoque[DESCRIÇÃO],ListaDeEstoque[FORNECEDOR])=0,"NI",LOOKUP(C112,ListaDeEstoque[DESCRIÇÃO],ListaDeEstoque[FORNECEDOR])),"NI"),"")</f>
        <v>NI</v>
      </c>
      <c r="H112" s="339">
        <f>IF(C112&lt;&gt;0,LOOKUP(C112,ListaDeEstoque[DESCRIÇÃO],ListaDeEstoque[Data do último ORÇAMENTO DO FORNECEDOR]),"")</f>
        <v>44862</v>
      </c>
      <c r="I112" s="322" t="s">
        <v>61</v>
      </c>
      <c r="J112" s="271">
        <v>0</v>
      </c>
      <c r="K112" s="272">
        <f>IF(C112&lt;&gt;0,LOOKUP(C112,ListaDeEstoque[DESCRIÇÃO],ListaDeEstoque[Preço unitário]),0)</f>
        <v>2.4900000000000002</v>
      </c>
      <c r="L112" s="272">
        <f t="shared" ref="L112:L119" si="4">IF(I112="SIM",K112*E112,J112*E112)</f>
        <v>2.4900000000000002</v>
      </c>
    </row>
    <row r="113" spans="2:12" ht="21" customHeight="1" x14ac:dyDescent="0.25">
      <c r="B113">
        <v>2</v>
      </c>
      <c r="C113" s="268" t="s">
        <v>897</v>
      </c>
      <c r="D113" s="265"/>
      <c r="E113" s="264">
        <v>1</v>
      </c>
      <c r="F113" s="858"/>
      <c r="G113" s="346" t="str">
        <f>IF(C113&lt;&gt;0,IF((LOOKUP(C113,ListaDeEstoque[DESCRIÇÃO],ListaDeEstoque[CÓD. do FORNECEDOR]))&lt;&gt;0,IF(LOOKUP(C113,ListaDeEstoque[DESCRIÇÃO],ListaDeEstoque[FORNECEDOR])=0,"NI",LOOKUP(C113,ListaDeEstoque[DESCRIÇÃO],ListaDeEstoque[FORNECEDOR])),"NI"),"")</f>
        <v>NI</v>
      </c>
      <c r="H113" s="864">
        <f>IF(C113&lt;&gt;0,LOOKUP(C113,ListaDeEstoque[DESCRIÇÃO],ListaDeEstoque[Data do último ORÇAMENTO DO FORNECEDOR]),"")</f>
        <v>44692</v>
      </c>
      <c r="I113" s="322" t="s">
        <v>61</v>
      </c>
      <c r="J113" s="266">
        <v>0</v>
      </c>
      <c r="K113" s="267">
        <f>IF(C113&lt;&gt;0,LOOKUP(C113,ListaDeEstoque[DESCRIÇÃO],ListaDeEstoque[Preço unitário]),0)</f>
        <v>0.85</v>
      </c>
      <c r="L113" s="273">
        <f t="shared" si="4"/>
        <v>0.85</v>
      </c>
    </row>
    <row r="114" spans="2:12" ht="21" customHeight="1" x14ac:dyDescent="0.25">
      <c r="B114">
        <v>3</v>
      </c>
      <c r="C114" s="268" t="s">
        <v>898</v>
      </c>
      <c r="D114" s="265"/>
      <c r="E114" s="264">
        <v>1</v>
      </c>
      <c r="F114" s="858"/>
      <c r="G114" s="346" t="str">
        <f>IF(C114&lt;&gt;0,IF((LOOKUP(C114,ListaDeEstoque[DESCRIÇÃO],ListaDeEstoque[CÓD. do FORNECEDOR]))&lt;&gt;0,IF(LOOKUP(C114,ListaDeEstoque[DESCRIÇÃO],ListaDeEstoque[FORNECEDOR])=0,"NI",LOOKUP(C114,ListaDeEstoque[DESCRIÇÃO],ListaDeEstoque[FORNECEDOR])),"NI"),"")</f>
        <v>NI</v>
      </c>
      <c r="H114" s="864">
        <f>IF(C114&lt;&gt;0,LOOKUP(C114,ListaDeEstoque[DESCRIÇÃO],ListaDeEstoque[Data do último ORÇAMENTO DO FORNECEDOR]),"")</f>
        <v>44531</v>
      </c>
      <c r="I114" s="322" t="s">
        <v>61</v>
      </c>
      <c r="J114" s="266">
        <v>0</v>
      </c>
      <c r="K114" s="267">
        <f>IF(C114&lt;&gt;0,LOOKUP(C114,ListaDeEstoque[DESCRIÇÃO],ListaDeEstoque[Preço unitário]),0)</f>
        <v>2.5</v>
      </c>
      <c r="L114" s="273">
        <f t="shared" si="4"/>
        <v>2.5</v>
      </c>
    </row>
    <row r="115" spans="2:12" ht="21" customHeight="1" x14ac:dyDescent="0.25">
      <c r="B115">
        <v>4</v>
      </c>
      <c r="C115" s="268" t="s">
        <v>425</v>
      </c>
      <c r="D115" s="265"/>
      <c r="E115" s="264">
        <v>1</v>
      </c>
      <c r="F115" s="858"/>
      <c r="G115" s="346" t="str">
        <f>IF(C115&lt;&gt;0,IF((LOOKUP(C115,ListaDeEstoque[DESCRIÇÃO],ListaDeEstoque[CÓD. do FORNECEDOR]))&lt;&gt;0,IF(LOOKUP(C115,ListaDeEstoque[DESCRIÇÃO],ListaDeEstoque[FORNECEDOR])=0,"NI",LOOKUP(C115,ListaDeEstoque[DESCRIÇÃO],ListaDeEstoque[FORNECEDOR])),"NI"),"")</f>
        <v>NI</v>
      </c>
      <c r="H115" s="864">
        <f>IF(C115&lt;&gt;0,LOOKUP(C115,ListaDeEstoque[DESCRIÇÃO],ListaDeEstoque[Data do último ORÇAMENTO DO FORNECEDOR]),"")</f>
        <v>43252</v>
      </c>
      <c r="I115" s="322" t="s">
        <v>61</v>
      </c>
      <c r="J115" s="266">
        <v>0</v>
      </c>
      <c r="K115" s="267">
        <f>IF(C115&lt;&gt;0,LOOKUP(C115,ListaDeEstoque[DESCRIÇÃO],ListaDeEstoque[Preço unitário]),0)</f>
        <v>0.02</v>
      </c>
      <c r="L115" s="273">
        <f t="shared" si="4"/>
        <v>0.02</v>
      </c>
    </row>
    <row r="116" spans="2:12" ht="21" customHeight="1" x14ac:dyDescent="0.25">
      <c r="B116">
        <v>5</v>
      </c>
      <c r="C116" s="268"/>
      <c r="D116" s="265"/>
      <c r="E116" s="264"/>
      <c r="F116" s="858"/>
      <c r="G116" s="346" t="str">
        <f>IF(C116&lt;&gt;0,IF((LOOKUP(C116,ListaDeEstoque[DESCRIÇÃO],ListaDeEstoque[CÓD. do FORNECEDOR]))&lt;&gt;0,IF(LOOKUP(C116,ListaDeEstoque[DESCRIÇÃO],ListaDeEstoque[FORNECEDOR])=0,"NI",LOOKUP(C116,ListaDeEstoque[DESCRIÇÃO],ListaDeEstoque[FORNECEDOR])),"NI"),"")</f>
        <v/>
      </c>
      <c r="H116" s="864" t="str">
        <f>IF(C116&lt;&gt;0,LOOKUP(C116,ListaDeEstoque[DESCRIÇÃO],ListaDeEstoque[Data do último ORÇAMENTO DO FORNECEDOR]),"")</f>
        <v/>
      </c>
      <c r="I116" s="322" t="s">
        <v>61</v>
      </c>
      <c r="J116" s="266">
        <v>0</v>
      </c>
      <c r="K116" s="267">
        <f>IF(C116&lt;&gt;0,LOOKUP(C116,ListaDeEstoque[DESCRIÇÃO],ListaDeEstoque[Preço unitário]),0)</f>
        <v>0</v>
      </c>
      <c r="L116" s="273">
        <f t="shared" si="4"/>
        <v>0</v>
      </c>
    </row>
    <row r="117" spans="2:12" ht="21" customHeight="1" x14ac:dyDescent="0.25">
      <c r="B117">
        <v>6</v>
      </c>
      <c r="C117" s="268"/>
      <c r="D117" s="265"/>
      <c r="E117" s="264"/>
      <c r="F117" s="858"/>
      <c r="G117" s="346" t="str">
        <f>IF(C117&lt;&gt;0,IF((LOOKUP(C117,ListaDeEstoque[DESCRIÇÃO],ListaDeEstoque[CÓD. do FORNECEDOR]))&lt;&gt;0,IF(LOOKUP(C117,ListaDeEstoque[DESCRIÇÃO],ListaDeEstoque[FORNECEDOR])=0,"NI",LOOKUP(C117,ListaDeEstoque[DESCRIÇÃO],ListaDeEstoque[FORNECEDOR])),"NI"),"")</f>
        <v/>
      </c>
      <c r="H117" s="864" t="str">
        <f>IF(C117&lt;&gt;0,LOOKUP(C117,ListaDeEstoque[DESCRIÇÃO],ListaDeEstoque[Data do último ORÇAMENTO DO FORNECEDOR]),"")</f>
        <v/>
      </c>
      <c r="I117" s="322" t="s">
        <v>61</v>
      </c>
      <c r="J117" s="266">
        <v>0</v>
      </c>
      <c r="K117" s="267">
        <f>IF(C117&lt;&gt;0,LOOKUP(C117,ListaDeEstoque[DESCRIÇÃO],ListaDeEstoque[Preço unitário]),0)</f>
        <v>0</v>
      </c>
      <c r="L117" s="273">
        <f t="shared" si="4"/>
        <v>0</v>
      </c>
    </row>
    <row r="118" spans="2:12" ht="21" customHeight="1" x14ac:dyDescent="0.25">
      <c r="B118">
        <v>7</v>
      </c>
      <c r="C118" s="268"/>
      <c r="D118" s="265"/>
      <c r="E118" s="264"/>
      <c r="F118" s="858"/>
      <c r="G118" s="346" t="str">
        <f>IF(C118&lt;&gt;0,IF((LOOKUP(C118,ListaDeEstoque[DESCRIÇÃO],ListaDeEstoque[CÓD. do FORNECEDOR]))&lt;&gt;0,IF(LOOKUP(C118,ListaDeEstoque[DESCRIÇÃO],ListaDeEstoque[FORNECEDOR])=0,"NI",LOOKUP(C118,ListaDeEstoque[DESCRIÇÃO],ListaDeEstoque[FORNECEDOR])),"NI"),"")</f>
        <v/>
      </c>
      <c r="H118" s="864" t="str">
        <f>IF(C118&lt;&gt;0,LOOKUP(C118,ListaDeEstoque[DESCRIÇÃO],ListaDeEstoque[Data do último ORÇAMENTO DO FORNECEDOR]),"")</f>
        <v/>
      </c>
      <c r="I118" s="322" t="s">
        <v>61</v>
      </c>
      <c r="J118" s="266">
        <v>0</v>
      </c>
      <c r="K118" s="267">
        <f>IF(C118&lt;&gt;0,LOOKUP(C118,ListaDeEstoque[DESCRIÇÃO],ListaDeEstoque[Preço unitário]),0)</f>
        <v>0</v>
      </c>
      <c r="L118" s="273">
        <f t="shared" si="4"/>
        <v>0</v>
      </c>
    </row>
    <row r="119" spans="2:12" ht="21" customHeight="1" x14ac:dyDescent="0.25">
      <c r="B119">
        <v>8</v>
      </c>
      <c r="C119" s="276"/>
      <c r="D119" s="277"/>
      <c r="E119" s="278"/>
      <c r="F119" s="860"/>
      <c r="G119" s="347" t="str">
        <f>IF(C119&lt;&gt;0,IF((LOOKUP(C119,ListaDeEstoque[DESCRIÇÃO],ListaDeEstoque[CÓD. do FORNECEDOR]))&lt;&gt;0,IF(LOOKUP(C119,ListaDeEstoque[DESCRIÇÃO],ListaDeEstoque[FORNECEDOR])=0,"NI",LOOKUP(C119,ListaDeEstoque[DESCRIÇÃO],ListaDeEstoque[FORNECEDOR])),"NI"),"")</f>
        <v/>
      </c>
      <c r="H119" s="861" t="str">
        <f>IF(C119&lt;&gt;0,LOOKUP(C119,ListaDeEstoque[DESCRIÇÃO],ListaDeEstoque[Data do último ORÇAMENTO DO FORNECEDOR]),"")</f>
        <v/>
      </c>
      <c r="I119" s="322" t="s">
        <v>61</v>
      </c>
      <c r="J119" s="279">
        <v>0</v>
      </c>
      <c r="K119" s="280">
        <f>IF(C119&lt;&gt;0,LOOKUP(C119,ListaDeEstoque[DESCRIÇÃO],ListaDeEstoque[Preço unitário]),0)</f>
        <v>0</v>
      </c>
      <c r="L119" s="274">
        <f t="shared" si="4"/>
        <v>0</v>
      </c>
    </row>
    <row r="120" spans="2:12" ht="21" customHeight="1" x14ac:dyDescent="0.3">
      <c r="D120" t="s">
        <v>223</v>
      </c>
      <c r="H120" s="369">
        <f ca="1">IF(SUM(H112:H119)&gt;0,SMALL(H112:H119,1),TODAY())</f>
        <v>43252</v>
      </c>
      <c r="K120" s="310" t="s">
        <v>200</v>
      </c>
      <c r="L120" s="311">
        <f>SUM(L112:L119)/E108</f>
        <v>5.8599999999999994</v>
      </c>
    </row>
    <row r="121" spans="2:12" ht="21" customHeight="1" x14ac:dyDescent="0.3">
      <c r="J121" s="248"/>
      <c r="K121" s="263"/>
    </row>
    <row r="122" spans="2:12" ht="21" customHeight="1" x14ac:dyDescent="0.25">
      <c r="B122" s="329"/>
      <c r="C122" s="330"/>
      <c r="D122" s="330"/>
      <c r="E122" s="330"/>
      <c r="F122" s="330"/>
      <c r="G122" s="330"/>
      <c r="H122" s="330"/>
      <c r="I122" s="330"/>
      <c r="J122" s="330"/>
      <c r="K122" s="330"/>
      <c r="L122" s="331"/>
    </row>
    <row r="123" spans="2:12" ht="21" customHeight="1" x14ac:dyDescent="0.3">
      <c r="E123" s="1390" t="s">
        <v>446</v>
      </c>
      <c r="F123" s="1390"/>
      <c r="G123" s="1390"/>
      <c r="H123" s="1392">
        <f>K42+L60+L104+L120+IF(D19="NÃO",0,IF(E62="SIM",L72,0))</f>
        <v>121.51077647058824</v>
      </c>
      <c r="I123" s="1392"/>
    </row>
    <row r="125" spans="2:12" ht="21" customHeight="1" x14ac:dyDescent="0.25">
      <c r="B125" s="288">
        <f>B106+1</f>
        <v>5</v>
      </c>
      <c r="C125" s="1304" t="s">
        <v>13</v>
      </c>
      <c r="D125" s="1304"/>
      <c r="E125" s="1304"/>
      <c r="F125" s="1304"/>
      <c r="G125" s="1304"/>
      <c r="H125" s="1304"/>
      <c r="I125" s="1304"/>
      <c r="J125" s="1304"/>
      <c r="K125" s="1304"/>
      <c r="L125" s="1304"/>
    </row>
    <row r="127" spans="2:12" ht="21" customHeight="1" x14ac:dyDescent="0.25">
      <c r="E127" s="1382" t="s">
        <v>370</v>
      </c>
      <c r="F127" s="1382"/>
      <c r="G127" s="1383"/>
      <c r="H127" s="1391">
        <f>MODELAGEM!K8</f>
        <v>35</v>
      </c>
      <c r="I127" s="1391"/>
    </row>
    <row r="128" spans="2:12" ht="21" customHeight="1" x14ac:dyDescent="0.25">
      <c r="E128" s="1384" t="s">
        <v>371</v>
      </c>
      <c r="F128" s="1384"/>
      <c r="G128" s="1385"/>
      <c r="H128" s="1386">
        <v>20</v>
      </c>
      <c r="I128" s="1387"/>
    </row>
    <row r="129" spans="4:9" ht="21" customHeight="1" x14ac:dyDescent="0.25">
      <c r="E129" s="1350" t="s">
        <v>372</v>
      </c>
      <c r="F129" s="1350"/>
      <c r="G129" s="1351"/>
      <c r="H129" s="1393">
        <f>H128*H123</f>
        <v>2430.2155294117647</v>
      </c>
      <c r="I129" s="1393"/>
    </row>
    <row r="130" spans="4:9" ht="21" customHeight="1" x14ac:dyDescent="0.25">
      <c r="E130" s="1384" t="s">
        <v>373</v>
      </c>
      <c r="F130" s="1384"/>
      <c r="G130" s="1385"/>
      <c r="H130" s="1387">
        <v>3.5</v>
      </c>
      <c r="I130" s="1387"/>
    </row>
    <row r="132" spans="4:9" ht="21" customHeight="1" x14ac:dyDescent="0.25">
      <c r="E132" s="1368" t="s">
        <v>375</v>
      </c>
      <c r="F132" s="1368"/>
      <c r="G132" s="1368"/>
      <c r="H132" s="1368"/>
      <c r="I132" s="1368"/>
    </row>
    <row r="133" spans="4:9" ht="21" customHeight="1" x14ac:dyDescent="0.25">
      <c r="E133" s="282" t="str">
        <f>B8</f>
        <v>REFERÊNCIA</v>
      </c>
      <c r="F133" s="1381" t="str">
        <f>C8</f>
        <v>REF. NOME + Nº - 15H x 10B x 5L (cm)</v>
      </c>
      <c r="G133" s="1381"/>
      <c r="H133" s="1381"/>
      <c r="I133" s="1381"/>
    </row>
    <row r="135" spans="4:9" ht="21" customHeight="1" x14ac:dyDescent="0.3">
      <c r="F135" s="1346" t="s">
        <v>417</v>
      </c>
      <c r="G135" s="1346"/>
      <c r="H135" s="1347">
        <f>H129*H130</f>
        <v>8505.754352941176</v>
      </c>
      <c r="I135" s="1347"/>
    </row>
    <row r="137" spans="4:9" ht="21" customHeight="1" x14ac:dyDescent="0.3">
      <c r="F137" s="1346" t="s">
        <v>226</v>
      </c>
      <c r="G137" s="1346"/>
      <c r="H137" s="1347">
        <f>H135/H128</f>
        <v>425.2877176470588</v>
      </c>
      <c r="I137" s="1347"/>
    </row>
    <row r="139" spans="4:9" ht="21" customHeight="1" x14ac:dyDescent="0.25">
      <c r="D139" s="289" t="s">
        <v>227</v>
      </c>
      <c r="E139" s="1348" t="s">
        <v>228</v>
      </c>
      <c r="F139" s="1348"/>
      <c r="G139" s="1348"/>
      <c r="H139" s="1349"/>
      <c r="I139" s="289" t="s">
        <v>88</v>
      </c>
    </row>
    <row r="140" spans="4:9" ht="21" customHeight="1" x14ac:dyDescent="0.25">
      <c r="D140" s="319"/>
      <c r="E140" s="1362"/>
      <c r="F140" s="1362"/>
      <c r="G140" s="1362"/>
      <c r="H140" s="1363"/>
      <c r="I140" s="585"/>
    </row>
    <row r="141" spans="4:9" ht="21" customHeight="1" x14ac:dyDescent="0.25">
      <c r="D141" s="320"/>
      <c r="E141" s="1352"/>
      <c r="F141" s="1352"/>
      <c r="G141" s="1352"/>
      <c r="H141" s="1353"/>
      <c r="I141" s="586"/>
    </row>
    <row r="142" spans="4:9" ht="21" customHeight="1" x14ac:dyDescent="0.25">
      <c r="D142" s="320"/>
      <c r="E142" s="1352"/>
      <c r="F142" s="1352"/>
      <c r="G142" s="1352"/>
      <c r="H142" s="1353"/>
      <c r="I142" s="586"/>
    </row>
    <row r="143" spans="4:9" ht="21" customHeight="1" x14ac:dyDescent="0.25">
      <c r="D143" s="321"/>
      <c r="E143" s="1354"/>
      <c r="F143" s="1354"/>
      <c r="G143" s="1354"/>
      <c r="H143" s="1355"/>
      <c r="I143" s="587"/>
    </row>
    <row r="145" spans="2:12" ht="21" customHeight="1" x14ac:dyDescent="0.25">
      <c r="B145" s="353">
        <f>B125+1</f>
        <v>6</v>
      </c>
      <c r="C145" s="1376" t="s">
        <v>383</v>
      </c>
      <c r="D145" s="1377"/>
      <c r="E145" s="1377"/>
      <c r="F145" s="1377"/>
      <c r="G145" s="1377"/>
      <c r="H145" s="1377"/>
      <c r="I145" s="1377"/>
      <c r="J145" s="1377"/>
      <c r="K145" s="1377"/>
      <c r="L145" s="1377"/>
    </row>
    <row r="148" spans="2:12" ht="21" customHeight="1" x14ac:dyDescent="0.25">
      <c r="C148" s="1357" t="s">
        <v>448</v>
      </c>
      <c r="D148" s="1358"/>
      <c r="E148" s="1358"/>
      <c r="F148" s="1358"/>
      <c r="G148" s="1358"/>
      <c r="H148" s="1358"/>
      <c r="I148" s="1358"/>
      <c r="J148" s="1358"/>
      <c r="K148" s="1358"/>
      <c r="L148" s="1359"/>
    </row>
    <row r="149" spans="2:12" ht="21" customHeight="1" x14ac:dyDescent="0.25">
      <c r="C149" s="1305" t="s">
        <v>157</v>
      </c>
      <c r="D149" s="1378"/>
      <c r="E149" s="1309" t="s">
        <v>219</v>
      </c>
      <c r="F149" s="1309" t="s">
        <v>374</v>
      </c>
      <c r="G149" s="1309" t="s">
        <v>197</v>
      </c>
      <c r="H149" s="1309" t="s">
        <v>623</v>
      </c>
      <c r="I149" s="1316" t="s">
        <v>622</v>
      </c>
      <c r="J149" s="1309" t="s">
        <v>88</v>
      </c>
      <c r="K149" s="1309" t="s">
        <v>444</v>
      </c>
      <c r="L149" s="1309" t="s">
        <v>59</v>
      </c>
    </row>
    <row r="150" spans="2:12" ht="21" customHeight="1" x14ac:dyDescent="0.25">
      <c r="B150" s="286" t="s">
        <v>389</v>
      </c>
      <c r="C150" s="1306"/>
      <c r="D150" s="1379"/>
      <c r="E150" s="1309"/>
      <c r="F150" s="1309"/>
      <c r="G150" s="1309"/>
      <c r="H150" s="1309"/>
      <c r="I150" s="1316"/>
      <c r="J150" s="1309"/>
      <c r="K150" s="1309"/>
      <c r="L150" s="1309"/>
    </row>
    <row r="151" spans="2:12" ht="21" customHeight="1" x14ac:dyDescent="0.25">
      <c r="B151">
        <v>1</v>
      </c>
      <c r="C151" s="285" t="s">
        <v>450</v>
      </c>
      <c r="D151" s="337"/>
      <c r="E151" s="341"/>
      <c r="F151" s="344"/>
      <c r="G151" s="862" t="str">
        <f>IF(C151&lt;&gt;0,IF((LOOKUP(C151,ListaDeEstoque[DESCRIÇÃO],ListaDeEstoque[CÓD. do FORNECEDOR]))&lt;&gt;0,IF(LOOKUP(C151,ListaDeEstoque[DESCRIÇÃO],ListaDeEstoque[FORNECEDOR])=0,"NI",LOOKUP(C151,ListaDeEstoque[DESCRIÇÃO],ListaDeEstoque[FORNECEDOR])),"NI"),"")</f>
        <v>NI</v>
      </c>
      <c r="H151" s="348">
        <f>IF(C151&lt;&gt;0,LOOKUP(C151,ListaDeEstoque[DESCRIÇÃO],ListaDeEstoque[Data do último ORÇAMENTO DO FORNECEDOR]),"")</f>
        <v>44862</v>
      </c>
      <c r="I151" s="351" t="s">
        <v>61</v>
      </c>
      <c r="J151" s="305">
        <v>0</v>
      </c>
      <c r="K151" s="352">
        <f>IF(C151&lt;&gt;0,LOOKUP(C151,ListaDeEstoque[DESCRIÇÃO],ListaDeEstoque[Preço unitário]),0)</f>
        <v>0.3</v>
      </c>
      <c r="L151" s="352">
        <f t="shared" ref="L151:L160" si="5">IF(I151="SIM",K151*E151,J151*E151)</f>
        <v>0</v>
      </c>
    </row>
    <row r="152" spans="2:12" ht="21" customHeight="1" x14ac:dyDescent="0.25">
      <c r="B152">
        <v>2</v>
      </c>
      <c r="C152" s="268" t="s">
        <v>451</v>
      </c>
      <c r="D152" s="338"/>
      <c r="E152" s="342"/>
      <c r="F152" s="299"/>
      <c r="G152" s="346" t="str">
        <f>IF(C152&lt;&gt;0,IF((LOOKUP(C152,ListaDeEstoque[DESCRIÇÃO],ListaDeEstoque[CÓD. do FORNECEDOR]))&lt;&gt;0,IF(LOOKUP(C152,ListaDeEstoque[DESCRIÇÃO],ListaDeEstoque[FORNECEDOR])=0,"NI",LOOKUP(C152,ListaDeEstoque[DESCRIÇÃO],ListaDeEstoque[FORNECEDOR])),"NI"),"")</f>
        <v>NI</v>
      </c>
      <c r="H152" s="349">
        <f>IF(C152&lt;&gt;0,LOOKUP(C152,ListaDeEstoque[DESCRIÇÃO],ListaDeEstoque[Data do último ORÇAMENTO DO FORNECEDOR]),"")</f>
        <v>44531</v>
      </c>
      <c r="I152" s="322" t="s">
        <v>61</v>
      </c>
      <c r="J152" s="305">
        <v>0</v>
      </c>
      <c r="K152" s="292">
        <f>IF(C152&lt;&gt;0,LOOKUP(C152,ListaDeEstoque[DESCRIÇÃO],ListaDeEstoque[Preço unitário]),0)</f>
        <v>2</v>
      </c>
      <c r="L152" s="292">
        <f t="shared" si="5"/>
        <v>0</v>
      </c>
    </row>
    <row r="153" spans="2:12" ht="21" customHeight="1" x14ac:dyDescent="0.25">
      <c r="B153">
        <v>3</v>
      </c>
      <c r="C153" s="268" t="s">
        <v>452</v>
      </c>
      <c r="D153" s="338"/>
      <c r="E153" s="342"/>
      <c r="F153" s="299"/>
      <c r="G153" s="346" t="str">
        <f>IF(C153&lt;&gt;0,IF((LOOKUP(C153,ListaDeEstoque[DESCRIÇÃO],ListaDeEstoque[CÓD. do FORNECEDOR]))&lt;&gt;0,IF(LOOKUP(C153,ListaDeEstoque[DESCRIÇÃO],ListaDeEstoque[FORNECEDOR])=0,"NI",LOOKUP(C153,ListaDeEstoque[DESCRIÇÃO],ListaDeEstoque[FORNECEDOR])),"NI"),"")</f>
        <v>NI</v>
      </c>
      <c r="H153" s="349">
        <f>IF(C153&lt;&gt;0,LOOKUP(C153,ListaDeEstoque[DESCRIÇÃO],ListaDeEstoque[Data do último ORÇAMENTO DO FORNECEDOR]),"")</f>
        <v>44862</v>
      </c>
      <c r="I153" s="322" t="s">
        <v>61</v>
      </c>
      <c r="J153" s="305">
        <v>0</v>
      </c>
      <c r="K153" s="292">
        <f>IF(C153&lt;&gt;0,LOOKUP(C153,ListaDeEstoque[DESCRIÇÃO],ListaDeEstoque[Preço unitário]),0)</f>
        <v>20.8</v>
      </c>
      <c r="L153" s="292">
        <f t="shared" si="5"/>
        <v>0</v>
      </c>
    </row>
    <row r="154" spans="2:12" ht="21" customHeight="1" x14ac:dyDescent="0.25">
      <c r="B154">
        <v>4</v>
      </c>
      <c r="C154" s="268" t="s">
        <v>453</v>
      </c>
      <c r="D154" s="338"/>
      <c r="E154" s="342"/>
      <c r="F154" s="299"/>
      <c r="G154" s="346" t="str">
        <f>IF(C154&lt;&gt;0,IF((LOOKUP(C154,ListaDeEstoque[DESCRIÇÃO],ListaDeEstoque[CÓD. do FORNECEDOR]))&lt;&gt;0,IF(LOOKUP(C154,ListaDeEstoque[DESCRIÇÃO],ListaDeEstoque[FORNECEDOR])=0,"NI",LOOKUP(C154,ListaDeEstoque[DESCRIÇÃO],ListaDeEstoque[FORNECEDOR])),"NI"),"")</f>
        <v>NI</v>
      </c>
      <c r="H154" s="349">
        <f>IF(C154&lt;&gt;0,LOOKUP(C154,ListaDeEstoque[DESCRIÇÃO],ListaDeEstoque[Data do último ORÇAMENTO DO FORNECEDOR]),"")</f>
        <v>44862</v>
      </c>
      <c r="I154" s="322" t="s">
        <v>61</v>
      </c>
      <c r="J154" s="305">
        <v>0</v>
      </c>
      <c r="K154" s="292">
        <f>IF(C154&lt;&gt;0,LOOKUP(C154,ListaDeEstoque[DESCRIÇÃO],ListaDeEstoque[Preço unitário]),0)</f>
        <v>2.0099999999999998</v>
      </c>
      <c r="L154" s="292">
        <f t="shared" si="5"/>
        <v>0</v>
      </c>
    </row>
    <row r="155" spans="2:12" ht="21" customHeight="1" x14ac:dyDescent="0.25">
      <c r="B155">
        <v>5</v>
      </c>
      <c r="C155" s="268"/>
      <c r="D155" s="338"/>
      <c r="E155" s="342"/>
      <c r="F155" s="299"/>
      <c r="G155" s="346" t="str">
        <f>IF(C155&lt;&gt;0,IF((LOOKUP(C155,ListaDeEstoque[DESCRIÇÃO],ListaDeEstoque[CÓD. do FORNECEDOR]))&lt;&gt;0,IF(LOOKUP(C155,ListaDeEstoque[DESCRIÇÃO],ListaDeEstoque[FORNECEDOR])=0,"NI",LOOKUP(C155,ListaDeEstoque[DESCRIÇÃO],ListaDeEstoque[FORNECEDOR])),"NI"),"")</f>
        <v/>
      </c>
      <c r="H155" s="349" t="str">
        <f>IF(C155&lt;&gt;0,LOOKUP(C155,ListaDeEstoque[DESCRIÇÃO],ListaDeEstoque[Data do último ORÇAMENTO DO FORNECEDOR]),"")</f>
        <v/>
      </c>
      <c r="I155" s="322" t="s">
        <v>61</v>
      </c>
      <c r="J155" s="305">
        <v>0</v>
      </c>
      <c r="K155" s="292">
        <f>IF(C155&lt;&gt;0,LOOKUP(C155,ListaDeEstoque[DESCRIÇÃO],ListaDeEstoque[Preço unitário]),0)</f>
        <v>0</v>
      </c>
      <c r="L155" s="292">
        <f t="shared" si="5"/>
        <v>0</v>
      </c>
    </row>
    <row r="156" spans="2:12" ht="21" customHeight="1" x14ac:dyDescent="0.25">
      <c r="B156">
        <v>6</v>
      </c>
      <c r="C156" s="268"/>
      <c r="D156" s="338"/>
      <c r="E156" s="342"/>
      <c r="F156" s="299"/>
      <c r="G156" s="346" t="str">
        <f>IF(C156&lt;&gt;0,IF((LOOKUP(C156,ListaDeEstoque[DESCRIÇÃO],ListaDeEstoque[CÓD. do FORNECEDOR]))&lt;&gt;0,IF(LOOKUP(C156,ListaDeEstoque[DESCRIÇÃO],ListaDeEstoque[FORNECEDOR])=0,"NI",LOOKUP(C156,ListaDeEstoque[DESCRIÇÃO],ListaDeEstoque[FORNECEDOR])),"NI"),"")</f>
        <v/>
      </c>
      <c r="H156" s="349" t="str">
        <f>IF(C156&lt;&gt;0,LOOKUP(C156,ListaDeEstoque[DESCRIÇÃO],ListaDeEstoque[Data do último ORÇAMENTO DO FORNECEDOR]),"")</f>
        <v/>
      </c>
      <c r="I156" s="322" t="s">
        <v>61</v>
      </c>
      <c r="J156" s="305">
        <v>0</v>
      </c>
      <c r="K156" s="292">
        <f>IF(C156&lt;&gt;0,LOOKUP(C156,ListaDeEstoque[DESCRIÇÃO],ListaDeEstoque[Preço unitário]),0)</f>
        <v>0</v>
      </c>
      <c r="L156" s="292">
        <f t="shared" si="5"/>
        <v>0</v>
      </c>
    </row>
    <row r="157" spans="2:12" ht="21" customHeight="1" x14ac:dyDescent="0.25">
      <c r="B157">
        <v>7</v>
      </c>
      <c r="C157" s="268"/>
      <c r="D157" s="338"/>
      <c r="E157" s="342"/>
      <c r="F157" s="299"/>
      <c r="G157" s="346" t="str">
        <f>IF(C157&lt;&gt;0,IF((LOOKUP(C157,ListaDeEstoque[DESCRIÇÃO],ListaDeEstoque[CÓD. do FORNECEDOR]))&lt;&gt;0,IF(LOOKUP(C157,ListaDeEstoque[DESCRIÇÃO],ListaDeEstoque[FORNECEDOR])=0,"NI",LOOKUP(C157,ListaDeEstoque[DESCRIÇÃO],ListaDeEstoque[FORNECEDOR])),"NI"),"")</f>
        <v/>
      </c>
      <c r="H157" s="349" t="str">
        <f>IF(C157&lt;&gt;0,LOOKUP(C157,ListaDeEstoque[DESCRIÇÃO],ListaDeEstoque[Data do último ORÇAMENTO DO FORNECEDOR]),"")</f>
        <v/>
      </c>
      <c r="I157" s="322" t="s">
        <v>61</v>
      </c>
      <c r="J157" s="305">
        <v>0</v>
      </c>
      <c r="K157" s="292">
        <f>IF(C157&lt;&gt;0,LOOKUP(C157,ListaDeEstoque[DESCRIÇÃO],ListaDeEstoque[Preço unitário]),0)</f>
        <v>0</v>
      </c>
      <c r="L157" s="292">
        <f t="shared" si="5"/>
        <v>0</v>
      </c>
    </row>
    <row r="158" spans="2:12" ht="21" customHeight="1" x14ac:dyDescent="0.25">
      <c r="B158">
        <v>8</v>
      </c>
      <c r="C158" s="268"/>
      <c r="D158" s="338"/>
      <c r="E158" s="342"/>
      <c r="F158" s="299"/>
      <c r="G158" s="346" t="str">
        <f>IF(C158&lt;&gt;0,IF((LOOKUP(C158,ListaDeEstoque[DESCRIÇÃO],ListaDeEstoque[CÓD. do FORNECEDOR]))&lt;&gt;0,IF(LOOKUP(C158,ListaDeEstoque[DESCRIÇÃO],ListaDeEstoque[FORNECEDOR])=0,"NI",LOOKUP(C158,ListaDeEstoque[DESCRIÇÃO],ListaDeEstoque[FORNECEDOR])),"NI"),"")</f>
        <v/>
      </c>
      <c r="H158" s="349" t="str">
        <f>IF(C158&lt;&gt;0,LOOKUP(C158,ListaDeEstoque[DESCRIÇÃO],ListaDeEstoque[Data do último ORÇAMENTO DO FORNECEDOR]),"")</f>
        <v/>
      </c>
      <c r="I158" s="322" t="s">
        <v>61</v>
      </c>
      <c r="J158" s="305">
        <v>0</v>
      </c>
      <c r="K158" s="292">
        <f>IF(C158&lt;&gt;0,LOOKUP(C158,ListaDeEstoque[DESCRIÇÃO],ListaDeEstoque[Preço unitário]),0)</f>
        <v>0</v>
      </c>
      <c r="L158" s="292">
        <f t="shared" si="5"/>
        <v>0</v>
      </c>
    </row>
    <row r="159" spans="2:12" ht="21" customHeight="1" x14ac:dyDescent="0.25">
      <c r="B159">
        <v>9</v>
      </c>
      <c r="C159" s="268"/>
      <c r="D159" s="338"/>
      <c r="E159" s="342"/>
      <c r="F159" s="299"/>
      <c r="G159" s="346" t="str">
        <f>IF(C159&lt;&gt;0,IF((LOOKUP(C159,ListaDeEstoque[DESCRIÇÃO],ListaDeEstoque[CÓD. do FORNECEDOR]))&lt;&gt;0,IF(LOOKUP(C159,ListaDeEstoque[DESCRIÇÃO],ListaDeEstoque[FORNECEDOR])=0,"NI",LOOKUP(C159,ListaDeEstoque[DESCRIÇÃO],ListaDeEstoque[FORNECEDOR])),"NI"),"")</f>
        <v/>
      </c>
      <c r="H159" s="349" t="str">
        <f>IF(C159&lt;&gt;0,LOOKUP(C159,ListaDeEstoque[DESCRIÇÃO],ListaDeEstoque[Data do último ORÇAMENTO DO FORNECEDOR]),"")</f>
        <v/>
      </c>
      <c r="I159" s="322" t="s">
        <v>61</v>
      </c>
      <c r="J159" s="305">
        <v>0</v>
      </c>
      <c r="K159" s="292">
        <f>IF(C159&lt;&gt;0,LOOKUP(C159,ListaDeEstoque[DESCRIÇÃO],ListaDeEstoque[Preço unitário]),0)</f>
        <v>0</v>
      </c>
      <c r="L159" s="292">
        <f t="shared" si="5"/>
        <v>0</v>
      </c>
    </row>
    <row r="160" spans="2:12" ht="21" customHeight="1" x14ac:dyDescent="0.25">
      <c r="B160">
        <v>10</v>
      </c>
      <c r="C160" s="276"/>
      <c r="D160" s="354"/>
      <c r="E160" s="343"/>
      <c r="F160" s="300"/>
      <c r="G160" s="347" t="str">
        <f>IF(C160&lt;&gt;0,IF((LOOKUP(C160,ListaDeEstoque[DESCRIÇÃO],ListaDeEstoque[CÓD. do FORNECEDOR]))&lt;&gt;0,IF(LOOKUP(C160,ListaDeEstoque[DESCRIÇÃO],ListaDeEstoque[FORNECEDOR])=0,"NI",LOOKUP(C160,ListaDeEstoque[DESCRIÇÃO],ListaDeEstoque[FORNECEDOR])),"NI"),"")</f>
        <v/>
      </c>
      <c r="H160" s="350" t="str">
        <f>IF(C160&lt;&gt;0,LOOKUP(C160,ListaDeEstoque[DESCRIÇÃO],ListaDeEstoque[Data do último ORÇAMENTO DO FORNECEDOR]),"")</f>
        <v/>
      </c>
      <c r="I160" s="322" t="s">
        <v>61</v>
      </c>
      <c r="J160" s="306">
        <v>0</v>
      </c>
      <c r="K160" s="293">
        <f>IF(C160&lt;&gt;0,LOOKUP(C160,ListaDeEstoque[DESCRIÇÃO],ListaDeEstoque[Preço unitário]),0)</f>
        <v>0</v>
      </c>
      <c r="L160" s="293">
        <f t="shared" si="5"/>
        <v>0</v>
      </c>
    </row>
    <row r="161" spans="2:12" ht="21" customHeight="1" x14ac:dyDescent="0.3">
      <c r="H161" s="369">
        <f ca="1">IF(SUM(H151:H160)&gt;0,SMALL(H151:H160,1),TODAY())</f>
        <v>44531</v>
      </c>
      <c r="K161" s="310" t="s">
        <v>382</v>
      </c>
      <c r="L161" s="311">
        <f>SUM(L151:L160)</f>
        <v>0</v>
      </c>
    </row>
    <row r="163" spans="2:12" ht="21" customHeight="1" x14ac:dyDescent="0.25">
      <c r="C163" s="1380" t="s">
        <v>449</v>
      </c>
      <c r="D163" s="1380"/>
      <c r="E163" s="1380"/>
      <c r="F163" s="1380"/>
      <c r="G163" s="1380"/>
      <c r="H163" s="1380"/>
      <c r="I163" s="1380"/>
      <c r="J163" s="1380"/>
      <c r="K163" s="1380"/>
    </row>
    <row r="164" spans="2:12" ht="21" customHeight="1" x14ac:dyDescent="0.25">
      <c r="C164" s="1309" t="s">
        <v>157</v>
      </c>
      <c r="D164" s="1356"/>
      <c r="E164" s="1309" t="s">
        <v>384</v>
      </c>
      <c r="F164" s="1309"/>
      <c r="G164" s="1309" t="s">
        <v>88</v>
      </c>
      <c r="H164" s="1309" t="s">
        <v>219</v>
      </c>
      <c r="I164" s="1309" t="s">
        <v>374</v>
      </c>
      <c r="J164" s="1309" t="s">
        <v>623</v>
      </c>
      <c r="K164" s="1309" t="s">
        <v>59</v>
      </c>
    </row>
    <row r="165" spans="2:12" ht="21" customHeight="1" x14ac:dyDescent="0.25">
      <c r="B165" s="290" t="s">
        <v>389</v>
      </c>
      <c r="C165" s="1309"/>
      <c r="D165" s="1356"/>
      <c r="E165" s="1309"/>
      <c r="F165" s="1309"/>
      <c r="G165" s="1309"/>
      <c r="H165" s="1309"/>
      <c r="I165" s="1309"/>
      <c r="J165" s="1309"/>
      <c r="K165" s="1309"/>
    </row>
    <row r="166" spans="2:12" ht="21" customHeight="1" x14ac:dyDescent="0.25">
      <c r="B166">
        <v>1</v>
      </c>
      <c r="C166" s="1342" t="s">
        <v>386</v>
      </c>
      <c r="D166" s="1343"/>
      <c r="E166" s="1374" t="s">
        <v>387</v>
      </c>
      <c r="F166" s="1375"/>
      <c r="G166" s="304">
        <v>15</v>
      </c>
      <c r="H166" s="301"/>
      <c r="I166" s="297"/>
      <c r="J166" s="294">
        <v>44720</v>
      </c>
      <c r="K166" s="291">
        <f>H166*G166</f>
        <v>0</v>
      </c>
    </row>
    <row r="167" spans="2:12" ht="21" customHeight="1" x14ac:dyDescent="0.25">
      <c r="B167">
        <v>2</v>
      </c>
      <c r="C167" s="1340" t="s">
        <v>385</v>
      </c>
      <c r="D167" s="1341"/>
      <c r="E167" s="1360" t="s">
        <v>388</v>
      </c>
      <c r="F167" s="1361"/>
      <c r="G167" s="305">
        <v>60</v>
      </c>
      <c r="H167" s="302"/>
      <c r="I167" s="298" t="s">
        <v>670</v>
      </c>
      <c r="J167" s="295">
        <v>44865</v>
      </c>
      <c r="K167" s="292">
        <f>H167*G167</f>
        <v>0</v>
      </c>
    </row>
    <row r="168" spans="2:12" ht="21" customHeight="1" x14ac:dyDescent="0.25">
      <c r="B168">
        <v>3</v>
      </c>
      <c r="C168" s="1340"/>
      <c r="D168" s="1341"/>
      <c r="E168" s="1360"/>
      <c r="F168" s="1361"/>
      <c r="G168" s="305"/>
      <c r="H168" s="302"/>
      <c r="I168" s="299"/>
      <c r="J168" s="295"/>
      <c r="K168" s="292">
        <f t="shared" ref="K168:K174" si="6">H168*G168</f>
        <v>0</v>
      </c>
    </row>
    <row r="169" spans="2:12" ht="21" customHeight="1" x14ac:dyDescent="0.25">
      <c r="B169">
        <v>4</v>
      </c>
      <c r="C169" s="1340"/>
      <c r="D169" s="1341"/>
      <c r="E169" s="1360"/>
      <c r="F169" s="1361"/>
      <c r="G169" s="305"/>
      <c r="H169" s="302"/>
      <c r="I169" s="299"/>
      <c r="J169" s="295"/>
      <c r="K169" s="292">
        <f t="shared" si="6"/>
        <v>0</v>
      </c>
    </row>
    <row r="170" spans="2:12" ht="21" customHeight="1" x14ac:dyDescent="0.25">
      <c r="B170">
        <v>5</v>
      </c>
      <c r="C170" s="1340"/>
      <c r="D170" s="1341"/>
      <c r="E170" s="1360"/>
      <c r="F170" s="1361"/>
      <c r="G170" s="305"/>
      <c r="H170" s="302"/>
      <c r="I170" s="299"/>
      <c r="J170" s="295"/>
      <c r="K170" s="292">
        <f t="shared" si="6"/>
        <v>0</v>
      </c>
    </row>
    <row r="171" spans="2:12" ht="21" customHeight="1" x14ac:dyDescent="0.25">
      <c r="B171">
        <v>6</v>
      </c>
      <c r="C171" s="1340"/>
      <c r="D171" s="1341"/>
      <c r="E171" s="1360"/>
      <c r="F171" s="1361"/>
      <c r="G171" s="305"/>
      <c r="H171" s="302"/>
      <c r="I171" s="299"/>
      <c r="J171" s="295"/>
      <c r="K171" s="292">
        <f t="shared" si="6"/>
        <v>0</v>
      </c>
    </row>
    <row r="172" spans="2:12" ht="21" customHeight="1" x14ac:dyDescent="0.25">
      <c r="B172">
        <v>7</v>
      </c>
      <c r="C172" s="1340"/>
      <c r="D172" s="1341"/>
      <c r="E172" s="1360"/>
      <c r="F172" s="1361"/>
      <c r="G172" s="305"/>
      <c r="H172" s="302"/>
      <c r="I172" s="299"/>
      <c r="J172" s="295"/>
      <c r="K172" s="292">
        <f t="shared" si="6"/>
        <v>0</v>
      </c>
    </row>
    <row r="173" spans="2:12" ht="21" customHeight="1" x14ac:dyDescent="0.25">
      <c r="B173">
        <v>8</v>
      </c>
      <c r="C173" s="1340"/>
      <c r="D173" s="1341"/>
      <c r="E173" s="1360"/>
      <c r="F173" s="1361"/>
      <c r="G173" s="305"/>
      <c r="H173" s="302"/>
      <c r="I173" s="299"/>
      <c r="J173" s="295"/>
      <c r="K173" s="292">
        <f t="shared" si="6"/>
        <v>0</v>
      </c>
    </row>
    <row r="174" spans="2:12" ht="21" customHeight="1" x14ac:dyDescent="0.25">
      <c r="B174">
        <v>9</v>
      </c>
      <c r="C174" s="1340"/>
      <c r="D174" s="1341"/>
      <c r="E174" s="1360"/>
      <c r="F174" s="1361"/>
      <c r="G174" s="305"/>
      <c r="H174" s="302"/>
      <c r="I174" s="299"/>
      <c r="J174" s="295"/>
      <c r="K174" s="292">
        <f t="shared" si="6"/>
        <v>0</v>
      </c>
    </row>
    <row r="175" spans="2:12" ht="21" customHeight="1" x14ac:dyDescent="0.25">
      <c r="B175">
        <v>10</v>
      </c>
      <c r="C175" s="1372"/>
      <c r="D175" s="1373"/>
      <c r="E175" s="1364"/>
      <c r="F175" s="1365"/>
      <c r="G175" s="306"/>
      <c r="H175" s="303"/>
      <c r="I175" s="300"/>
      <c r="J175" s="296"/>
      <c r="K175" s="293">
        <f>H175*G175</f>
        <v>0</v>
      </c>
    </row>
    <row r="176" spans="2:12" ht="21" customHeight="1" x14ac:dyDescent="0.3">
      <c r="J176" s="307" t="s">
        <v>382</v>
      </c>
      <c r="K176" s="308">
        <f>SUM(K166:K175)</f>
        <v>0</v>
      </c>
    </row>
    <row r="177" spans="2:12" ht="21" customHeight="1" x14ac:dyDescent="0.25">
      <c r="J177" s="369">
        <f ca="1">IF(SUM(J166:J175)&gt;0,SMALL(J166:J175,1),TODAY())</f>
        <v>44720</v>
      </c>
      <c r="K177" t="s">
        <v>135</v>
      </c>
    </row>
    <row r="178" spans="2:12" ht="21" customHeight="1" x14ac:dyDescent="0.25">
      <c r="B178" s="261"/>
      <c r="C178" s="262"/>
      <c r="D178" s="262"/>
      <c r="E178" s="262"/>
      <c r="F178" s="262"/>
      <c r="G178" s="262"/>
      <c r="H178" s="262"/>
      <c r="I178" s="262"/>
      <c r="J178" s="262"/>
      <c r="K178" s="262"/>
      <c r="L178" s="257"/>
    </row>
    <row r="179" spans="2:12" ht="21" customHeight="1" x14ac:dyDescent="0.3">
      <c r="E179" s="1370" t="s">
        <v>447</v>
      </c>
      <c r="F179" s="1370"/>
      <c r="G179" s="1370"/>
      <c r="H179" s="1371">
        <f>L161+K176</f>
        <v>0</v>
      </c>
      <c r="I179" s="1371"/>
    </row>
    <row r="181" spans="2:12" ht="21" customHeight="1" x14ac:dyDescent="0.25">
      <c r="B181" s="288">
        <f>B145+1</f>
        <v>7</v>
      </c>
      <c r="C181" s="1304" t="s">
        <v>229</v>
      </c>
      <c r="D181" s="1304"/>
      <c r="E181" s="1304"/>
      <c r="F181" s="1304"/>
      <c r="G181" s="1304"/>
      <c r="H181" s="1304"/>
      <c r="I181" s="1304"/>
      <c r="J181" s="1304"/>
    </row>
    <row r="183" spans="2:12" ht="21" customHeight="1" x14ac:dyDescent="0.25">
      <c r="D183" s="1368" t="s">
        <v>230</v>
      </c>
      <c r="E183" s="1368"/>
      <c r="F183" s="1368"/>
      <c r="G183" s="1368"/>
      <c r="H183" s="1368"/>
      <c r="I183" s="1368"/>
    </row>
    <row r="184" spans="2:12" ht="21" customHeight="1" x14ac:dyDescent="0.25">
      <c r="D184" s="282" t="str">
        <f>B8</f>
        <v>REFERÊNCIA</v>
      </c>
      <c r="E184" s="1369" t="str">
        <f>C8</f>
        <v>REF. NOME + Nº - 15H x 10B x 5L (cm)</v>
      </c>
      <c r="F184" s="1369"/>
      <c r="G184" s="1369"/>
      <c r="H184" s="1369"/>
      <c r="I184" s="1369"/>
    </row>
    <row r="186" spans="2:12" ht="21" customHeight="1" x14ac:dyDescent="0.25">
      <c r="E186" s="1366" t="s">
        <v>231</v>
      </c>
      <c r="F186" s="1366"/>
      <c r="G186" s="1366"/>
      <c r="H186" s="1367">
        <v>0</v>
      </c>
      <c r="I186" s="1367"/>
    </row>
    <row r="187" spans="2:12" ht="21" customHeight="1" thickBot="1" x14ac:dyDescent="0.3"/>
    <row r="188" spans="2:12" ht="21" customHeight="1" x14ac:dyDescent="0.25">
      <c r="D188" s="317" t="s">
        <v>232</v>
      </c>
      <c r="E188" s="318">
        <f>H128</f>
        <v>20</v>
      </c>
      <c r="G188" s="254" t="s">
        <v>233</v>
      </c>
      <c r="H188" s="258" t="str">
        <f>IF(H186&gt;0,"DE","FINAL")</f>
        <v>FINAL</v>
      </c>
      <c r="I188" s="333" t="str">
        <f>IF(H186&gt;0,"OFERTA*","OFERTA")</f>
        <v>OFERTA</v>
      </c>
    </row>
    <row r="189" spans="2:12" ht="21" customHeight="1" x14ac:dyDescent="0.3">
      <c r="D189" s="309" t="s">
        <v>234</v>
      </c>
      <c r="E189" s="314" t="s">
        <v>416</v>
      </c>
      <c r="F189" s="315"/>
      <c r="G189" s="316">
        <f>H135</f>
        <v>8505.754352941176</v>
      </c>
      <c r="H189" s="332">
        <f>H135+H179</f>
        <v>8505.754352941176</v>
      </c>
      <c r="I189" s="334">
        <f>H189-(G189*H186)</f>
        <v>8505.754352941176</v>
      </c>
    </row>
    <row r="190" spans="2:12" ht="21" customHeight="1" x14ac:dyDescent="0.25">
      <c r="D190" s="18"/>
      <c r="G190" s="16"/>
      <c r="I190" s="335"/>
    </row>
    <row r="191" spans="2:12" ht="21" customHeight="1" thickBot="1" x14ac:dyDescent="0.35">
      <c r="D191" s="309" t="s">
        <v>235</v>
      </c>
      <c r="E191" s="314" t="s">
        <v>416</v>
      </c>
      <c r="F191" s="315"/>
      <c r="G191" s="316">
        <f>H137</f>
        <v>425.2877176470588</v>
      </c>
      <c r="H191" s="332">
        <f>H137+H179</f>
        <v>425.2877176470588</v>
      </c>
      <c r="I191" s="336">
        <f>H191-(G191*H186)</f>
        <v>425.2877176470588</v>
      </c>
    </row>
    <row r="193" spans="2:10" ht="21" customHeight="1" x14ac:dyDescent="0.25">
      <c r="D193" s="289" t="s">
        <v>227</v>
      </c>
      <c r="E193" s="1348" t="s">
        <v>228</v>
      </c>
      <c r="F193" s="1348"/>
      <c r="G193" s="1348"/>
      <c r="H193" s="1349"/>
      <c r="I193" s="289" t="s">
        <v>88</v>
      </c>
    </row>
    <row r="194" spans="2:10" ht="21" customHeight="1" x14ac:dyDescent="0.25">
      <c r="D194" s="319"/>
      <c r="E194" s="1362"/>
      <c r="F194" s="1362"/>
      <c r="G194" s="1362"/>
      <c r="H194" s="1363"/>
      <c r="I194" s="585"/>
    </row>
    <row r="195" spans="2:10" ht="21" customHeight="1" x14ac:dyDescent="0.25">
      <c r="D195" s="320"/>
      <c r="E195" s="1352"/>
      <c r="F195" s="1352"/>
      <c r="G195" s="1352"/>
      <c r="H195" s="1353"/>
      <c r="I195" s="586"/>
    </row>
    <row r="196" spans="2:10" ht="21" customHeight="1" x14ac:dyDescent="0.25">
      <c r="D196" s="320"/>
      <c r="E196" s="1352"/>
      <c r="F196" s="1352"/>
      <c r="G196" s="1352"/>
      <c r="H196" s="1353"/>
      <c r="I196" s="586"/>
    </row>
    <row r="197" spans="2:10" ht="21" customHeight="1" x14ac:dyDescent="0.25">
      <c r="D197" s="320"/>
      <c r="E197" s="1352"/>
      <c r="F197" s="1352"/>
      <c r="G197" s="1352"/>
      <c r="H197" s="1353"/>
      <c r="I197" s="586"/>
    </row>
    <row r="198" spans="2:10" ht="21" customHeight="1" x14ac:dyDescent="0.25">
      <c r="D198" s="321"/>
      <c r="E198" s="1354"/>
      <c r="F198" s="1354"/>
      <c r="G198" s="1354"/>
      <c r="H198" s="1355"/>
      <c r="I198" s="587"/>
    </row>
    <row r="199" spans="2:10" ht="21" customHeight="1" x14ac:dyDescent="0.25">
      <c r="G199" s="221" t="str">
        <f>IF(H186&gt;0,"*O DESCONTO não cobre acréscimos finais e logística","")</f>
        <v/>
      </c>
    </row>
    <row r="201" spans="2:10" ht="21" customHeight="1" x14ac:dyDescent="0.25">
      <c r="B201" s="288">
        <f>B181+1</f>
        <v>8</v>
      </c>
      <c r="C201" s="1304" t="s">
        <v>905</v>
      </c>
      <c r="D201" s="1304"/>
      <c r="E201" s="1304"/>
      <c r="F201" s="1304"/>
      <c r="G201" s="1304"/>
      <c r="H201" s="1304"/>
      <c r="I201" s="1304"/>
      <c r="J201" s="1304"/>
    </row>
    <row r="203" spans="2:10" ht="21" customHeight="1" x14ac:dyDescent="0.25">
      <c r="C203" s="588" t="s">
        <v>227</v>
      </c>
      <c r="D203" s="1320" t="s">
        <v>228</v>
      </c>
      <c r="E203" s="1320"/>
      <c r="F203" s="1320"/>
      <c r="G203" s="1320"/>
      <c r="H203" s="1320"/>
      <c r="I203" s="588" t="s">
        <v>88</v>
      </c>
    </row>
    <row r="204" spans="2:10" ht="21" customHeight="1" x14ac:dyDescent="0.25">
      <c r="B204">
        <v>1</v>
      </c>
      <c r="C204" s="319"/>
      <c r="D204" s="1319"/>
      <c r="E204" s="1319"/>
      <c r="F204" s="1319"/>
      <c r="G204" s="1319"/>
      <c r="H204" s="1319"/>
      <c r="I204" s="585"/>
    </row>
    <row r="205" spans="2:10" ht="21" customHeight="1" x14ac:dyDescent="0.25">
      <c r="B205">
        <v>2</v>
      </c>
      <c r="C205" s="320"/>
      <c r="D205" s="1303"/>
      <c r="E205" s="1303"/>
      <c r="F205" s="1303"/>
      <c r="G205" s="1303"/>
      <c r="H205" s="1303"/>
      <c r="I205" s="586"/>
    </row>
    <row r="206" spans="2:10" ht="21" customHeight="1" x14ac:dyDescent="0.25">
      <c r="B206">
        <v>3</v>
      </c>
      <c r="C206" s="320"/>
      <c r="D206" s="1303"/>
      <c r="E206" s="1303"/>
      <c r="F206" s="1303"/>
      <c r="G206" s="1303"/>
      <c r="H206" s="1303"/>
      <c r="I206" s="586"/>
    </row>
    <row r="207" spans="2:10" ht="21" customHeight="1" x14ac:dyDescent="0.25">
      <c r="B207">
        <v>4</v>
      </c>
      <c r="C207" s="320"/>
      <c r="D207" s="1303"/>
      <c r="E207" s="1303"/>
      <c r="F207" s="1303"/>
      <c r="G207" s="1303"/>
      <c r="H207" s="1303"/>
      <c r="I207" s="586"/>
    </row>
    <row r="208" spans="2:10" ht="21" customHeight="1" x14ac:dyDescent="0.25">
      <c r="B208">
        <v>5</v>
      </c>
      <c r="C208" s="320"/>
      <c r="D208" s="1303"/>
      <c r="E208" s="1303"/>
      <c r="F208" s="1303"/>
      <c r="G208" s="1303"/>
      <c r="H208" s="1303"/>
      <c r="I208" s="586"/>
    </row>
    <row r="209" spans="2:9" ht="21" customHeight="1" x14ac:dyDescent="0.25">
      <c r="B209">
        <v>6</v>
      </c>
      <c r="C209" s="320"/>
      <c r="D209" s="1303"/>
      <c r="E209" s="1303"/>
      <c r="F209" s="1303"/>
      <c r="G209" s="1303"/>
      <c r="H209" s="1303"/>
      <c r="I209" s="586"/>
    </row>
    <row r="210" spans="2:9" ht="21" customHeight="1" x14ac:dyDescent="0.25">
      <c r="B210">
        <v>7</v>
      </c>
      <c r="C210" s="320"/>
      <c r="D210" s="1303"/>
      <c r="E210" s="1303"/>
      <c r="F210" s="1303"/>
      <c r="G210" s="1303"/>
      <c r="H210" s="1303"/>
      <c r="I210" s="586"/>
    </row>
    <row r="211" spans="2:9" ht="21" customHeight="1" x14ac:dyDescent="0.25">
      <c r="B211">
        <v>8</v>
      </c>
      <c r="C211" s="320"/>
      <c r="D211" s="1303"/>
      <c r="E211" s="1303"/>
      <c r="F211" s="1303"/>
      <c r="G211" s="1303"/>
      <c r="H211" s="1303"/>
      <c r="I211" s="586"/>
    </row>
    <row r="212" spans="2:9" ht="21" customHeight="1" x14ac:dyDescent="0.25">
      <c r="B212">
        <v>9</v>
      </c>
      <c r="C212" s="320"/>
      <c r="D212" s="1303"/>
      <c r="E212" s="1303"/>
      <c r="F212" s="1303"/>
      <c r="G212" s="1303"/>
      <c r="H212" s="1303"/>
      <c r="I212" s="586"/>
    </row>
    <row r="213" spans="2:9" ht="21" customHeight="1" x14ac:dyDescent="0.25">
      <c r="B213">
        <v>10</v>
      </c>
      <c r="C213" s="320"/>
      <c r="D213" s="1303"/>
      <c r="E213" s="1303"/>
      <c r="F213" s="1303"/>
      <c r="G213" s="1303"/>
      <c r="H213" s="1303"/>
      <c r="I213" s="586"/>
    </row>
    <row r="214" spans="2:9" ht="21" customHeight="1" x14ac:dyDescent="0.25">
      <c r="B214">
        <v>11</v>
      </c>
      <c r="C214" s="320"/>
      <c r="D214" s="1303"/>
      <c r="E214" s="1303"/>
      <c r="F214" s="1303"/>
      <c r="G214" s="1303"/>
      <c r="H214" s="1303"/>
      <c r="I214" s="586"/>
    </row>
    <row r="215" spans="2:9" ht="21" customHeight="1" x14ac:dyDescent="0.25">
      <c r="B215">
        <v>12</v>
      </c>
      <c r="C215" s="320"/>
      <c r="D215" s="1303"/>
      <c r="E215" s="1303"/>
      <c r="F215" s="1303"/>
      <c r="G215" s="1303"/>
      <c r="H215" s="1303"/>
      <c r="I215" s="586"/>
    </row>
    <row r="216" spans="2:9" ht="21" customHeight="1" x14ac:dyDescent="0.25">
      <c r="B216">
        <v>13</v>
      </c>
      <c r="C216" s="320"/>
      <c r="D216" s="1303"/>
      <c r="E216" s="1303"/>
      <c r="F216" s="1303"/>
      <c r="G216" s="1303"/>
      <c r="H216" s="1303"/>
      <c r="I216" s="586"/>
    </row>
    <row r="217" spans="2:9" ht="21" customHeight="1" x14ac:dyDescent="0.25">
      <c r="B217">
        <v>14</v>
      </c>
      <c r="C217" s="320"/>
      <c r="D217" s="1303"/>
      <c r="E217" s="1303"/>
      <c r="F217" s="1303"/>
      <c r="G217" s="1303"/>
      <c r="H217" s="1303"/>
      <c r="I217" s="586"/>
    </row>
    <row r="218" spans="2:9" ht="21" customHeight="1" x14ac:dyDescent="0.25">
      <c r="B218">
        <v>15</v>
      </c>
      <c r="C218" s="875"/>
      <c r="D218" s="1318"/>
      <c r="E218" s="1318"/>
      <c r="F218" s="1318"/>
      <c r="G218" s="1318"/>
      <c r="H218" s="1318"/>
      <c r="I218" s="876"/>
    </row>
    <row r="219" spans="2:9" ht="21" customHeight="1" x14ac:dyDescent="0.25">
      <c r="C219" s="1052"/>
      <c r="D219" s="1051"/>
      <c r="E219" s="1051"/>
      <c r="F219" s="1051"/>
      <c r="G219" s="1051"/>
      <c r="H219" s="1051"/>
      <c r="I219" s="1053"/>
    </row>
  </sheetData>
  <sheetProtection algorithmName="SHA-512" hashValue="O8OqhY2IzBmHQt8tTkaVAPyH64eN3GzKERFR4fRS8WsZED2Rav8wCV8Gph+nXBbliGVufaQ7uXeTovEVq2ObiA==" saltValue="JkJCiulfebX0OT+knrDgVQ==" spinCount="100000" sheet="1" selectLockedCells="1"/>
  <mergeCells count="206">
    <mergeCell ref="B23:C23"/>
    <mergeCell ref="B13:C13"/>
    <mergeCell ref="F24:G24"/>
    <mergeCell ref="B14:C14"/>
    <mergeCell ref="F23:G23"/>
    <mergeCell ref="F26:G26"/>
    <mergeCell ref="B2:L3"/>
    <mergeCell ref="C10:I10"/>
    <mergeCell ref="J4:K4"/>
    <mergeCell ref="C8:L8"/>
    <mergeCell ref="J5:K5"/>
    <mergeCell ref="B12:D12"/>
    <mergeCell ref="B18:C18"/>
    <mergeCell ref="B20:C20"/>
    <mergeCell ref="F12:H12"/>
    <mergeCell ref="B22:C22"/>
    <mergeCell ref="B19:C19"/>
    <mergeCell ref="F13:G13"/>
    <mergeCell ref="F14:G14"/>
    <mergeCell ref="F15:G15"/>
    <mergeCell ref="F16:G16"/>
    <mergeCell ref="F17:G17"/>
    <mergeCell ref="F18:G18"/>
    <mergeCell ref="F19:G19"/>
    <mergeCell ref="F20:G20"/>
    <mergeCell ref="F21:G21"/>
    <mergeCell ref="F22:G22"/>
    <mergeCell ref="B21:C21"/>
    <mergeCell ref="B15:C15"/>
    <mergeCell ref="B16:C16"/>
    <mergeCell ref="B17:C17"/>
    <mergeCell ref="B25:C25"/>
    <mergeCell ref="E132:I132"/>
    <mergeCell ref="F25:G25"/>
    <mergeCell ref="E60:J60"/>
    <mergeCell ref="G56:G57"/>
    <mergeCell ref="F56:F57"/>
    <mergeCell ref="F27:G27"/>
    <mergeCell ref="B38:C38"/>
    <mergeCell ref="D45:L45"/>
    <mergeCell ref="J47:L47"/>
    <mergeCell ref="J48:L48"/>
    <mergeCell ref="J49:L49"/>
    <mergeCell ref="G46:L46"/>
    <mergeCell ref="E47:F47"/>
    <mergeCell ref="E48:F48"/>
    <mergeCell ref="E46:F46"/>
    <mergeCell ref="G47:I47"/>
    <mergeCell ref="I64:I65"/>
    <mergeCell ref="H64:H65"/>
    <mergeCell ref="C76:L76"/>
    <mergeCell ref="C77:C78"/>
    <mergeCell ref="D77:D78"/>
    <mergeCell ref="L77:L78"/>
    <mergeCell ref="J110:J111"/>
    <mergeCell ref="H130:I130"/>
    <mergeCell ref="E123:G123"/>
    <mergeCell ref="H110:H111"/>
    <mergeCell ref="I110:I111"/>
    <mergeCell ref="H127:I127"/>
    <mergeCell ref="H123:I123"/>
    <mergeCell ref="H129:I129"/>
    <mergeCell ref="K64:K65"/>
    <mergeCell ref="J64:J65"/>
    <mergeCell ref="K77:K78"/>
    <mergeCell ref="J77:J78"/>
    <mergeCell ref="J149:J150"/>
    <mergeCell ref="K149:K150"/>
    <mergeCell ref="L149:L150"/>
    <mergeCell ref="C163:K163"/>
    <mergeCell ref="C149:C150"/>
    <mergeCell ref="F133:I133"/>
    <mergeCell ref="E127:G127"/>
    <mergeCell ref="E128:G128"/>
    <mergeCell ref="E130:G130"/>
    <mergeCell ref="H128:I128"/>
    <mergeCell ref="B26:C26"/>
    <mergeCell ref="C171:D171"/>
    <mergeCell ref="C170:D170"/>
    <mergeCell ref="C169:D169"/>
    <mergeCell ref="E168:F168"/>
    <mergeCell ref="E167:F167"/>
    <mergeCell ref="E166:F166"/>
    <mergeCell ref="C145:L145"/>
    <mergeCell ref="D149:D150"/>
    <mergeCell ref="E149:E150"/>
    <mergeCell ref="F149:F150"/>
    <mergeCell ref="K164:K165"/>
    <mergeCell ref="J164:J165"/>
    <mergeCell ref="I164:I165"/>
    <mergeCell ref="E56:E57"/>
    <mergeCell ref="G54:I54"/>
    <mergeCell ref="L56:L57"/>
    <mergeCell ref="K56:K57"/>
    <mergeCell ref="J56:J57"/>
    <mergeCell ref="I56:I57"/>
    <mergeCell ref="H56:H57"/>
    <mergeCell ref="F137:G137"/>
    <mergeCell ref="I149:I150"/>
    <mergeCell ref="E140:H140"/>
    <mergeCell ref="E196:H196"/>
    <mergeCell ref="E198:H198"/>
    <mergeCell ref="E197:H197"/>
    <mergeCell ref="E169:F169"/>
    <mergeCell ref="E193:H193"/>
    <mergeCell ref="E194:H194"/>
    <mergeCell ref="E195:H195"/>
    <mergeCell ref="E175:F175"/>
    <mergeCell ref="E174:F174"/>
    <mergeCell ref="E173:F173"/>
    <mergeCell ref="E172:F172"/>
    <mergeCell ref="E171:F171"/>
    <mergeCell ref="E170:F170"/>
    <mergeCell ref="E186:G186"/>
    <mergeCell ref="H186:I186"/>
    <mergeCell ref="D183:I183"/>
    <mergeCell ref="E184:I184"/>
    <mergeCell ref="C172:D172"/>
    <mergeCell ref="C181:J181"/>
    <mergeCell ref="E179:G179"/>
    <mergeCell ref="H179:I179"/>
    <mergeCell ref="C175:D175"/>
    <mergeCell ref="C174:D174"/>
    <mergeCell ref="C173:D173"/>
    <mergeCell ref="G48:I48"/>
    <mergeCell ref="E49:F49"/>
    <mergeCell ref="G49:I49"/>
    <mergeCell ref="K110:K111"/>
    <mergeCell ref="C168:D168"/>
    <mergeCell ref="C167:D167"/>
    <mergeCell ref="C166:D166"/>
    <mergeCell ref="C54:D54"/>
    <mergeCell ref="C58:D58"/>
    <mergeCell ref="H164:H165"/>
    <mergeCell ref="G164:G165"/>
    <mergeCell ref="E164:F165"/>
    <mergeCell ref="F135:G135"/>
    <mergeCell ref="H137:I137"/>
    <mergeCell ref="E139:H139"/>
    <mergeCell ref="H135:I135"/>
    <mergeCell ref="E129:G129"/>
    <mergeCell ref="G149:G150"/>
    <mergeCell ref="H149:H150"/>
    <mergeCell ref="E142:H142"/>
    <mergeCell ref="E143:H143"/>
    <mergeCell ref="E141:H141"/>
    <mergeCell ref="C164:D165"/>
    <mergeCell ref="C148:L148"/>
    <mergeCell ref="C7:L7"/>
    <mergeCell ref="C201:J201"/>
    <mergeCell ref="J13:L13"/>
    <mergeCell ref="J12:L12"/>
    <mergeCell ref="B27:C27"/>
    <mergeCell ref="B31:C31"/>
    <mergeCell ref="B36:C36"/>
    <mergeCell ref="B39:C39"/>
    <mergeCell ref="B40:C40"/>
    <mergeCell ref="B37:C37"/>
    <mergeCell ref="F110:F111"/>
    <mergeCell ref="G110:G111"/>
    <mergeCell ref="B24:C24"/>
    <mergeCell ref="C52:L52"/>
    <mergeCell ref="C30:L30"/>
    <mergeCell ref="B35:C35"/>
    <mergeCell ref="I32:J32"/>
    <mergeCell ref="F32:G32"/>
    <mergeCell ref="G64:G65"/>
    <mergeCell ref="F64:F65"/>
    <mergeCell ref="E64:E65"/>
    <mergeCell ref="D64:D65"/>
    <mergeCell ref="C64:C65"/>
    <mergeCell ref="L64:L65"/>
    <mergeCell ref="D217:H217"/>
    <mergeCell ref="D218:H218"/>
    <mergeCell ref="D208:H208"/>
    <mergeCell ref="D207:H207"/>
    <mergeCell ref="D206:H206"/>
    <mergeCell ref="D205:H205"/>
    <mergeCell ref="D204:H204"/>
    <mergeCell ref="D203:H203"/>
    <mergeCell ref="D209:H209"/>
    <mergeCell ref="D210:H210"/>
    <mergeCell ref="B28:C28"/>
    <mergeCell ref="F28:G28"/>
    <mergeCell ref="B41:C41"/>
    <mergeCell ref="D211:H211"/>
    <mergeCell ref="D212:H212"/>
    <mergeCell ref="D213:H213"/>
    <mergeCell ref="D214:H214"/>
    <mergeCell ref="D215:H215"/>
    <mergeCell ref="D216:H216"/>
    <mergeCell ref="C106:L106"/>
    <mergeCell ref="C110:C111"/>
    <mergeCell ref="D110:D111"/>
    <mergeCell ref="E110:E111"/>
    <mergeCell ref="B34:C34"/>
    <mergeCell ref="C125:L125"/>
    <mergeCell ref="C59:D59"/>
    <mergeCell ref="C62:D62"/>
    <mergeCell ref="E77:E78"/>
    <mergeCell ref="B108:D108"/>
    <mergeCell ref="I77:I78"/>
    <mergeCell ref="H77:H78"/>
    <mergeCell ref="G77:G78"/>
    <mergeCell ref="F77:F78"/>
    <mergeCell ref="L110:L111"/>
  </mergeCells>
  <phoneticPr fontId="20" type="noConversion"/>
  <conditionalFormatting sqref="B32">
    <cfRule type="expression" dxfId="716" priority="83">
      <formula>$C$32="SIM"</formula>
    </cfRule>
    <cfRule type="expression" dxfId="715" priority="85">
      <formula>$C$32="NÃO"</formula>
    </cfRule>
  </conditionalFormatting>
  <conditionalFormatting sqref="B33">
    <cfRule type="expression" dxfId="714" priority="82">
      <formula>$C$33="SIM"</formula>
    </cfRule>
    <cfRule type="expression" dxfId="713" priority="84">
      <formula>$C$33="NÃO"</formula>
    </cfRule>
  </conditionalFormatting>
  <conditionalFormatting sqref="B36:C36 G36 K36">
    <cfRule type="expression" dxfId="712" priority="92">
      <formula>$D$23="NÃO"</formula>
    </cfRule>
  </conditionalFormatting>
  <conditionalFormatting sqref="B37:C37 G37 K37">
    <cfRule type="expression" dxfId="711" priority="91">
      <formula>$D$24="NÃO"</formula>
    </cfRule>
  </conditionalFormatting>
  <conditionalFormatting sqref="B38:C38 G38 K38">
    <cfRule type="expression" dxfId="710" priority="90">
      <formula>$D$25="NÃO"</formula>
    </cfRule>
  </conditionalFormatting>
  <conditionalFormatting sqref="B39:C39 G39 K39">
    <cfRule type="expression" dxfId="709" priority="89">
      <formula>$D$26="NÃO"</formula>
    </cfRule>
  </conditionalFormatting>
  <conditionalFormatting sqref="B40:C40 K40 G40:G41">
    <cfRule type="expression" dxfId="708" priority="88">
      <formula>$D$27="NÃO"</formula>
    </cfRule>
  </conditionalFormatting>
  <conditionalFormatting sqref="B41:C41 K41">
    <cfRule type="expression" dxfId="707" priority="1">
      <formula>$D$28="NÃO"</formula>
    </cfRule>
  </conditionalFormatting>
  <conditionalFormatting sqref="B20:D21 C62:E62 C64:L71 B65:B71 H72 K72:L72">
    <cfRule type="expression" dxfId="706" priority="20">
      <formula>$D$19="NÃO"</formula>
    </cfRule>
  </conditionalFormatting>
  <conditionalFormatting sqref="C58:J59 K58:L60 C54:E54 G54 J54 E56:L56 D60:E60">
    <cfRule type="expression" dxfId="705" priority="73">
      <formula>$D$22="NÃO"</formula>
    </cfRule>
  </conditionalFormatting>
  <conditionalFormatting sqref="C8:L8">
    <cfRule type="expression" dxfId="704" priority="2">
      <formula>$C$7=0</formula>
    </cfRule>
  </conditionalFormatting>
  <conditionalFormatting sqref="C59:L59">
    <cfRule type="expression" dxfId="703" priority="72">
      <formula>$E$54="SIM"</formula>
    </cfRule>
  </conditionalFormatting>
  <conditionalFormatting sqref="E60">
    <cfRule type="expression" dxfId="702" priority="3">
      <formula>$D$19="NÃO"</formula>
    </cfRule>
  </conditionalFormatting>
  <conditionalFormatting sqref="G35:G41">
    <cfRule type="expression" dxfId="701" priority="1243">
      <formula>$H$50=0</formula>
    </cfRule>
    <cfRule type="cellIs" dxfId="700" priority="1244" operator="lessThan">
      <formula>0</formula>
    </cfRule>
  </conditionalFormatting>
  <conditionalFormatting sqref="H79:H103 L5 I58:I59 H112:H119 H151:H160 J166:J175 H66:H71">
    <cfRule type="iconSet" priority="1256">
      <iconSet>
        <cfvo type="percent" val="0"/>
        <cfvo type="formula" val="$L$18"/>
        <cfvo type="formula" val="$L$17"/>
      </iconSet>
    </cfRule>
  </conditionalFormatting>
  <conditionalFormatting sqref="I35:I41">
    <cfRule type="iconSet" priority="1255">
      <iconSet>
        <cfvo type="percent" val="0"/>
        <cfvo type="formula" val="$L$18"/>
        <cfvo type="formula" val="$L$17"/>
      </iconSet>
    </cfRule>
  </conditionalFormatting>
  <conditionalFormatting sqref="I189 I191">
    <cfRule type="expression" dxfId="699" priority="74">
      <formula>$H$189&gt;$I$189</formula>
    </cfRule>
  </conditionalFormatting>
  <conditionalFormatting sqref="K35:K40 L60 K42 J61">
    <cfRule type="containsErrors" dxfId="698" priority="99">
      <formula>ISERROR(J35)</formula>
    </cfRule>
  </conditionalFormatting>
  <conditionalFormatting sqref="L5">
    <cfRule type="expression" dxfId="697" priority="1263">
      <formula>$L$5&lt;$L$19</formula>
    </cfRule>
    <cfRule type="expression" dxfId="696" priority="1264">
      <formula>$L$5&gt;$L$16</formula>
    </cfRule>
  </conditionalFormatting>
  <dataValidations count="2">
    <dataValidation type="list" allowBlank="1" showInputMessage="1" showErrorMessage="1" sqref="C75 C73" xr:uid="{C23C356F-E528-45A5-8164-4F2D8731B5D0}">
      <formula1>"CORDÃO PARA VIVO,VIVO PRONTO"</formula1>
    </dataValidation>
    <dataValidation type="list" allowBlank="1" showInputMessage="1" showErrorMessage="1" sqref="E35:E41" xr:uid="{C8D474F6-7E3A-4E50-91FB-102C50101EBD}">
      <formula1>$D$47:$D$48</formula1>
    </dataValidation>
  </dataValidations>
  <pageMargins left="0.25" right="0.25" top="0.75" bottom="0.75" header="0.3" footer="0.3"/>
  <pageSetup paperSize="9" scale="49" fitToHeight="0" orientation="portrait" horizontalDpi="203" verticalDpi="203" r:id="rId1"/>
  <extLst>
    <ext xmlns:x14="http://schemas.microsoft.com/office/spreadsheetml/2009/9/main" uri="{CCE6A557-97BC-4b89-ADB6-D9C93CAAB3DF}">
      <x14:dataValidations xmlns:xm="http://schemas.microsoft.com/office/excel/2006/main" count="2">
        <x14:dataValidation type="list" showInputMessage="1" showErrorMessage="1" xr:uid="{6D1E487B-A962-4B74-BBB2-267671A6A7A2}">
          <x14:formula1>
            <xm:f>AVIAMENTOS!$H$4:$H$503</xm:f>
          </x14:formula1>
          <xm:sqref>C79:C103 E58 C112:C119 C151:C160 C66:C71</xm:sqref>
        </x14:dataValidation>
        <x14:dataValidation type="list" allowBlank="1" showInputMessage="1" showErrorMessage="1" prompt="SIM ou NÃO" xr:uid="{3F3A83A4-1F9C-48A8-8398-2C05F06CEFDF}">
          <x14:formula1>
            <xm:f>MODELAGEM!$F$17:$F$18</xm:f>
          </x14:formula1>
          <xm:sqref>D19:D20 E54 C32:C33 I112:I119 I79:I103 I66:I71 J54 I151:I160 E62 D22:D28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77FE2-2FB2-493C-9649-CDB2CD2F14BE}">
  <sheetPr>
    <pageSetUpPr fitToPage="1"/>
  </sheetPr>
  <dimension ref="C5:BA184"/>
  <sheetViews>
    <sheetView showGridLines="0" topLeftCell="A10" zoomScale="70" zoomScaleNormal="70" workbookViewId="0"/>
  </sheetViews>
  <sheetFormatPr defaultRowHeight="27" customHeight="1" x14ac:dyDescent="0.25"/>
  <cols>
    <col min="4" max="4" width="11.7109375" customWidth="1"/>
    <col min="5" max="5" width="21.7109375" customWidth="1"/>
    <col min="6" max="6" width="20.42578125" customWidth="1"/>
    <col min="7" max="7" width="13.42578125" customWidth="1"/>
    <col min="8" max="8" width="17" customWidth="1"/>
    <col min="9" max="9" width="19.7109375" customWidth="1"/>
    <col min="10" max="10" width="19.42578125" customWidth="1"/>
    <col min="11" max="11" width="17.28515625" customWidth="1"/>
    <col min="12" max="12" width="15" customWidth="1"/>
    <col min="13" max="13" width="16.5703125" customWidth="1"/>
    <col min="14" max="14" width="14.140625" customWidth="1"/>
    <col min="15" max="15" width="23" customWidth="1"/>
    <col min="16" max="16" width="15.28515625" customWidth="1"/>
    <col min="17" max="17" width="17" customWidth="1"/>
    <col min="18" max="18" width="17.5703125" customWidth="1"/>
    <col min="19" max="19" width="14.7109375" customWidth="1"/>
    <col min="20" max="20" width="15" customWidth="1"/>
    <col min="29" max="29" width="13.5703125" customWidth="1"/>
  </cols>
  <sheetData>
    <row r="5" spans="4:20" ht="27" customHeight="1" x14ac:dyDescent="0.25">
      <c r="D5" t="s">
        <v>492</v>
      </c>
    </row>
    <row r="6" spans="4:20" ht="27" customHeight="1" x14ac:dyDescent="0.25">
      <c r="D6" s="1428" t="str">
        <f>'Programação Individual'!B21</f>
        <v>VMORDEKAI</v>
      </c>
      <c r="E6" s="1429"/>
      <c r="F6" s="1429"/>
      <c r="G6" s="1429"/>
      <c r="H6" s="1429"/>
      <c r="I6" s="1429"/>
      <c r="J6" s="1429"/>
      <c r="K6" s="1430"/>
    </row>
    <row r="7" spans="4:20" ht="27" customHeight="1" x14ac:dyDescent="0.25">
      <c r="D7" s="181"/>
      <c r="E7" s="1437" t="str">
        <f>'NOME + Nº'!C181</f>
        <v>PREÇO FINAL</v>
      </c>
      <c r="F7" s="1437"/>
      <c r="G7" s="1437"/>
      <c r="H7" s="1437"/>
      <c r="I7" s="1437"/>
      <c r="J7" s="1437"/>
      <c r="K7" s="1437"/>
    </row>
    <row r="8" spans="4:20" ht="27" customHeight="1" x14ac:dyDescent="0.25">
      <c r="D8" s="147"/>
      <c r="E8" s="148"/>
      <c r="F8" s="148"/>
      <c r="G8" s="148"/>
      <c r="H8" s="148"/>
      <c r="I8" s="148"/>
      <c r="J8" s="182" t="s">
        <v>703</v>
      </c>
      <c r="K8" s="1048">
        <f>'NOME + Nº'!L5</f>
        <v>45182</v>
      </c>
      <c r="P8" s="1498" t="s">
        <v>664</v>
      </c>
      <c r="Q8" s="1498"/>
      <c r="R8" s="1498"/>
      <c r="S8" s="1498"/>
      <c r="T8" s="1498"/>
    </row>
    <row r="9" spans="4:20" ht="27" customHeight="1" x14ac:dyDescent="0.25">
      <c r="D9" s="147"/>
      <c r="E9" s="188" t="str">
        <f>'NOME + Nº'!D184</f>
        <v>REFERÊNCIA</v>
      </c>
      <c r="F9" s="1431" t="str">
        <f>'NOME + Nº'!E184</f>
        <v>REF. NOME + Nº - 15H x 10B x 5L (cm)</v>
      </c>
      <c r="G9" s="1431"/>
      <c r="H9" s="1431"/>
      <c r="I9" s="1431"/>
      <c r="J9" s="1431"/>
      <c r="K9" s="143"/>
      <c r="P9" s="1499" t="s">
        <v>666</v>
      </c>
      <c r="Q9" s="1499"/>
      <c r="R9" s="1499"/>
      <c r="S9" s="1499"/>
      <c r="T9" s="1499"/>
    </row>
    <row r="10" spans="4:20" ht="27" customHeight="1" x14ac:dyDescent="0.25">
      <c r="D10" s="147"/>
      <c r="E10" s="148"/>
      <c r="F10" s="148"/>
      <c r="G10" s="148"/>
      <c r="H10" s="148"/>
      <c r="I10" s="148"/>
      <c r="J10" s="148"/>
      <c r="K10" s="143"/>
      <c r="P10" s="1310" t="s">
        <v>667</v>
      </c>
      <c r="Q10" s="1311"/>
      <c r="R10" s="628" t="s">
        <v>60</v>
      </c>
      <c r="S10" s="370"/>
      <c r="T10" s="371" t="s">
        <v>668</v>
      </c>
    </row>
    <row r="11" spans="4:20" ht="27" customHeight="1" x14ac:dyDescent="0.25">
      <c r="D11" s="147"/>
      <c r="E11" s="148"/>
      <c r="F11" s="1432" t="str">
        <f>'NOME + Nº'!E186</f>
        <v>DESCONTO (%)</v>
      </c>
      <c r="G11" s="1433"/>
      <c r="H11" s="1434"/>
      <c r="I11" s="1435">
        <f>'NOME + Nº'!H186</f>
        <v>0</v>
      </c>
      <c r="J11" s="1436"/>
      <c r="K11" s="143"/>
      <c r="P11" s="1499" t="s">
        <v>659</v>
      </c>
      <c r="Q11" s="1324"/>
      <c r="R11" s="689">
        <f>'NOME + Nº'!K15</f>
        <v>90</v>
      </c>
      <c r="T11" s="372">
        <f ca="1">TODAY()-R11</f>
        <v>45650</v>
      </c>
    </row>
    <row r="12" spans="4:20" ht="27" customHeight="1" thickBot="1" x14ac:dyDescent="0.3">
      <c r="D12" s="147"/>
      <c r="E12" s="148"/>
      <c r="F12" s="150"/>
      <c r="G12" s="148"/>
      <c r="H12" s="148"/>
      <c r="I12" s="148"/>
      <c r="J12" s="148"/>
      <c r="K12" s="143"/>
      <c r="P12" s="1500" t="s">
        <v>660</v>
      </c>
      <c r="Q12" s="1501"/>
      <c r="R12" s="458">
        <f>'NOME + Nº'!K16</f>
        <v>7</v>
      </c>
      <c r="T12" s="372">
        <f ca="1">TODAY()-R12</f>
        <v>45733</v>
      </c>
    </row>
    <row r="13" spans="4:20" ht="27" customHeight="1" x14ac:dyDescent="0.25">
      <c r="D13" s="147"/>
      <c r="E13" s="690" t="str">
        <f>'NOME + Nº'!D188</f>
        <v>QUANTIDADE</v>
      </c>
      <c r="F13" s="691">
        <f>'NOME + Nº'!E188</f>
        <v>20</v>
      </c>
      <c r="H13" s="193" t="str">
        <f>'NOME + Nº'!G188</f>
        <v>BASE</v>
      </c>
      <c r="I13" s="222" t="str">
        <f>'NOME + Nº'!H188</f>
        <v>FINAL</v>
      </c>
      <c r="J13" s="224" t="str">
        <f>'NOME + Nº'!I188</f>
        <v>OFERTA</v>
      </c>
      <c r="K13" s="143"/>
      <c r="P13" s="1502" t="s">
        <v>661</v>
      </c>
      <c r="Q13" s="1503"/>
      <c r="R13" s="458">
        <f>'NOME + Nº'!K17</f>
        <v>30</v>
      </c>
      <c r="T13" s="372">
        <f ca="1">TODAY()-R13</f>
        <v>45710</v>
      </c>
    </row>
    <row r="14" spans="4:20" ht="27" customHeight="1" x14ac:dyDescent="0.25">
      <c r="D14" s="147"/>
      <c r="E14" s="17" t="str">
        <f>'NOME + Nº'!D189</f>
        <v>LOTE</v>
      </c>
      <c r="F14" s="24" t="str">
        <f>'NOME + Nº'!E189</f>
        <v>Valor Base + Acréscimos finais</v>
      </c>
      <c r="G14" s="25"/>
      <c r="H14" s="187">
        <f>'NOME + Nº'!G189</f>
        <v>8505.754352941176</v>
      </c>
      <c r="I14" s="223">
        <f>'NOME + Nº'!H189</f>
        <v>8505.754352941176</v>
      </c>
      <c r="J14" s="225">
        <f>'NOME + Nº'!I189</f>
        <v>8505.754352941176</v>
      </c>
      <c r="K14" s="143"/>
      <c r="P14" s="1504" t="s">
        <v>662</v>
      </c>
      <c r="Q14" s="1505"/>
      <c r="R14" s="458">
        <f>'NOME + Nº'!K18</f>
        <v>60</v>
      </c>
      <c r="T14" s="372">
        <f ca="1">TODAY()-R14</f>
        <v>45680</v>
      </c>
    </row>
    <row r="15" spans="4:20" ht="27" customHeight="1" x14ac:dyDescent="0.25">
      <c r="D15" s="147"/>
      <c r="E15" s="182"/>
      <c r="F15" s="148"/>
      <c r="G15" s="148"/>
      <c r="H15" s="183"/>
      <c r="I15" s="63"/>
      <c r="J15" s="226"/>
      <c r="K15" s="143"/>
      <c r="P15" s="1506" t="s">
        <v>663</v>
      </c>
      <c r="Q15" s="1507"/>
      <c r="R15" s="411">
        <f>'NOME + Nº'!K19</f>
        <v>90</v>
      </c>
      <c r="S15" s="330"/>
      <c r="T15" s="373">
        <f ca="1">TODAY()-R15</f>
        <v>45650</v>
      </c>
    </row>
    <row r="16" spans="4:20" ht="27" customHeight="1" thickBot="1" x14ac:dyDescent="0.3">
      <c r="D16" s="147"/>
      <c r="E16" s="17" t="str">
        <f>'NOME + Nº'!D191</f>
        <v>UNITÁTIO</v>
      </c>
      <c r="F16" s="24" t="str">
        <f>'NOME + Nº'!E191</f>
        <v>Valor Base + Acréscimos finais</v>
      </c>
      <c r="G16" s="25"/>
      <c r="H16" s="187">
        <f>'NOME + Nº'!G191</f>
        <v>425.2877176470588</v>
      </c>
      <c r="I16" s="223">
        <f>'NOME + Nº'!H191</f>
        <v>425.2877176470588</v>
      </c>
      <c r="J16" s="227">
        <f>'NOME + Nº'!I191</f>
        <v>425.2877176470588</v>
      </c>
      <c r="K16" s="143"/>
    </row>
    <row r="17" spans="4:11" ht="27" customHeight="1" x14ac:dyDescent="0.25">
      <c r="D17" s="147"/>
      <c r="E17" s="148"/>
      <c r="F17" s="148"/>
      <c r="G17" s="148"/>
      <c r="H17" s="148"/>
      <c r="I17" s="148"/>
      <c r="J17" s="148"/>
      <c r="K17" s="143"/>
    </row>
    <row r="18" spans="4:11" ht="27" customHeight="1" x14ac:dyDescent="0.25">
      <c r="D18" s="147"/>
      <c r="E18" s="588" t="s">
        <v>227</v>
      </c>
      <c r="F18" s="1440" t="s">
        <v>228</v>
      </c>
      <c r="G18" s="1440"/>
      <c r="H18" s="1440"/>
      <c r="I18" s="1441"/>
      <c r="J18" s="588" t="s">
        <v>88</v>
      </c>
      <c r="K18" s="143"/>
    </row>
    <row r="19" spans="4:11" ht="27" customHeight="1" x14ac:dyDescent="0.25">
      <c r="D19" s="147"/>
      <c r="E19" s="591" t="str">
        <f>IF('NOME + Nº'!D194=0,"",'NOME + Nº'!D194)</f>
        <v/>
      </c>
      <c r="F19" s="1442" t="str">
        <f>IF('NOME + Nº'!E194=0,"",'NOME + Nº'!E194)</f>
        <v/>
      </c>
      <c r="G19" s="1442"/>
      <c r="H19" s="1442"/>
      <c r="I19" s="1443"/>
      <c r="J19" s="592" t="str">
        <f>IF('NOME + Nº'!I194=0,"",'NOME + Nº'!I194)</f>
        <v/>
      </c>
      <c r="K19" s="143"/>
    </row>
    <row r="20" spans="4:11" ht="27" customHeight="1" x14ac:dyDescent="0.25">
      <c r="D20" s="147"/>
      <c r="E20" s="589" t="str">
        <f>IF('NOME + Nº'!D195=0,"",'NOME + Nº'!D195)</f>
        <v/>
      </c>
      <c r="F20" s="1444" t="str">
        <f>IF('NOME + Nº'!E195=0,"",'NOME + Nº'!E195)</f>
        <v/>
      </c>
      <c r="G20" s="1444"/>
      <c r="H20" s="1444"/>
      <c r="I20" s="1445"/>
      <c r="J20" s="590" t="str">
        <f>IF('NOME + Nº'!I195=0,"",'NOME + Nº'!I195)</f>
        <v/>
      </c>
      <c r="K20" s="143"/>
    </row>
    <row r="21" spans="4:11" ht="27" customHeight="1" x14ac:dyDescent="0.25">
      <c r="D21" s="147"/>
      <c r="E21" s="589" t="str">
        <f>IF('NOME + Nº'!D196=0,"",'NOME + Nº'!D196)</f>
        <v/>
      </c>
      <c r="F21" s="1444" t="str">
        <f>IF('NOME + Nº'!E196=0,"",'NOME + Nº'!E196)</f>
        <v/>
      </c>
      <c r="G21" s="1444"/>
      <c r="H21" s="1444"/>
      <c r="I21" s="1445"/>
      <c r="J21" s="590" t="str">
        <f>IF('NOME + Nº'!I196=0,"",'NOME + Nº'!I196)</f>
        <v/>
      </c>
      <c r="K21" s="143"/>
    </row>
    <row r="22" spans="4:11" ht="27" customHeight="1" x14ac:dyDescent="0.25">
      <c r="D22" s="147"/>
      <c r="E22" s="589" t="str">
        <f>IF('NOME + Nº'!D197=0,"",'NOME + Nº'!D197)</f>
        <v/>
      </c>
      <c r="F22" s="1444" t="str">
        <f>IF('NOME + Nº'!E197=0,"",'NOME + Nº'!E197)</f>
        <v/>
      </c>
      <c r="G22" s="1444"/>
      <c r="H22" s="1444"/>
      <c r="I22" s="1445"/>
      <c r="J22" s="590" t="str">
        <f>IF('NOME + Nº'!I197=0,"",'NOME + Nº'!I197)</f>
        <v/>
      </c>
      <c r="K22" s="143"/>
    </row>
    <row r="23" spans="4:11" ht="27" customHeight="1" x14ac:dyDescent="0.25">
      <c r="D23" s="147"/>
      <c r="E23" s="593" t="str">
        <f>IF('NOME + Nº'!D198=0,"",'NOME + Nº'!D198)</f>
        <v/>
      </c>
      <c r="F23" s="1438" t="str">
        <f>IF('NOME + Nº'!E198=0,"",'NOME + Nº'!E198)</f>
        <v/>
      </c>
      <c r="G23" s="1438"/>
      <c r="H23" s="1438"/>
      <c r="I23" s="1439"/>
      <c r="J23" s="594" t="str">
        <f>IF('NOME + Nº'!I198=0,"",'NOME + Nº'!I198)</f>
        <v/>
      </c>
      <c r="K23" s="143"/>
    </row>
    <row r="24" spans="4:11" ht="27" customHeight="1" x14ac:dyDescent="0.25">
      <c r="D24" s="147"/>
      <c r="H24" s="221" t="str">
        <f>IF('NOME + Nº'!G199=0,"",'NOME + Nº'!G199)</f>
        <v/>
      </c>
      <c r="K24" s="143"/>
    </row>
    <row r="25" spans="4:11" ht="27" customHeight="1" x14ac:dyDescent="0.25">
      <c r="D25" s="145"/>
      <c r="E25" s="146"/>
      <c r="F25" s="146"/>
      <c r="G25" s="146"/>
      <c r="H25" s="146"/>
      <c r="I25" s="146"/>
      <c r="J25" s="146"/>
      <c r="K25" s="144"/>
    </row>
    <row r="26" spans="4:11" ht="27" customHeight="1" x14ac:dyDescent="0.25">
      <c r="D26" t="s">
        <v>393</v>
      </c>
    </row>
    <row r="27" spans="4:11" ht="27" customHeight="1" x14ac:dyDescent="0.25">
      <c r="D27" s="1428" t="str">
        <f>'Programação Individual'!B21</f>
        <v>VMORDEKAI</v>
      </c>
      <c r="E27" s="1429"/>
      <c r="F27" s="1429"/>
      <c r="G27" s="1429"/>
      <c r="H27" s="1429"/>
      <c r="I27" s="1429"/>
      <c r="J27" s="1429"/>
      <c r="K27" s="1430"/>
    </row>
    <row r="28" spans="4:11" ht="27" customHeight="1" x14ac:dyDescent="0.25">
      <c r="D28" s="147"/>
      <c r="E28" s="1461" t="str">
        <f>ENFESTO!W10</f>
        <v>REF. NOME + Nº - 15H x 10B x 5L (cm)</v>
      </c>
      <c r="F28" s="1461"/>
      <c r="G28" s="1461"/>
      <c r="H28" s="1461"/>
      <c r="I28" s="1461"/>
      <c r="J28" s="1461"/>
      <c r="K28" s="143"/>
    </row>
    <row r="29" spans="4:11" ht="27" customHeight="1" x14ac:dyDescent="0.25">
      <c r="D29" s="147"/>
      <c r="E29" s="1462" t="s">
        <v>236</v>
      </c>
      <c r="F29" s="1462"/>
      <c r="G29" s="1462"/>
      <c r="H29" s="1462"/>
      <c r="I29" s="1462"/>
      <c r="J29" s="1462"/>
      <c r="K29" s="143"/>
    </row>
    <row r="30" spans="4:11" ht="27" customHeight="1" x14ac:dyDescent="0.3">
      <c r="D30" s="147"/>
      <c r="E30" s="228" t="str">
        <f>IF('NOME + Nº'!$C$32="NÃO","!!MODELAGEM não atualizada!!","")</f>
        <v/>
      </c>
      <c r="F30" s="148"/>
      <c r="G30" s="148"/>
      <c r="H30" s="149"/>
      <c r="I30" s="182" t="str">
        <f>J8</f>
        <v>DATA:</v>
      </c>
      <c r="J30" s="1049">
        <f>K8</f>
        <v>45182</v>
      </c>
      <c r="K30" s="1048"/>
    </row>
    <row r="31" spans="4:11" ht="27" customHeight="1" x14ac:dyDescent="0.25">
      <c r="D31" s="147"/>
      <c r="E31" s="148"/>
      <c r="F31" s="150" t="s">
        <v>237</v>
      </c>
      <c r="G31" s="148"/>
      <c r="H31" s="149"/>
      <c r="I31" s="148"/>
      <c r="J31" s="148"/>
      <c r="K31" s="143"/>
    </row>
    <row r="32" spans="4:11" ht="27" customHeight="1" thickBot="1" x14ac:dyDescent="0.3">
      <c r="D32" s="147"/>
      <c r="E32" s="977" t="s">
        <v>234</v>
      </c>
      <c r="F32" s="978">
        <f>ENFESTO!K18</f>
        <v>20</v>
      </c>
      <c r="G32" s="148"/>
      <c r="H32" s="148"/>
      <c r="I32" s="148"/>
      <c r="J32" s="148"/>
      <c r="K32" s="143"/>
    </row>
    <row r="33" spans="4:53" ht="27" customHeight="1" x14ac:dyDescent="0.25">
      <c r="D33" s="147"/>
      <c r="E33" s="1463" t="s">
        <v>249</v>
      </c>
      <c r="F33" s="1464"/>
      <c r="G33" s="1464"/>
      <c r="H33" s="1464"/>
      <c r="I33" s="1465" t="s">
        <v>251</v>
      </c>
      <c r="J33" s="1466"/>
      <c r="K33" s="143"/>
    </row>
    <row r="34" spans="4:53" ht="27" customHeight="1" thickBot="1" x14ac:dyDescent="0.3">
      <c r="D34" s="147"/>
      <c r="E34" s="982" t="s">
        <v>239</v>
      </c>
      <c r="F34" s="983" t="s">
        <v>195</v>
      </c>
      <c r="G34" s="983" t="s">
        <v>376</v>
      </c>
      <c r="H34" s="983" t="s">
        <v>244</v>
      </c>
      <c r="I34" s="984" t="s">
        <v>284</v>
      </c>
      <c r="J34" s="985" t="s">
        <v>274</v>
      </c>
      <c r="K34" s="143"/>
    </row>
    <row r="35" spans="4:53" ht="27" customHeight="1" x14ac:dyDescent="0.25">
      <c r="D35" s="147">
        <v>1</v>
      </c>
      <c r="E35" s="986" t="str">
        <f>ENFESTO!J21</f>
        <v>Tec. Externo</v>
      </c>
      <c r="F35" s="980" t="str">
        <f>ENFESTO!K21</f>
        <v>Aquablock</v>
      </c>
      <c r="G35" s="981">
        <f>ENFESTO!L21</f>
        <v>49.9</v>
      </c>
      <c r="H35" s="980">
        <f>ENFESTO!M21</f>
        <v>140</v>
      </c>
      <c r="I35" s="991">
        <f>ENFESTO!N21</f>
        <v>4.144705882352941</v>
      </c>
      <c r="J35" s="987">
        <f>ENFESTO!O21</f>
        <v>206.82082352941177</v>
      </c>
      <c r="K35" s="143"/>
      <c r="AR35" s="1446" t="str">
        <f>ENFESTO!Y289</f>
        <v>FICHA DE ENFESTO &amp; CORTE</v>
      </c>
      <c r="AS35" s="1447"/>
      <c r="AT35" s="1447"/>
      <c r="AU35" s="1447"/>
      <c r="AV35" s="1447"/>
      <c r="AW35" s="1447"/>
      <c r="AX35" s="1447"/>
      <c r="AY35" s="1447"/>
      <c r="AZ35" s="1447"/>
      <c r="BA35" s="1448"/>
    </row>
    <row r="36" spans="4:53" ht="27" customHeight="1" thickBot="1" x14ac:dyDescent="0.3">
      <c r="D36" s="147">
        <v>2</v>
      </c>
      <c r="E36" s="973" t="str">
        <f>ENFESTO!J22</f>
        <v xml:space="preserve"> </v>
      </c>
      <c r="F36" s="974" t="str">
        <f>ENFESTO!K22</f>
        <v xml:space="preserve"> </v>
      </c>
      <c r="G36" s="975" t="str">
        <f>ENFESTO!L22</f>
        <v xml:space="preserve"> </v>
      </c>
      <c r="H36" s="974" t="str">
        <f>ENFESTO!M22</f>
        <v xml:space="preserve"> </v>
      </c>
      <c r="I36" s="992">
        <f>ENFESTO!N22</f>
        <v>0</v>
      </c>
      <c r="J36" s="988">
        <f>ENFESTO!O22</f>
        <v>0</v>
      </c>
      <c r="K36" s="143"/>
      <c r="AR36" s="1449"/>
      <c r="AS36" s="1450"/>
      <c r="AT36" s="1450"/>
      <c r="AU36" s="1450"/>
      <c r="AV36" s="1450"/>
      <c r="AW36" s="1450"/>
      <c r="AX36" s="1450"/>
      <c r="AY36" s="1450"/>
      <c r="AZ36" s="1450"/>
      <c r="BA36" s="1451"/>
    </row>
    <row r="37" spans="4:53" ht="27" customHeight="1" x14ac:dyDescent="0.25">
      <c r="D37" s="147">
        <v>3</v>
      </c>
      <c r="E37" s="973" t="str">
        <f>ENFESTO!J23</f>
        <v xml:space="preserve"> </v>
      </c>
      <c r="F37" s="974" t="str">
        <f>ENFESTO!K23</f>
        <v xml:space="preserve"> </v>
      </c>
      <c r="G37" s="975" t="str">
        <f>ENFESTO!L23</f>
        <v xml:space="preserve"> </v>
      </c>
      <c r="H37" s="974" t="str">
        <f>ENFESTO!M23</f>
        <v xml:space="preserve"> </v>
      </c>
      <c r="I37" s="992">
        <f>ENFESTO!N23</f>
        <v>0</v>
      </c>
      <c r="J37" s="988">
        <f>ENFESTO!O23</f>
        <v>0</v>
      </c>
      <c r="K37" s="143"/>
      <c r="AR37" s="1452" t="str">
        <f>IF('NOME + Nº'!$C$33="NÃO","!!ENFESTO não atualizado!!",IF(ENFESTO!Y291=0,"",ENFESTO!Y291))</f>
        <v>!!ENFESTO não atualizado!!</v>
      </c>
      <c r="AS37" s="1453"/>
      <c r="AT37" s="1453"/>
      <c r="AU37" s="1453"/>
      <c r="AV37" s="1453"/>
      <c r="AW37" s="1453"/>
      <c r="AX37" s="1453"/>
      <c r="AY37" s="1453"/>
      <c r="AZ37" s="1453"/>
      <c r="BA37" s="1454"/>
    </row>
    <row r="38" spans="4:53" ht="27" customHeight="1" x14ac:dyDescent="0.25">
      <c r="D38" s="147">
        <v>4</v>
      </c>
      <c r="E38" s="973" t="str">
        <f>ENFESTO!J24</f>
        <v xml:space="preserve"> </v>
      </c>
      <c r="F38" s="974" t="str">
        <f>ENFESTO!K24</f>
        <v xml:space="preserve"> </v>
      </c>
      <c r="G38" s="975" t="str">
        <f>ENFESTO!L24</f>
        <v xml:space="preserve"> </v>
      </c>
      <c r="H38" s="974" t="str">
        <f>ENFESTO!M24</f>
        <v xml:space="preserve"> </v>
      </c>
      <c r="I38" s="992">
        <f>ENFESTO!N24</f>
        <v>0</v>
      </c>
      <c r="J38" s="988">
        <f>ENFESTO!O24</f>
        <v>0</v>
      </c>
      <c r="K38" s="143"/>
      <c r="AR38" s="1455"/>
      <c r="AS38" s="1456"/>
      <c r="AT38" s="1456"/>
      <c r="AU38" s="1456"/>
      <c r="AV38" s="1456"/>
      <c r="AW38" s="1456"/>
      <c r="AX38" s="1456"/>
      <c r="AY38" s="1456"/>
      <c r="AZ38" s="1456"/>
      <c r="BA38" s="1457"/>
    </row>
    <row r="39" spans="4:53" ht="27" customHeight="1" x14ac:dyDescent="0.25">
      <c r="D39" s="147">
        <v>5</v>
      </c>
      <c r="E39" s="973" t="str">
        <f>ENFESTO!J25</f>
        <v xml:space="preserve"> </v>
      </c>
      <c r="F39" s="974" t="str">
        <f>ENFESTO!K25</f>
        <v xml:space="preserve"> </v>
      </c>
      <c r="G39" s="975" t="str">
        <f>ENFESTO!L25</f>
        <v xml:space="preserve"> </v>
      </c>
      <c r="H39" s="974" t="str">
        <f>ENFESTO!M25</f>
        <v xml:space="preserve"> </v>
      </c>
      <c r="I39" s="992">
        <f>ENFESTO!N25</f>
        <v>0</v>
      </c>
      <c r="J39" s="988">
        <f>ENFESTO!O25</f>
        <v>0</v>
      </c>
      <c r="K39" s="143"/>
      <c r="AR39" s="1458" t="s">
        <v>281</v>
      </c>
      <c r="AS39" s="1458"/>
      <c r="AT39" s="1459" t="s">
        <v>384</v>
      </c>
      <c r="AU39" s="1459"/>
      <c r="AV39" s="1459"/>
      <c r="AW39" s="1459"/>
      <c r="AX39" s="1459"/>
      <c r="AY39" s="1459"/>
      <c r="AZ39" s="583" t="s">
        <v>158</v>
      </c>
      <c r="BA39" s="582" t="s">
        <v>750</v>
      </c>
    </row>
    <row r="40" spans="4:53" ht="27" customHeight="1" x14ac:dyDescent="0.25">
      <c r="D40" s="147">
        <v>6</v>
      </c>
      <c r="E40" s="973" t="str">
        <f>ENFESTO!J26</f>
        <v xml:space="preserve"> </v>
      </c>
      <c r="F40" s="974" t="str">
        <f>ENFESTO!K26</f>
        <v xml:space="preserve"> </v>
      </c>
      <c r="G40" s="975" t="str">
        <f>ENFESTO!L26</f>
        <v xml:space="preserve"> </v>
      </c>
      <c r="H40" s="974" t="str">
        <f>ENFESTO!M26</f>
        <v xml:space="preserve"> </v>
      </c>
      <c r="I40" s="992">
        <f>ENFESTO!N26</f>
        <v>0</v>
      </c>
      <c r="J40" s="988">
        <f>ENFESTO!O26</f>
        <v>0</v>
      </c>
      <c r="K40" s="143"/>
      <c r="AQ40">
        <v>1</v>
      </c>
      <c r="AR40" s="1409" t="str">
        <f>IF(ENFESTO!Y294=0,"",ENFESTO!Y294)</f>
        <v>Tec. Principal</v>
      </c>
      <c r="AS40" s="1409"/>
      <c r="AT40" s="1410" t="str">
        <f>IF(ENFESTO!AA294=0,"",ENFESTO!AA294)</f>
        <v>EX.: No ENFESTO 1 foi posicionado moldes 1,2,6, alinhando posições de fio e maximizando aproveitamento.</v>
      </c>
      <c r="AU40" s="1411"/>
      <c r="AV40" s="1411"/>
      <c r="AW40" s="1411"/>
      <c r="AX40" s="1411"/>
      <c r="AY40" s="1412"/>
      <c r="AZ40" s="1419" t="str">
        <f>IF(ENFESTO!AG294=0,"",ENFESTO!AG294)</f>
        <v>60cm</v>
      </c>
      <c r="BA40" s="1422" t="str">
        <f>IF(ENFESTO!AH294=0,"",ENFESTO!AH294)</f>
        <v/>
      </c>
    </row>
    <row r="41" spans="4:53" ht="27" customHeight="1" x14ac:dyDescent="0.25">
      <c r="D41" s="147">
        <v>7</v>
      </c>
      <c r="E41" s="976" t="str">
        <f>ENFESTO!J27</f>
        <v xml:space="preserve"> </v>
      </c>
      <c r="F41" s="971" t="str">
        <f>ENFESTO!K27</f>
        <v xml:space="preserve"> </v>
      </c>
      <c r="G41" s="972" t="str">
        <f>ENFESTO!L27</f>
        <v xml:space="preserve"> </v>
      </c>
      <c r="H41" s="971" t="str">
        <f>ENFESTO!M27</f>
        <v xml:space="preserve"> </v>
      </c>
      <c r="I41" s="993">
        <f>ENFESTO!N27</f>
        <v>0</v>
      </c>
      <c r="J41" s="989">
        <f>ENFESTO!O27</f>
        <v>0</v>
      </c>
      <c r="K41" s="143"/>
      <c r="AR41" s="969"/>
      <c r="AS41" s="969"/>
      <c r="AT41" s="1413"/>
      <c r="AU41" s="1414"/>
      <c r="AV41" s="1414"/>
      <c r="AW41" s="1414"/>
      <c r="AX41" s="1414"/>
      <c r="AY41" s="1415"/>
      <c r="AZ41" s="1420"/>
      <c r="BA41" s="1423"/>
    </row>
    <row r="42" spans="4:53" ht="27" customHeight="1" x14ac:dyDescent="0.25">
      <c r="D42" s="147"/>
      <c r="E42" s="148"/>
      <c r="F42" s="148"/>
      <c r="G42" s="148"/>
      <c r="H42" s="148"/>
      <c r="I42" s="994"/>
      <c r="J42" s="990"/>
      <c r="K42" s="143"/>
      <c r="AS42" s="179"/>
      <c r="AT42" s="1413"/>
      <c r="AU42" s="1414"/>
      <c r="AV42" s="1414"/>
      <c r="AW42" s="1414"/>
      <c r="AX42" s="1414"/>
      <c r="AY42" s="1415"/>
      <c r="AZ42" s="1420"/>
      <c r="BA42" s="1423"/>
    </row>
    <row r="43" spans="4:53" ht="27" customHeight="1" x14ac:dyDescent="0.25">
      <c r="D43" s="147"/>
      <c r="E43" s="148"/>
      <c r="F43" s="1460" t="s">
        <v>256</v>
      </c>
      <c r="G43" s="1460"/>
      <c r="H43" s="1460"/>
      <c r="I43" s="995">
        <f>ENFESTO!N29</f>
        <v>4.144705882352941</v>
      </c>
      <c r="J43" s="996">
        <f>ENFESTO!O29</f>
        <v>206.82082352941177</v>
      </c>
      <c r="K43" s="143"/>
      <c r="AT43" s="1416"/>
      <c r="AU43" s="1417"/>
      <c r="AV43" s="1417"/>
      <c r="AW43" s="1417"/>
      <c r="AX43" s="1417"/>
      <c r="AY43" s="1418"/>
      <c r="AZ43" s="1421"/>
      <c r="BA43" s="1424"/>
    </row>
    <row r="44" spans="4:53" ht="27" customHeight="1" x14ac:dyDescent="0.25">
      <c r="D44" s="145"/>
      <c r="E44" s="146"/>
      <c r="F44" s="146"/>
      <c r="G44" s="146"/>
      <c r="H44" s="146"/>
      <c r="I44" s="146"/>
      <c r="J44" s="146"/>
      <c r="K44" s="144"/>
      <c r="AQ44">
        <v>2</v>
      </c>
      <c r="AR44" s="1409" t="s">
        <v>202</v>
      </c>
      <c r="AS44" s="1409"/>
      <c r="AT44" s="1410"/>
      <c r="AU44" s="1411"/>
      <c r="AV44" s="1411"/>
      <c r="AW44" s="1411"/>
      <c r="AX44" s="1411"/>
      <c r="AY44" s="1412"/>
      <c r="AZ44" s="1419"/>
      <c r="BA44" s="1422"/>
    </row>
    <row r="45" spans="4:53" ht="27" customHeight="1" x14ac:dyDescent="0.25">
      <c r="AS45" s="179"/>
      <c r="AT45" s="1413"/>
      <c r="AU45" s="1414"/>
      <c r="AV45" s="1414"/>
      <c r="AW45" s="1414"/>
      <c r="AX45" s="1414"/>
      <c r="AY45" s="1415"/>
      <c r="AZ45" s="1420"/>
      <c r="BA45" s="1423"/>
    </row>
    <row r="46" spans="4:53" ht="27" customHeight="1" x14ac:dyDescent="0.25">
      <c r="D46" s="1428" t="str">
        <f>'Programação Individual'!B21</f>
        <v>VMORDEKAI</v>
      </c>
      <c r="E46" s="1429"/>
      <c r="F46" s="1429"/>
      <c r="G46" s="1429"/>
      <c r="H46" s="1429"/>
      <c r="I46" s="1429"/>
      <c r="J46" s="1429"/>
      <c r="K46" s="1430"/>
      <c r="AT46" s="1416"/>
      <c r="AU46" s="1417"/>
      <c r="AV46" s="1417"/>
      <c r="AW46" s="1417"/>
      <c r="AX46" s="1417"/>
      <c r="AY46" s="1418"/>
      <c r="AZ46" s="1421"/>
      <c r="BA46" s="1424"/>
    </row>
    <row r="47" spans="4:53" ht="27" customHeight="1" x14ac:dyDescent="0.25">
      <c r="D47" s="147"/>
      <c r="E47" s="1461" t="str">
        <f>ENFESTO!W10</f>
        <v>REF. NOME + Nº - 15H x 10B x 5L (cm)</v>
      </c>
      <c r="F47" s="1461"/>
      <c r="G47" s="1461"/>
      <c r="H47" s="1461"/>
      <c r="I47" s="1461"/>
      <c r="J47" s="1461"/>
      <c r="K47" s="143"/>
      <c r="AQ47">
        <v>3</v>
      </c>
      <c r="AR47" s="1409" t="s">
        <v>202</v>
      </c>
      <c r="AS47" s="1409"/>
      <c r="AT47" s="1410"/>
      <c r="AU47" s="1411"/>
      <c r="AV47" s="1411"/>
      <c r="AW47" s="1411"/>
      <c r="AX47" s="1411"/>
      <c r="AY47" s="1412"/>
      <c r="AZ47" s="1419"/>
      <c r="BA47" s="1422"/>
    </row>
    <row r="48" spans="4:53" ht="27" customHeight="1" x14ac:dyDescent="0.25">
      <c r="D48" s="147"/>
      <c r="E48" s="1462" t="str">
        <f>ENFESTO!J34</f>
        <v>CONSUMO DE TECIDO POR ENFESTO</v>
      </c>
      <c r="F48" s="1462"/>
      <c r="G48" s="1462"/>
      <c r="H48" s="1462"/>
      <c r="I48" s="1462"/>
      <c r="J48" s="1462"/>
      <c r="K48" s="143"/>
      <c r="AS48" s="179"/>
      <c r="AT48" s="1413"/>
      <c r="AU48" s="1414"/>
      <c r="AV48" s="1414"/>
      <c r="AW48" s="1414"/>
      <c r="AX48" s="1414"/>
      <c r="AY48" s="1415"/>
      <c r="AZ48" s="1420"/>
      <c r="BA48" s="1423"/>
    </row>
    <row r="49" spans="4:53" ht="27" customHeight="1" x14ac:dyDescent="0.3">
      <c r="D49" s="147"/>
      <c r="E49" s="228" t="str">
        <f>IF('NOME + Nº'!$C$33="NÃO","!!ENFESTO não atualizado!!","")</f>
        <v>!!ENFESTO não atualizado!!</v>
      </c>
      <c r="F49" s="148"/>
      <c r="G49" s="148"/>
      <c r="H49" s="149"/>
      <c r="I49" s="182" t="s">
        <v>703</v>
      </c>
      <c r="J49" s="1050">
        <f>K8</f>
        <v>45182</v>
      </c>
      <c r="K49" s="143"/>
      <c r="AT49" s="1416"/>
      <c r="AU49" s="1417"/>
      <c r="AV49" s="1417"/>
      <c r="AW49" s="1417"/>
      <c r="AX49" s="1417"/>
      <c r="AY49" s="1418"/>
      <c r="AZ49" s="1421"/>
      <c r="BA49" s="1424"/>
    </row>
    <row r="50" spans="4:53" ht="27" customHeight="1" x14ac:dyDescent="0.25">
      <c r="D50" s="147"/>
      <c r="E50" s="148"/>
      <c r="F50" s="150" t="s">
        <v>237</v>
      </c>
      <c r="G50" s="148"/>
      <c r="H50" s="149"/>
      <c r="I50" s="148"/>
      <c r="J50" s="148"/>
      <c r="K50" s="143"/>
      <c r="AQ50">
        <v>4</v>
      </c>
      <c r="AR50" s="1409" t="s">
        <v>202</v>
      </c>
      <c r="AS50" s="1409"/>
      <c r="AT50" s="1410"/>
      <c r="AU50" s="1411"/>
      <c r="AV50" s="1411"/>
      <c r="AW50" s="1411"/>
      <c r="AX50" s="1411"/>
      <c r="AY50" s="1412"/>
      <c r="AZ50" s="1419"/>
      <c r="BA50" s="1422"/>
    </row>
    <row r="51" spans="4:53" ht="27" customHeight="1" thickBot="1" x14ac:dyDescent="0.3">
      <c r="D51" s="147"/>
      <c r="E51" s="977" t="s">
        <v>234</v>
      </c>
      <c r="F51" s="979">
        <f>ENFESTO!K37</f>
        <v>20</v>
      </c>
      <c r="G51" s="148"/>
      <c r="H51" s="148"/>
      <c r="I51" s="148"/>
      <c r="J51" s="148"/>
      <c r="K51" s="143"/>
      <c r="AS51" s="179"/>
      <c r="AT51" s="1413"/>
      <c r="AU51" s="1414"/>
      <c r="AV51" s="1414"/>
      <c r="AW51" s="1414"/>
      <c r="AX51" s="1414"/>
      <c r="AY51" s="1415"/>
      <c r="AZ51" s="1420"/>
      <c r="BA51" s="1423"/>
    </row>
    <row r="52" spans="4:53" ht="27" customHeight="1" x14ac:dyDescent="0.25">
      <c r="D52" s="147"/>
      <c r="E52" s="1463" t="s">
        <v>249</v>
      </c>
      <c r="F52" s="1464"/>
      <c r="G52" s="1464"/>
      <c r="H52" s="1464"/>
      <c r="I52" s="1465" t="s">
        <v>251</v>
      </c>
      <c r="J52" s="1466"/>
      <c r="K52" s="143"/>
      <c r="AT52" s="1416"/>
      <c r="AU52" s="1417"/>
      <c r="AV52" s="1417"/>
      <c r="AW52" s="1417"/>
      <c r="AX52" s="1417"/>
      <c r="AY52" s="1418"/>
      <c r="AZ52" s="1421"/>
      <c r="BA52" s="1424"/>
    </row>
    <row r="53" spans="4:53" ht="27" customHeight="1" thickBot="1" x14ac:dyDescent="0.3">
      <c r="D53" s="147"/>
      <c r="E53" s="982" t="s">
        <v>239</v>
      </c>
      <c r="F53" s="983" t="s">
        <v>195</v>
      </c>
      <c r="G53" s="983" t="s">
        <v>376</v>
      </c>
      <c r="H53" s="983" t="s">
        <v>244</v>
      </c>
      <c r="I53" s="984" t="s">
        <v>284</v>
      </c>
      <c r="J53" s="985" t="s">
        <v>274</v>
      </c>
      <c r="K53" s="143"/>
      <c r="AQ53">
        <v>5</v>
      </c>
      <c r="AR53" s="1409" t="s">
        <v>202</v>
      </c>
      <c r="AS53" s="1409"/>
      <c r="AT53" s="1410"/>
      <c r="AU53" s="1411"/>
      <c r="AV53" s="1411"/>
      <c r="AW53" s="1411"/>
      <c r="AX53" s="1411"/>
      <c r="AY53" s="1412"/>
      <c r="AZ53" s="1419"/>
      <c r="BA53" s="1422"/>
    </row>
    <row r="54" spans="4:53" ht="27" customHeight="1" x14ac:dyDescent="0.25">
      <c r="D54" s="147">
        <v>1</v>
      </c>
      <c r="E54" s="986" t="str">
        <f>ENFESTO!J40</f>
        <v xml:space="preserve"> </v>
      </c>
      <c r="F54" s="980" t="str">
        <f>ENFESTO!K40</f>
        <v xml:space="preserve"> </v>
      </c>
      <c r="G54" s="981" t="str">
        <f>ENFESTO!L40</f>
        <v xml:space="preserve"> </v>
      </c>
      <c r="H54" s="980" t="str">
        <f>ENFESTO!M40</f>
        <v xml:space="preserve"> </v>
      </c>
      <c r="I54" s="1000">
        <f>ENFESTO!N40</f>
        <v>0</v>
      </c>
      <c r="J54" s="987">
        <f>ENFESTO!O40</f>
        <v>0</v>
      </c>
      <c r="K54" s="143"/>
      <c r="AS54" s="179"/>
      <c r="AT54" s="1413"/>
      <c r="AU54" s="1414"/>
      <c r="AV54" s="1414"/>
      <c r="AW54" s="1414"/>
      <c r="AX54" s="1414"/>
      <c r="AY54" s="1415"/>
      <c r="AZ54" s="1420"/>
      <c r="BA54" s="1423"/>
    </row>
    <row r="55" spans="4:53" ht="27" customHeight="1" x14ac:dyDescent="0.25">
      <c r="D55" s="147">
        <v>2</v>
      </c>
      <c r="E55" s="973" t="str">
        <f>ENFESTO!J41</f>
        <v xml:space="preserve"> </v>
      </c>
      <c r="F55" s="974" t="str">
        <f>ENFESTO!K41</f>
        <v xml:space="preserve"> </v>
      </c>
      <c r="G55" s="975" t="str">
        <f>ENFESTO!L41</f>
        <v xml:space="preserve"> </v>
      </c>
      <c r="H55" s="974" t="str">
        <f>ENFESTO!M41</f>
        <v xml:space="preserve"> </v>
      </c>
      <c r="I55" s="992">
        <f>ENFESTO!N41</f>
        <v>0</v>
      </c>
      <c r="J55" s="988">
        <f>ENFESTO!O41</f>
        <v>0</v>
      </c>
      <c r="K55" s="143"/>
      <c r="AT55" s="1416"/>
      <c r="AU55" s="1417"/>
      <c r="AV55" s="1417"/>
      <c r="AW55" s="1417"/>
      <c r="AX55" s="1417"/>
      <c r="AY55" s="1418"/>
      <c r="AZ55" s="1421"/>
      <c r="BA55" s="1424"/>
    </row>
    <row r="56" spans="4:53" ht="27" customHeight="1" x14ac:dyDescent="0.25">
      <c r="D56" s="147">
        <v>3</v>
      </c>
      <c r="E56" s="973" t="str">
        <f>ENFESTO!J42</f>
        <v xml:space="preserve"> </v>
      </c>
      <c r="F56" s="974" t="str">
        <f>ENFESTO!K42</f>
        <v xml:space="preserve"> </v>
      </c>
      <c r="G56" s="975" t="str">
        <f>ENFESTO!L42</f>
        <v xml:space="preserve"> </v>
      </c>
      <c r="H56" s="974" t="str">
        <f>ENFESTO!M42</f>
        <v xml:space="preserve"> </v>
      </c>
      <c r="I56" s="992">
        <f>ENFESTO!N42</f>
        <v>0</v>
      </c>
      <c r="J56" s="988">
        <f>ENFESTO!O42</f>
        <v>0</v>
      </c>
      <c r="K56" s="143"/>
      <c r="AQ56">
        <v>6</v>
      </c>
      <c r="AR56" s="1409" t="s">
        <v>202</v>
      </c>
      <c r="AS56" s="1409"/>
      <c r="AT56" s="1410"/>
      <c r="AU56" s="1411"/>
      <c r="AV56" s="1411"/>
      <c r="AW56" s="1411"/>
      <c r="AX56" s="1411"/>
      <c r="AY56" s="1412"/>
      <c r="AZ56" s="1419"/>
      <c r="BA56" s="1422"/>
    </row>
    <row r="57" spans="4:53" ht="27" customHeight="1" x14ac:dyDescent="0.25">
      <c r="D57" s="147">
        <v>4</v>
      </c>
      <c r="E57" s="973" t="str">
        <f>ENFESTO!J43</f>
        <v xml:space="preserve"> </v>
      </c>
      <c r="F57" s="974" t="str">
        <f>ENFESTO!K43</f>
        <v xml:space="preserve"> </v>
      </c>
      <c r="G57" s="975" t="str">
        <f>ENFESTO!L43</f>
        <v xml:space="preserve"> </v>
      </c>
      <c r="H57" s="974" t="str">
        <f>ENFESTO!M43</f>
        <v xml:space="preserve"> </v>
      </c>
      <c r="I57" s="992">
        <f>ENFESTO!N43</f>
        <v>0</v>
      </c>
      <c r="J57" s="988">
        <f>ENFESTO!O43</f>
        <v>0</v>
      </c>
      <c r="K57" s="143"/>
      <c r="AS57" s="179"/>
      <c r="AT57" s="1413"/>
      <c r="AU57" s="1414"/>
      <c r="AV57" s="1414"/>
      <c r="AW57" s="1414"/>
      <c r="AX57" s="1414"/>
      <c r="AY57" s="1415"/>
      <c r="AZ57" s="1420"/>
      <c r="BA57" s="1423"/>
    </row>
    <row r="58" spans="4:53" ht="27" customHeight="1" x14ac:dyDescent="0.25">
      <c r="D58" s="147">
        <v>5</v>
      </c>
      <c r="E58" s="973" t="str">
        <f>ENFESTO!J44</f>
        <v xml:space="preserve"> </v>
      </c>
      <c r="F58" s="974" t="str">
        <f>ENFESTO!K44</f>
        <v xml:space="preserve"> </v>
      </c>
      <c r="G58" s="975" t="str">
        <f>ENFESTO!L44</f>
        <v xml:space="preserve"> </v>
      </c>
      <c r="H58" s="974" t="str">
        <f>ENFESTO!M44</f>
        <v xml:space="preserve"> </v>
      </c>
      <c r="I58" s="992">
        <f>ENFESTO!N44</f>
        <v>0</v>
      </c>
      <c r="J58" s="988">
        <f>ENFESTO!O44</f>
        <v>0</v>
      </c>
      <c r="K58" s="143"/>
      <c r="AT58" s="1416"/>
      <c r="AU58" s="1417"/>
      <c r="AV58" s="1417"/>
      <c r="AW58" s="1417"/>
      <c r="AX58" s="1417"/>
      <c r="AY58" s="1418"/>
      <c r="AZ58" s="1421"/>
      <c r="BA58" s="1424"/>
    </row>
    <row r="59" spans="4:53" ht="27" customHeight="1" x14ac:dyDescent="0.25">
      <c r="D59" s="147">
        <v>6</v>
      </c>
      <c r="E59" s="973" t="str">
        <f>ENFESTO!J45</f>
        <v xml:space="preserve"> </v>
      </c>
      <c r="F59" s="974" t="str">
        <f>ENFESTO!K45</f>
        <v xml:space="preserve"> </v>
      </c>
      <c r="G59" s="975" t="str">
        <f>ENFESTO!L45</f>
        <v xml:space="preserve"> </v>
      </c>
      <c r="H59" s="974" t="str">
        <f>ENFESTO!M45</f>
        <v xml:space="preserve"> </v>
      </c>
      <c r="I59" s="992">
        <f>ENFESTO!N45</f>
        <v>0</v>
      </c>
      <c r="J59" s="988">
        <f>ENFESTO!O45</f>
        <v>0</v>
      </c>
      <c r="K59" s="143"/>
      <c r="AT59" s="1425"/>
      <c r="AU59" s="1426"/>
      <c r="AV59" s="1426"/>
      <c r="AW59" s="1426"/>
      <c r="AX59" s="1426"/>
      <c r="AY59" s="1426"/>
      <c r="AZ59" s="1426"/>
      <c r="BA59" s="1427"/>
    </row>
    <row r="60" spans="4:53" ht="27" customHeight="1" x14ac:dyDescent="0.25">
      <c r="D60" s="147">
        <v>7</v>
      </c>
      <c r="E60" s="976" t="str">
        <f>ENFESTO!J46</f>
        <v xml:space="preserve"> </v>
      </c>
      <c r="F60" s="971" t="str">
        <f>ENFESTO!K46</f>
        <v xml:space="preserve"> </v>
      </c>
      <c r="G60" s="972" t="str">
        <f>ENFESTO!L46</f>
        <v xml:space="preserve"> </v>
      </c>
      <c r="H60" s="971" t="str">
        <f>ENFESTO!M46</f>
        <v xml:space="preserve"> </v>
      </c>
      <c r="I60" s="998">
        <f>ENFESTO!N46</f>
        <v>0</v>
      </c>
      <c r="J60" s="999">
        <f>ENFESTO!O46</f>
        <v>0</v>
      </c>
      <c r="K60" s="143"/>
      <c r="AT60" s="970"/>
      <c r="AU60" s="970"/>
      <c r="AV60" s="970"/>
      <c r="AW60" s="970"/>
      <c r="AX60" s="970"/>
      <c r="AY60" s="970"/>
      <c r="AZ60" s="970"/>
      <c r="BA60" s="970"/>
    </row>
    <row r="61" spans="4:53" ht="27" customHeight="1" x14ac:dyDescent="0.25">
      <c r="D61" s="147"/>
      <c r="E61" s="148"/>
      <c r="F61" s="148"/>
      <c r="G61" s="148"/>
      <c r="H61" s="148"/>
      <c r="I61" s="994"/>
      <c r="J61" s="990"/>
      <c r="K61" s="143"/>
    </row>
    <row r="62" spans="4:53" ht="27" customHeight="1" x14ac:dyDescent="0.25">
      <c r="D62" s="147"/>
      <c r="E62" s="148"/>
      <c r="F62" s="1460" t="s">
        <v>256</v>
      </c>
      <c r="G62" s="1460"/>
      <c r="H62" s="1460"/>
      <c r="I62" s="995">
        <f>ENFESTO!N48</f>
        <v>0</v>
      </c>
      <c r="J62" s="997">
        <f>ENFESTO!O48</f>
        <v>0</v>
      </c>
      <c r="K62" s="143"/>
    </row>
    <row r="63" spans="4:53" ht="27" customHeight="1" x14ac:dyDescent="0.25">
      <c r="D63" s="145"/>
      <c r="E63" s="146"/>
      <c r="F63" s="146"/>
      <c r="G63" s="146"/>
      <c r="H63" s="146"/>
      <c r="I63" s="146"/>
      <c r="J63" s="146"/>
      <c r="K63" s="144"/>
    </row>
    <row r="65" spans="3:14" ht="27" customHeight="1" x14ac:dyDescent="0.25">
      <c r="C65" s="438"/>
      <c r="D65" s="1489" t="str">
        <f>D46</f>
        <v>VMORDEKAI</v>
      </c>
      <c r="E65" s="1489"/>
      <c r="F65" s="1489"/>
      <c r="G65" s="1489"/>
      <c r="H65" s="1489"/>
      <c r="I65" s="1489"/>
      <c r="J65" s="1489"/>
      <c r="K65" s="1489"/>
      <c r="L65" s="1489"/>
      <c r="M65" s="1489"/>
      <c r="N65" s="628"/>
    </row>
    <row r="66" spans="3:14" ht="27" customHeight="1" x14ac:dyDescent="0.25">
      <c r="C66" s="439"/>
      <c r="D66" s="1461" t="str">
        <f>E47</f>
        <v>REF. NOME + Nº - 15H x 10B x 5L (cm)</v>
      </c>
      <c r="E66" s="1461"/>
      <c r="F66" s="1461"/>
      <c r="G66" s="1461"/>
      <c r="H66" s="1461"/>
      <c r="I66" s="1461"/>
      <c r="J66" s="1461"/>
      <c r="K66" s="1461"/>
      <c r="L66" s="1461"/>
      <c r="M66" s="1461"/>
      <c r="N66" s="454"/>
    </row>
    <row r="67" spans="3:14" ht="27" customHeight="1" x14ac:dyDescent="0.25">
      <c r="C67" s="439"/>
      <c r="D67" s="1462" t="str">
        <f>E48</f>
        <v>CONSUMO DE TECIDO POR ENFESTO</v>
      </c>
      <c r="E67" s="1462"/>
      <c r="F67" s="1462"/>
      <c r="G67" s="1462"/>
      <c r="H67" s="1462"/>
      <c r="I67" s="1462"/>
      <c r="J67" s="1462"/>
      <c r="K67" s="1462"/>
      <c r="L67" s="1462"/>
      <c r="M67" s="1462"/>
      <c r="N67" s="454"/>
    </row>
    <row r="68" spans="3:14" ht="27" customHeight="1" x14ac:dyDescent="0.25">
      <c r="C68" s="439"/>
      <c r="N68" s="454"/>
    </row>
    <row r="69" spans="3:14" ht="27" customHeight="1" x14ac:dyDescent="0.25">
      <c r="C69" s="439"/>
      <c r="D69" s="1486" t="s">
        <v>371</v>
      </c>
      <c r="E69" s="1486"/>
      <c r="F69" s="1486"/>
      <c r="G69" s="1488">
        <f>'NOME + Nº'!H128</f>
        <v>20</v>
      </c>
      <c r="H69" s="1488"/>
      <c r="N69" s="454"/>
    </row>
    <row r="70" spans="3:14" ht="27" customHeight="1" x14ac:dyDescent="0.25">
      <c r="C70" s="439"/>
      <c r="D70" s="1487"/>
      <c r="E70" s="1487"/>
      <c r="F70" s="1487"/>
      <c r="G70" s="1488"/>
      <c r="H70" s="1488"/>
      <c r="N70" s="454"/>
    </row>
    <row r="71" spans="3:14" ht="27" customHeight="1" x14ac:dyDescent="0.25">
      <c r="C71" s="439"/>
      <c r="N71" s="454"/>
    </row>
    <row r="72" spans="3:14" ht="27" customHeight="1" x14ac:dyDescent="0.25">
      <c r="C72" s="439"/>
      <c r="D72" s="599" t="e">
        <f>'NOME + Nº'!#REF!+1</f>
        <v>#REF!</v>
      </c>
      <c r="E72" s="1490" t="s">
        <v>218</v>
      </c>
      <c r="F72" s="1491"/>
      <c r="G72" s="1491"/>
      <c r="H72" s="1491"/>
      <c r="I72" s="1491"/>
      <c r="J72" s="1491"/>
      <c r="K72" s="1491"/>
      <c r="L72" s="1491"/>
      <c r="M72" s="1492"/>
      <c r="N72" s="454"/>
    </row>
    <row r="73" spans="3:14" ht="27" customHeight="1" x14ac:dyDescent="0.25">
      <c r="C73" s="439"/>
      <c r="N73" s="454"/>
    </row>
    <row r="74" spans="3:14" ht="27" customHeight="1" x14ac:dyDescent="0.25">
      <c r="C74" s="439"/>
      <c r="E74" s="1480" t="s">
        <v>379</v>
      </c>
      <c r="F74" s="1481"/>
      <c r="G74" s="192" t="str">
        <f>IF('NOME + Nº'!E54=0,"",'NOME + Nº'!E54)</f>
        <v>NÃO</v>
      </c>
      <c r="I74" s="1493" t="s">
        <v>443</v>
      </c>
      <c r="J74" s="1494"/>
      <c r="K74" s="1495"/>
      <c r="L74" s="192" t="s">
        <v>61</v>
      </c>
      <c r="N74" s="454"/>
    </row>
    <row r="75" spans="3:14" ht="27" customHeight="1" x14ac:dyDescent="0.25">
      <c r="C75" s="439"/>
      <c r="N75" s="454"/>
    </row>
    <row r="76" spans="3:14" ht="27" customHeight="1" x14ac:dyDescent="0.25">
      <c r="C76" s="439"/>
      <c r="G76" s="325" t="s">
        <v>384</v>
      </c>
      <c r="H76" s="325" t="s">
        <v>88</v>
      </c>
      <c r="I76" s="325" t="s">
        <v>444</v>
      </c>
      <c r="J76" s="325" t="s">
        <v>374</v>
      </c>
      <c r="K76" s="325" t="s">
        <v>669</v>
      </c>
      <c r="L76" s="325" t="s">
        <v>390</v>
      </c>
      <c r="M76" s="325" t="s">
        <v>391</v>
      </c>
      <c r="N76" s="454"/>
    </row>
    <row r="77" spans="3:14" ht="27" customHeight="1" x14ac:dyDescent="0.25">
      <c r="C77" s="439"/>
      <c r="E77" s="1345" t="str">
        <f>IF('NOME + Nº'!C58=0,"",'NOME + Nº'!C58)</f>
        <v>CORDÃO PARA VIVO:</v>
      </c>
      <c r="F77" s="1482"/>
      <c r="G77" s="630" t="str">
        <f>IF('NOME + Nº'!E58=0,"",'NOME + Nº'!E58)</f>
        <v>Cordão Algodão São José 5mm 50m</v>
      </c>
      <c r="H77" s="631" t="str">
        <f>IF('NOME + Nº'!F58=0,"",'NOME + Nº'!F58)</f>
        <v/>
      </c>
      <c r="I77" s="631">
        <f>IF('NOME + Nº'!J58=0,"",'NOME + Nº'!J58)</f>
        <v>2.4900000000000002</v>
      </c>
      <c r="J77" s="632" t="str">
        <f>IF('NOME + Nº'!E60=0,"",'NOME + Nº'!E60)</f>
        <v/>
      </c>
      <c r="K77" s="633">
        <f>IF('NOME + Nº'!I58=0,"",'NOME + Nº'!I58)</f>
        <v>44862</v>
      </c>
      <c r="L77" s="634">
        <f>IF('NOME + Nº'!K58=0,"",'NOME + Nº'!K58*G69)</f>
        <v>21.249555921538757</v>
      </c>
      <c r="M77" s="631" t="e">
        <f>IF(L74="SIM",IF('NOME + Nº'!#REF!="SIM",L77*I77,0),L77*H77)</f>
        <v>#REF!</v>
      </c>
      <c r="N77" s="454"/>
    </row>
    <row r="78" spans="3:14" ht="27" customHeight="1" x14ac:dyDescent="0.25">
      <c r="C78" s="439"/>
      <c r="E78" s="1312" t="str">
        <f>IF('NOME + Nº'!C59=0,"",'NOME + Nº'!C59)</f>
        <v>MATERIAL:</v>
      </c>
      <c r="F78" s="1483"/>
      <c r="G78" s="635" t="str">
        <f>IF('NOME + Nº'!E59=0,"",'NOME + Nº'!E59)</f>
        <v>Tec. Vivo</v>
      </c>
      <c r="H78" s="631" t="str">
        <f>IF('NOME + Nº'!F59=0,"",'NOME + Nº'!F59)</f>
        <v/>
      </c>
      <c r="I78" s="631">
        <f>IF('NOME + Nº'!J59=0,"",'NOME + Nº'!J59)</f>
        <v>49.9</v>
      </c>
      <c r="J78" s="632" t="e">
        <f>IF('NOME + Nº'!#REF!=0,"",'NOME + Nº'!#REF!)</f>
        <v>#REF!</v>
      </c>
      <c r="K78" s="633" t="str">
        <f>IF('NOME + Nº'!I59=0,"",'NOME + Nº'!I59)</f>
        <v>**</v>
      </c>
      <c r="L78" s="636">
        <f>IF('NOME + Nº'!K59=0,"",'NOME + Nº'!K59*G69)</f>
        <v>0.46106191260440199</v>
      </c>
      <c r="M78" s="637" t="str">
        <f>IF('NOME + Nº'!L59=0,"",'NOME + Nº'!L59)</f>
        <v>**</v>
      </c>
      <c r="N78" s="454"/>
    </row>
    <row r="79" spans="3:14" ht="27" customHeight="1" x14ac:dyDescent="0.3">
      <c r="C79" s="439"/>
      <c r="L79" s="600" t="s">
        <v>200</v>
      </c>
      <c r="M79" s="601" t="e">
        <f>SUM(M77:M78)</f>
        <v>#REF!</v>
      </c>
      <c r="N79" s="454"/>
    </row>
    <row r="80" spans="3:14" ht="27" customHeight="1" x14ac:dyDescent="0.3">
      <c r="C80" s="439"/>
      <c r="K80" s="602"/>
      <c r="L80" s="603"/>
      <c r="N80" s="454"/>
    </row>
    <row r="81" spans="3:15" ht="27" customHeight="1" x14ac:dyDescent="0.25">
      <c r="C81" s="439"/>
      <c r="E81" s="1480" t="s">
        <v>401</v>
      </c>
      <c r="F81" s="1480"/>
      <c r="G81" s="192" t="str">
        <f>'NOME + Nº'!E62</f>
        <v>NÃO</v>
      </c>
      <c r="N81" s="454"/>
    </row>
    <row r="82" spans="3:15" ht="27" customHeight="1" x14ac:dyDescent="0.25">
      <c r="C82" s="439"/>
      <c r="N82" s="454"/>
    </row>
    <row r="83" spans="3:15" ht="27" customHeight="1" x14ac:dyDescent="0.25">
      <c r="C83" s="439"/>
      <c r="E83" s="1309" t="s">
        <v>410</v>
      </c>
      <c r="F83" s="1477" t="s">
        <v>406</v>
      </c>
      <c r="G83" s="1477" t="s">
        <v>390</v>
      </c>
      <c r="H83" s="1477" t="s">
        <v>374</v>
      </c>
      <c r="I83" s="1477" t="s">
        <v>197</v>
      </c>
      <c r="J83" s="1477" t="s">
        <v>623</v>
      </c>
      <c r="K83" s="1473" t="s">
        <v>767</v>
      </c>
      <c r="L83" s="1477" t="s">
        <v>444</v>
      </c>
      <c r="M83" s="1477" t="s">
        <v>419</v>
      </c>
      <c r="N83" s="454"/>
      <c r="O83" s="1467" t="s">
        <v>764</v>
      </c>
    </row>
    <row r="84" spans="3:15" ht="27" customHeight="1" x14ac:dyDescent="0.25">
      <c r="C84" s="439"/>
      <c r="D84" s="286" t="s">
        <v>389</v>
      </c>
      <c r="E84" s="1317"/>
      <c r="F84" s="1307"/>
      <c r="G84" s="1307"/>
      <c r="H84" s="1307"/>
      <c r="I84" s="1307"/>
      <c r="J84" s="1307"/>
      <c r="K84" s="1474"/>
      <c r="L84" s="1307"/>
      <c r="M84" s="1307"/>
      <c r="N84" s="454"/>
      <c r="O84" s="1467"/>
    </row>
    <row r="85" spans="3:15" ht="27" customHeight="1" x14ac:dyDescent="0.25">
      <c r="C85" s="439"/>
      <c r="D85">
        <v>1</v>
      </c>
      <c r="E85" s="614" t="str">
        <f>IF('NOME + Nº'!C66=0,"",'NOME + Nº'!C66)</f>
        <v>Alça ANNA B 30mm</v>
      </c>
      <c r="F85" s="614" t="e">
        <f>IF('NOME + Nº'!D66=0,"",'NOME + Nº'!D66)</f>
        <v>#N/A</v>
      </c>
      <c r="G85" s="614">
        <f>IF('NOME + Nº'!E66*O85=0,"",'NOME + Nº'!E66*O85)</f>
        <v>2.48</v>
      </c>
      <c r="H85" s="614" t="str">
        <f>IF('NOME + Nº'!F66=0,"",'NOME + Nº'!F66)</f>
        <v/>
      </c>
      <c r="I85" s="614" t="e">
        <f>IF('NOME + Nº'!G66=0,"",'NOME + Nº'!G66)</f>
        <v>#N/A</v>
      </c>
      <c r="J85" s="638" t="e">
        <f>IF('NOME + Nº'!H66=0,"",'NOME + Nº'!H66)</f>
        <v>#N/A</v>
      </c>
      <c r="K85" s="614"/>
      <c r="L85" s="624" t="str">
        <f>IF('NOME + Nº'!K66=0,"",'NOME + Nº'!K66)</f>
        <v>**</v>
      </c>
      <c r="M85" s="624" t="str">
        <f>IF(G81="NÃO","**",IF('NOME + Nº'!L66*(O85-K85)=0,"",'NOME + Nº'!L66*O85))</f>
        <v>**</v>
      </c>
      <c r="N85" s="454"/>
      <c r="O85" s="625">
        <f>G69</f>
        <v>20</v>
      </c>
    </row>
    <row r="86" spans="3:15" ht="27" customHeight="1" x14ac:dyDescent="0.25">
      <c r="C86" s="439"/>
      <c r="D86">
        <v>2</v>
      </c>
      <c r="E86" s="614" t="str">
        <f>IF('NOME + Nº'!C67=0,"",'NOME + Nº'!C67)</f>
        <v/>
      </c>
      <c r="F86" s="614" t="str">
        <f>IF('NOME + Nº'!D67=0,"",'NOME + Nº'!D67)</f>
        <v/>
      </c>
      <c r="G86" s="614" t="str">
        <f>IF('NOME + Nº'!E67*O86=0,"",'NOME + Nº'!E67*O86)</f>
        <v/>
      </c>
      <c r="H86" s="614" t="str">
        <f>IF('NOME + Nº'!F67=0,"",'NOME + Nº'!F67)</f>
        <v/>
      </c>
      <c r="I86" s="614" t="str">
        <f>IF('NOME + Nº'!G67=0,"",'NOME + Nº'!G67)</f>
        <v/>
      </c>
      <c r="J86" s="638" t="str">
        <f>IF('NOME + Nº'!H67=0,"",'NOME + Nº'!H67)</f>
        <v/>
      </c>
      <c r="K86" s="614"/>
      <c r="L86" s="624" t="str">
        <f>IF('NOME + Nº'!K67=0,"",'NOME + Nº'!K67)</f>
        <v>**</v>
      </c>
      <c r="M86" s="624" t="str">
        <f>IF(G81="NÃO","**",IF('NOME + Nº'!L67*(O86-K86)=0,"",'NOME + Nº'!L67*(O86-K86)))</f>
        <v>**</v>
      </c>
      <c r="N86" s="454"/>
      <c r="O86" s="626">
        <f>O85</f>
        <v>20</v>
      </c>
    </row>
    <row r="87" spans="3:15" ht="27" customHeight="1" x14ac:dyDescent="0.25">
      <c r="C87" s="439"/>
      <c r="D87">
        <v>3</v>
      </c>
      <c r="E87" s="614" t="str">
        <f>IF('NOME + Nº'!C68=0,"",'NOME + Nº'!C68)</f>
        <v/>
      </c>
      <c r="F87" s="614" t="str">
        <f>IF('NOME + Nº'!D68=0,"",'NOME + Nº'!D68)</f>
        <v/>
      </c>
      <c r="G87" s="614" t="str">
        <f>IF('NOME + Nº'!E68*O87=0,"",'NOME + Nº'!E68*O87)</f>
        <v/>
      </c>
      <c r="H87" s="614" t="str">
        <f>IF('NOME + Nº'!F68=0,"",'NOME + Nº'!F68)</f>
        <v/>
      </c>
      <c r="I87" s="614" t="str">
        <f>IF('NOME + Nº'!G68=0,"",'NOME + Nº'!G68)</f>
        <v/>
      </c>
      <c r="J87" s="638" t="str">
        <f>IF('NOME + Nº'!H68=0,"",'NOME + Nº'!H68)</f>
        <v/>
      </c>
      <c r="K87" s="614"/>
      <c r="L87" s="624" t="str">
        <f>IF('NOME + Nº'!K68=0,"",'NOME + Nº'!K68)</f>
        <v>**</v>
      </c>
      <c r="M87" s="624" t="str">
        <f>IF(G81="NÃO","**",IF('NOME + Nº'!L68*(O87-K87)=0,"",'NOME + Nº'!L68*(O87-K87)))</f>
        <v>**</v>
      </c>
      <c r="N87" s="454"/>
      <c r="O87" s="626">
        <f>O86</f>
        <v>20</v>
      </c>
    </row>
    <row r="88" spans="3:15" ht="27" customHeight="1" x14ac:dyDescent="0.25">
      <c r="C88" s="439"/>
      <c r="D88">
        <v>4</v>
      </c>
      <c r="E88" s="614" t="str">
        <f>IF('NOME + Nº'!C69=0,"",'NOME + Nº'!C69)</f>
        <v/>
      </c>
      <c r="F88" s="614" t="str">
        <f>IF('NOME + Nº'!D69=0,"",'NOME + Nº'!D69)</f>
        <v/>
      </c>
      <c r="G88" s="614" t="str">
        <f>IF('NOME + Nº'!E69*O88=0,"",'NOME + Nº'!E69*O88)</f>
        <v/>
      </c>
      <c r="H88" s="614" t="str">
        <f>IF('NOME + Nº'!F69=0,"",'NOME + Nº'!F69)</f>
        <v/>
      </c>
      <c r="I88" s="614" t="str">
        <f>IF('NOME + Nº'!G69=0,"",'NOME + Nº'!G69)</f>
        <v/>
      </c>
      <c r="J88" s="638" t="str">
        <f>IF('NOME + Nº'!H69=0,"",'NOME + Nº'!H69)</f>
        <v/>
      </c>
      <c r="K88" s="614"/>
      <c r="L88" s="624" t="str">
        <f>IF('NOME + Nº'!K69=0,"",'NOME + Nº'!K69)</f>
        <v>**</v>
      </c>
      <c r="M88" s="624" t="str">
        <f>IF(G81="NÃO","**",IF('NOME + Nº'!L69*(O88-K88)=0,"",'NOME + Nº'!L69*(O88-K88)))</f>
        <v>**</v>
      </c>
      <c r="N88" s="454"/>
      <c r="O88" s="626">
        <f>O87</f>
        <v>20</v>
      </c>
    </row>
    <row r="89" spans="3:15" ht="27" customHeight="1" x14ac:dyDescent="0.25">
      <c r="C89" s="439"/>
      <c r="D89" s="453">
        <v>5</v>
      </c>
      <c r="E89" s="616" t="str">
        <f>IF('NOME + Nº'!C70=0,"",'NOME + Nº'!C70)</f>
        <v/>
      </c>
      <c r="F89" s="617" t="str">
        <f>IF('NOME + Nº'!D70=0,"",'NOME + Nº'!D70)</f>
        <v/>
      </c>
      <c r="G89" s="618" t="str">
        <f>IF('NOME + Nº'!E70*O89=0,"",'NOME + Nº'!E70*O89)</f>
        <v/>
      </c>
      <c r="H89" s="619" t="str">
        <f>IF('NOME + Nº'!F70=0,"",'NOME + Nº'!F70)</f>
        <v/>
      </c>
      <c r="I89" s="618" t="str">
        <f>IF('NOME + Nº'!G70=0,"",'NOME + Nº'!G70)</f>
        <v/>
      </c>
      <c r="J89" s="620" t="str">
        <f>IF('NOME + Nº'!H70=0,"",'NOME + Nº'!H70)</f>
        <v/>
      </c>
      <c r="K89" s="621" t="str">
        <f>IF('NOME + Nº'!I70=0,"",'NOME + Nº'!I70)</f>
        <v>SIM</v>
      </c>
      <c r="L89" s="622" t="str">
        <f>IF('NOME + Nº'!K70=0,"",'NOME + Nº'!K70)</f>
        <v>**</v>
      </c>
      <c r="M89" s="623" t="str">
        <f>IF(G81="NÃO","**",IF('NOME + Nº'!L70*O89=0,"",'NOME + Nº'!L70*O89))</f>
        <v>**</v>
      </c>
      <c r="N89" s="454"/>
      <c r="O89" s="626">
        <f>O88</f>
        <v>20</v>
      </c>
    </row>
    <row r="90" spans="3:15" ht="27" customHeight="1" x14ac:dyDescent="0.25">
      <c r="C90" s="439"/>
      <c r="D90" s="453">
        <v>6</v>
      </c>
      <c r="E90" s="612" t="str">
        <f>IF('NOME + Nº'!C71=0,"",'NOME + Nº'!C71)</f>
        <v/>
      </c>
      <c r="F90" s="613" t="str">
        <f>IF('NOME + Nº'!D71=0,"",'NOME + Nº'!D71)</f>
        <v/>
      </c>
      <c r="G90" s="444" t="str">
        <f>IF('NOME + Nº'!E71*O90=0,"",'NOME + Nº'!E71*O90)</f>
        <v/>
      </c>
      <c r="H90" s="461" t="str">
        <f>IF('NOME + Nº'!F71=0,"",'NOME + Nº'!F71)</f>
        <v/>
      </c>
      <c r="I90" s="445" t="str">
        <f>IF('NOME + Nº'!G71=0,"",'NOME + Nº'!G71)</f>
        <v/>
      </c>
      <c r="J90" s="446" t="str">
        <f>IF('NOME + Nº'!H71=0,"",'NOME + Nº'!H71)</f>
        <v/>
      </c>
      <c r="K90" s="450" t="str">
        <f>IF('NOME + Nº'!I71=0,"",'NOME + Nº'!I71)</f>
        <v>SIM</v>
      </c>
      <c r="L90" s="610" t="str">
        <f>IF('NOME + Nº'!K71=0,"",'NOME + Nº'!K71)</f>
        <v>**</v>
      </c>
      <c r="M90" s="611" t="str">
        <f>IF(G81="NÃO","**",IF('NOME + Nº'!L71*O90=0,"",'NOME + Nº'!L71*O90))</f>
        <v>**</v>
      </c>
      <c r="N90" s="454"/>
      <c r="O90" s="626">
        <f>O89</f>
        <v>20</v>
      </c>
    </row>
    <row r="91" spans="3:15" ht="27" customHeight="1" x14ac:dyDescent="0.25">
      <c r="C91" s="439"/>
      <c r="J91" s="437" t="e">
        <f ca="1">IF(SUM(J85:J90)&gt;0,SMALL(J85:J90,1),TODAY())</f>
        <v>#N/A</v>
      </c>
      <c r="L91" s="312" t="s">
        <v>200</v>
      </c>
      <c r="M91" s="313">
        <f>IF('NOME + Nº'!E62="SIM",SUM(M85:M90),MODELAGEM!EI22*G69)</f>
        <v>14.621751633986928</v>
      </c>
      <c r="N91" s="454"/>
    </row>
    <row r="92" spans="3:15" ht="27" customHeight="1" x14ac:dyDescent="0.25">
      <c r="C92" s="439"/>
      <c r="H92" s="220" t="s">
        <v>392</v>
      </c>
      <c r="N92" s="454"/>
    </row>
    <row r="93" spans="3:15" ht="27" customHeight="1" x14ac:dyDescent="0.25">
      <c r="C93" s="439"/>
      <c r="H93" s="220" t="str">
        <f>IF(G81="NÃO","** Valores de acordo com material específico definido na MODELAGEM","**Na planilha MODELAGEM, verificar possibilidade de moldes duplicados")</f>
        <v>** Valores de acordo com material específico definido na MODELAGEM</v>
      </c>
      <c r="N93" s="454"/>
    </row>
    <row r="94" spans="3:15" ht="27" customHeight="1" x14ac:dyDescent="0.25">
      <c r="C94" s="439"/>
      <c r="N94" s="454"/>
    </row>
    <row r="95" spans="3:15" ht="27" customHeight="1" x14ac:dyDescent="0.25">
      <c r="C95" s="439"/>
      <c r="E95" s="644" t="s">
        <v>380</v>
      </c>
      <c r="F95" s="645"/>
      <c r="G95" s="645"/>
      <c r="H95" s="645"/>
      <c r="I95" s="645"/>
      <c r="J95" s="645"/>
      <c r="K95" s="645"/>
      <c r="L95" s="645"/>
      <c r="M95" s="646"/>
      <c r="N95" s="454"/>
      <c r="O95" s="627"/>
    </row>
    <row r="96" spans="3:15" ht="27" customHeight="1" x14ac:dyDescent="0.25">
      <c r="C96" s="439"/>
      <c r="E96" s="1305" t="s">
        <v>157</v>
      </c>
      <c r="F96" s="1307"/>
      <c r="G96" s="1309" t="s">
        <v>219</v>
      </c>
      <c r="H96" s="1309" t="s">
        <v>374</v>
      </c>
      <c r="I96" s="1309" t="s">
        <v>197</v>
      </c>
      <c r="J96" s="1309" t="s">
        <v>623</v>
      </c>
      <c r="K96" s="1473" t="s">
        <v>767</v>
      </c>
      <c r="L96" s="1309" t="s">
        <v>444</v>
      </c>
      <c r="M96" s="1309" t="s">
        <v>59</v>
      </c>
      <c r="N96" s="454"/>
      <c r="O96" s="1467" t="s">
        <v>764</v>
      </c>
    </row>
    <row r="97" spans="3:15" ht="27" customHeight="1" x14ac:dyDescent="0.25">
      <c r="C97" s="439"/>
      <c r="D97" s="286" t="s">
        <v>389</v>
      </c>
      <c r="E97" s="1496"/>
      <c r="F97" s="1497"/>
      <c r="G97" s="1317"/>
      <c r="H97" s="1317"/>
      <c r="I97" s="1317"/>
      <c r="J97" s="1317"/>
      <c r="K97" s="1474"/>
      <c r="L97" s="1317"/>
      <c r="M97" s="1317"/>
      <c r="N97" s="454"/>
      <c r="O97" s="1467"/>
    </row>
    <row r="98" spans="3:15" ht="27" customHeight="1" x14ac:dyDescent="0.25">
      <c r="C98" s="439"/>
      <c r="D98">
        <v>1</v>
      </c>
      <c r="E98" s="1470" t="str">
        <f>IF('NOME + Nº'!C79=0,"",'NOME + Nº'!C79)</f>
        <v>Caneta Mágica</v>
      </c>
      <c r="F98" s="1471"/>
      <c r="G98" s="614">
        <f>IF('NOME + Nº'!E79*O98=0,"",'NOME + Nº'!E79*O98)</f>
        <v>1</v>
      </c>
      <c r="H98" s="614" t="str">
        <f>IF('NOME + Nº'!F79=0,"",'NOME + Nº'!F79)</f>
        <v>5% de uma caneta por peça</v>
      </c>
      <c r="I98" s="614" t="str">
        <f>IF('NOME + Nº'!G79=0,"",'NOME + Nº'!G79)</f>
        <v>NI</v>
      </c>
      <c r="J98" s="638">
        <f>IF('NOME + Nº'!H79=0,"",'NOME + Nº'!H79)</f>
        <v>44531</v>
      </c>
      <c r="K98" s="614"/>
      <c r="L98" s="624">
        <f>IF('NOME + Nº'!K79=0,"",'NOME + Nº'!K79)</f>
        <v>0.48</v>
      </c>
      <c r="M98" s="624">
        <f>IF('NOME + Nº'!L79*(O98-K98)=0,"",'NOME + Nº'!L79*(O98-K98))</f>
        <v>0.48</v>
      </c>
      <c r="N98" s="454"/>
      <c r="O98" s="626">
        <f>G69</f>
        <v>20</v>
      </c>
    </row>
    <row r="99" spans="3:15" ht="27" customHeight="1" x14ac:dyDescent="0.25">
      <c r="C99" s="439"/>
      <c r="D99">
        <v>2</v>
      </c>
      <c r="E99" s="1470" t="str">
        <f>IF('NOME + Nº'!C80=0,"",'NOME + Nº'!C80)</f>
        <v>Rebite N.1 (5,5mm) (Níquel) (macho e fêmea)</v>
      </c>
      <c r="F99" s="1471"/>
      <c r="G99" s="614">
        <f>IF('NOME + Nº'!E80*O99=0,"",'NOME + Nº'!E80*O99)</f>
        <v>100</v>
      </c>
      <c r="H99" s="614" t="str">
        <f>IF('NOME + Nº'!F80=0,"",'NOME + Nº'!F80)</f>
        <v/>
      </c>
      <c r="I99" s="614" t="str">
        <f>IF('NOME + Nº'!G80=0,"",'NOME + Nº'!G80)</f>
        <v>NI</v>
      </c>
      <c r="J99" s="638">
        <f>IF('NOME + Nº'!H80=0,"",'NOME + Nº'!H80)</f>
        <v>44862</v>
      </c>
      <c r="K99" s="614"/>
      <c r="L99" s="624">
        <f>IF('NOME + Nº'!K80=0,"",'NOME + Nº'!K80)</f>
        <v>20.8</v>
      </c>
      <c r="M99" s="624">
        <f>IF('NOME + Nº'!L80*(O99-K99)=0,"",'NOME + Nº'!L80*(O99-K99))</f>
        <v>2080</v>
      </c>
      <c r="N99" s="454"/>
      <c r="O99" s="626">
        <f t="shared" ref="O99:O122" si="0">O98</f>
        <v>20</v>
      </c>
    </row>
    <row r="100" spans="3:15" ht="27" customHeight="1" x14ac:dyDescent="0.25">
      <c r="C100" s="439"/>
      <c r="D100">
        <v>3</v>
      </c>
      <c r="E100" s="1470" t="str">
        <f>IF('NOME + Nº'!C81=0,"",'NOME + Nº'!C81)</f>
        <v xml:space="preserve">Ziper Nylon (pacote) 30mm </v>
      </c>
      <c r="F100" s="1471"/>
      <c r="G100" s="614">
        <f>IF('NOME + Nº'!E81*O100=0,"",'NOME + Nº'!E81*O100)</f>
        <v>40</v>
      </c>
      <c r="H100" s="614" t="str">
        <f>IF('NOME + Nº'!F81=0,"",'NOME + Nº'!F81)</f>
        <v/>
      </c>
      <c r="I100" s="614" t="str">
        <f>IF('NOME + Nº'!G81=0,"",'NOME + Nº'!G81)</f>
        <v>NI</v>
      </c>
      <c r="J100" s="638">
        <f>IF('NOME + Nº'!H81=0,"",'NOME + Nº'!H81)</f>
        <v>44862</v>
      </c>
      <c r="K100" s="614"/>
      <c r="L100" s="624">
        <f>IF('NOME + Nº'!K81=0,"",'NOME + Nº'!K81)</f>
        <v>1.34</v>
      </c>
      <c r="M100" s="624">
        <f>IF('NOME + Nº'!L81*(O100-K100)=0,"",'NOME + Nº'!L81*(O100-K100))</f>
        <v>53.6</v>
      </c>
      <c r="N100" s="454"/>
      <c r="O100" s="626">
        <f t="shared" si="0"/>
        <v>20</v>
      </c>
    </row>
    <row r="101" spans="3:15" ht="27" customHeight="1" x14ac:dyDescent="0.25">
      <c r="C101" s="439"/>
      <c r="D101">
        <v>4</v>
      </c>
      <c r="E101" s="1470" t="str">
        <f>IF('NOME + Nº'!C82=0,"",'NOME + Nº'!C82)</f>
        <v/>
      </c>
      <c r="F101" s="1471"/>
      <c r="G101" s="614" t="str">
        <f>IF('NOME + Nº'!E82*O101=0,"",'NOME + Nº'!E82*O101)</f>
        <v/>
      </c>
      <c r="H101" s="614" t="str">
        <f>IF('NOME + Nº'!F82=0,"",'NOME + Nº'!F82)</f>
        <v/>
      </c>
      <c r="I101" s="614" t="str">
        <f>IF('NOME + Nº'!G82=0,"",'NOME + Nº'!G82)</f>
        <v/>
      </c>
      <c r="J101" s="638" t="str">
        <f>IF('NOME + Nº'!H82=0,"",'NOME + Nº'!H82)</f>
        <v/>
      </c>
      <c r="K101" s="614"/>
      <c r="L101" s="624" t="str">
        <f>IF('NOME + Nº'!K82=0,"",'NOME + Nº'!K82)</f>
        <v/>
      </c>
      <c r="M101" s="624" t="str">
        <f>IF('NOME + Nº'!L82*(O101-K101)=0,"",'NOME + Nº'!L82*(O101-K101))</f>
        <v/>
      </c>
      <c r="N101" s="454"/>
      <c r="O101" s="626">
        <f t="shared" si="0"/>
        <v>20</v>
      </c>
    </row>
    <row r="102" spans="3:15" ht="27" customHeight="1" x14ac:dyDescent="0.25">
      <c r="C102" s="439"/>
      <c r="D102">
        <v>5</v>
      </c>
      <c r="E102" s="1470" t="str">
        <f>IF('NOME + Nº'!C83=0,"",'NOME + Nº'!C83)</f>
        <v/>
      </c>
      <c r="F102" s="1471"/>
      <c r="G102" s="614" t="str">
        <f>IF('NOME + Nº'!E83*O102=0,"",'NOME + Nº'!E83*O102)</f>
        <v/>
      </c>
      <c r="H102" s="615" t="str">
        <f>IF('NOME + Nº'!F83=0,"",'NOME + Nº'!F83)</f>
        <v/>
      </c>
      <c r="I102" s="614" t="str">
        <f>IF('NOME + Nº'!G83=0,"",'NOME + Nº'!G83)</f>
        <v/>
      </c>
      <c r="J102" s="638" t="str">
        <f>IF('NOME + Nº'!H83=0,"",'NOME + Nº'!H83)</f>
        <v/>
      </c>
      <c r="K102" s="614"/>
      <c r="L102" s="624" t="str">
        <f>IF('NOME + Nº'!K83=0,"",'NOME + Nº'!K83)</f>
        <v/>
      </c>
      <c r="M102" s="624" t="str">
        <f>IF('NOME + Nº'!L83*(O102-K102)=0,"",'NOME + Nº'!L83*(O102-K102))</f>
        <v/>
      </c>
      <c r="N102" s="454"/>
      <c r="O102" s="626">
        <f t="shared" si="0"/>
        <v>20</v>
      </c>
    </row>
    <row r="103" spans="3:15" ht="27" customHeight="1" x14ac:dyDescent="0.25">
      <c r="C103" s="439"/>
      <c r="D103">
        <v>6</v>
      </c>
      <c r="E103" s="1470" t="str">
        <f>IF('NOME + Nº'!C84=0,"",'NOME + Nº'!C84)</f>
        <v/>
      </c>
      <c r="F103" s="1471"/>
      <c r="G103" s="614" t="str">
        <f>IF('NOME + Nº'!E84*O103=0,"",'NOME + Nº'!E84*O103)</f>
        <v/>
      </c>
      <c r="H103" s="615" t="str">
        <f>IF('NOME + Nº'!F84=0,"",'NOME + Nº'!F84)</f>
        <v/>
      </c>
      <c r="I103" s="614" t="str">
        <f>IF('NOME + Nº'!G84=0,"",'NOME + Nº'!G84)</f>
        <v/>
      </c>
      <c r="J103" s="638" t="str">
        <f>IF('NOME + Nº'!H84=0,"",'NOME + Nº'!H84)</f>
        <v/>
      </c>
      <c r="K103" s="614"/>
      <c r="L103" s="624" t="str">
        <f>IF('NOME + Nº'!K84=0,"",'NOME + Nº'!K84)</f>
        <v/>
      </c>
      <c r="M103" s="624" t="str">
        <f>IF('NOME + Nº'!L84*(O103-K103)=0,"",'NOME + Nº'!L84*(O103-K103))</f>
        <v/>
      </c>
      <c r="N103" s="454"/>
      <c r="O103" s="626">
        <f t="shared" si="0"/>
        <v>20</v>
      </c>
    </row>
    <row r="104" spans="3:15" ht="27" customHeight="1" x14ac:dyDescent="0.25">
      <c r="C104" s="439"/>
      <c r="D104">
        <v>7</v>
      </c>
      <c r="E104" s="1470" t="str">
        <f>IF('NOME + Nº'!C85=0,"",'NOME + Nº'!C85)</f>
        <v/>
      </c>
      <c r="F104" s="1471"/>
      <c r="G104" s="614" t="str">
        <f>IF('NOME + Nº'!E85*O104=0,"",'NOME + Nº'!E85*O104)</f>
        <v/>
      </c>
      <c r="H104" s="615" t="str">
        <f>IF('NOME + Nº'!F85=0,"",'NOME + Nº'!F85)</f>
        <v/>
      </c>
      <c r="I104" s="614" t="str">
        <f>IF('NOME + Nº'!G85=0,"",'NOME + Nº'!G85)</f>
        <v/>
      </c>
      <c r="J104" s="638" t="str">
        <f>IF('NOME + Nº'!H85=0,"",'NOME + Nº'!H85)</f>
        <v/>
      </c>
      <c r="K104" s="614"/>
      <c r="L104" s="624" t="str">
        <f>IF('NOME + Nº'!K85=0,"",'NOME + Nº'!K85)</f>
        <v/>
      </c>
      <c r="M104" s="624" t="str">
        <f>IF('NOME + Nº'!L85*(O104-K104)=0,"",'NOME + Nº'!L85*(O104-K104))</f>
        <v/>
      </c>
      <c r="N104" s="454"/>
      <c r="O104" s="626">
        <f t="shared" si="0"/>
        <v>20</v>
      </c>
    </row>
    <row r="105" spans="3:15" ht="27" customHeight="1" x14ac:dyDescent="0.25">
      <c r="C105" s="439"/>
      <c r="D105">
        <v>8</v>
      </c>
      <c r="E105" s="1470" t="str">
        <f>IF('NOME + Nº'!C86=0,"",'NOME + Nº'!C86)</f>
        <v/>
      </c>
      <c r="F105" s="1471"/>
      <c r="G105" s="614" t="str">
        <f>IF('NOME + Nº'!E86*O105=0,"",'NOME + Nº'!E86*O105)</f>
        <v/>
      </c>
      <c r="H105" s="614" t="str">
        <f>IF('NOME + Nº'!F86=0,"",'NOME + Nº'!F86)</f>
        <v/>
      </c>
      <c r="I105" s="614" t="str">
        <f>IF('NOME + Nº'!G86=0,"",'NOME + Nº'!G86)</f>
        <v/>
      </c>
      <c r="J105" s="638" t="str">
        <f>IF('NOME + Nº'!H86=0,"",'NOME + Nº'!H86)</f>
        <v/>
      </c>
      <c r="K105" s="614"/>
      <c r="L105" s="624" t="str">
        <f>IF('NOME + Nº'!K86=0,"",'NOME + Nº'!K86)</f>
        <v/>
      </c>
      <c r="M105" s="624" t="str">
        <f>IF('NOME + Nº'!L86*(O105-K105)=0,"",'NOME + Nº'!L86*(O105-K105))</f>
        <v/>
      </c>
      <c r="N105" s="454"/>
      <c r="O105" s="626">
        <f t="shared" si="0"/>
        <v>20</v>
      </c>
    </row>
    <row r="106" spans="3:15" ht="27" customHeight="1" x14ac:dyDescent="0.25">
      <c r="C106" s="439"/>
      <c r="D106">
        <v>9</v>
      </c>
      <c r="E106" s="1470" t="str">
        <f>IF('NOME + Nº'!C87=0,"",'NOME + Nº'!C87)</f>
        <v/>
      </c>
      <c r="F106" s="1471"/>
      <c r="G106" s="614" t="str">
        <f>IF('NOME + Nº'!E87*O106=0,"",'NOME + Nº'!E87*O106)</f>
        <v/>
      </c>
      <c r="H106" s="614" t="str">
        <f>IF('NOME + Nº'!F87=0,"",'NOME + Nº'!F87)</f>
        <v/>
      </c>
      <c r="I106" s="614" t="str">
        <f>IF('NOME + Nº'!G87=0,"",'NOME + Nº'!G87)</f>
        <v/>
      </c>
      <c r="J106" s="638" t="str">
        <f>IF('NOME + Nº'!H87=0,"",'NOME + Nº'!H87)</f>
        <v/>
      </c>
      <c r="K106" s="614"/>
      <c r="L106" s="624" t="str">
        <f>IF('NOME + Nº'!K87=0,"",'NOME + Nº'!K87)</f>
        <v/>
      </c>
      <c r="M106" s="624" t="str">
        <f>IF('NOME + Nº'!L87*(O106-K106)=0,"",'NOME + Nº'!L87*(O106-K106))</f>
        <v/>
      </c>
      <c r="N106" s="454"/>
      <c r="O106" s="626">
        <f t="shared" si="0"/>
        <v>20</v>
      </c>
    </row>
    <row r="107" spans="3:15" ht="27" customHeight="1" x14ac:dyDescent="0.25">
      <c r="C107" s="439"/>
      <c r="D107">
        <v>10</v>
      </c>
      <c r="E107" s="1470" t="str">
        <f>IF('NOME + Nº'!C88=0,"",'NOME + Nº'!C88)</f>
        <v/>
      </c>
      <c r="F107" s="1471"/>
      <c r="G107" s="614" t="str">
        <f>IF('NOME + Nº'!E88*O107=0,"",'NOME + Nº'!E88*O107)</f>
        <v/>
      </c>
      <c r="H107" s="614" t="str">
        <f>IF('NOME + Nº'!F88=0,"",'NOME + Nº'!F88)</f>
        <v/>
      </c>
      <c r="I107" s="614" t="str">
        <f>IF('NOME + Nº'!G88=0,"",'NOME + Nº'!G88)</f>
        <v/>
      </c>
      <c r="J107" s="638" t="str">
        <f>IF('NOME + Nº'!H88=0,"",'NOME + Nº'!H88)</f>
        <v/>
      </c>
      <c r="K107" s="614"/>
      <c r="L107" s="624" t="str">
        <f>IF('NOME + Nº'!K88=0,"",'NOME + Nº'!K88)</f>
        <v/>
      </c>
      <c r="M107" s="624" t="str">
        <f>IF('NOME + Nº'!L88*(O107-K107)=0,"",'NOME + Nº'!L88*(O107-K107))</f>
        <v/>
      </c>
      <c r="N107" s="454"/>
      <c r="O107" s="626">
        <f t="shared" si="0"/>
        <v>20</v>
      </c>
    </row>
    <row r="108" spans="3:15" ht="27" customHeight="1" x14ac:dyDescent="0.25">
      <c r="C108" s="439"/>
      <c r="D108">
        <v>11</v>
      </c>
      <c r="E108" s="1470" t="str">
        <f>IF('NOME + Nº'!C89=0,"",'NOME + Nº'!C89)</f>
        <v/>
      </c>
      <c r="F108" s="1471"/>
      <c r="G108" s="614" t="str">
        <f>IF('NOME + Nº'!E89*O108=0,"",'NOME + Nº'!E89*O108)</f>
        <v/>
      </c>
      <c r="H108" s="614" t="str">
        <f>IF('NOME + Nº'!F89=0,"",'NOME + Nº'!F89)</f>
        <v/>
      </c>
      <c r="I108" s="614" t="str">
        <f>IF('NOME + Nº'!G89=0,"",'NOME + Nº'!G89)</f>
        <v/>
      </c>
      <c r="J108" s="638" t="str">
        <f>IF('NOME + Nº'!H89=0,"",'NOME + Nº'!H89)</f>
        <v/>
      </c>
      <c r="K108" s="614"/>
      <c r="L108" s="624" t="str">
        <f>IF('NOME + Nº'!K89=0,"",'NOME + Nº'!K89)</f>
        <v/>
      </c>
      <c r="M108" s="624" t="str">
        <f>IF('NOME + Nº'!L89*(O108-K108)=0,"",'NOME + Nº'!L89*(O108-K108))</f>
        <v/>
      </c>
      <c r="N108" s="454"/>
      <c r="O108" s="626">
        <f t="shared" si="0"/>
        <v>20</v>
      </c>
    </row>
    <row r="109" spans="3:15" ht="27" customHeight="1" x14ac:dyDescent="0.25">
      <c r="C109" s="439"/>
      <c r="D109">
        <v>12</v>
      </c>
      <c r="E109" s="1470" t="str">
        <f>IF('NOME + Nº'!C90=0,"",'NOME + Nº'!C90)</f>
        <v/>
      </c>
      <c r="F109" s="1471"/>
      <c r="G109" s="614" t="str">
        <f>IF('NOME + Nº'!E90*O109=0,"",'NOME + Nº'!E90*O109)</f>
        <v/>
      </c>
      <c r="H109" s="614" t="str">
        <f>IF('NOME + Nº'!F90=0,"",'NOME + Nº'!F90)</f>
        <v/>
      </c>
      <c r="I109" s="614" t="str">
        <f>IF('NOME + Nº'!G90=0,"",'NOME + Nº'!G90)</f>
        <v/>
      </c>
      <c r="J109" s="638" t="str">
        <f>IF('NOME + Nº'!H90=0,"",'NOME + Nº'!H90)</f>
        <v/>
      </c>
      <c r="K109" s="614"/>
      <c r="L109" s="624" t="str">
        <f>IF('NOME + Nº'!K90=0,"",'NOME + Nº'!K90)</f>
        <v/>
      </c>
      <c r="M109" s="624" t="str">
        <f>IF('NOME + Nº'!L90*(O109-K109)=0,"",'NOME + Nº'!L90*(O109-K109))</f>
        <v/>
      </c>
      <c r="N109" s="454"/>
      <c r="O109" s="626">
        <f t="shared" si="0"/>
        <v>20</v>
      </c>
    </row>
    <row r="110" spans="3:15" ht="27" customHeight="1" x14ac:dyDescent="0.25">
      <c r="C110" s="439"/>
      <c r="D110">
        <v>13</v>
      </c>
      <c r="E110" s="1470" t="str">
        <f>IF('NOME + Nº'!C91=0,"",'NOME + Nº'!C91)</f>
        <v/>
      </c>
      <c r="F110" s="1471"/>
      <c r="G110" s="614" t="str">
        <f>IF('NOME + Nº'!E91*O110=0,"",'NOME + Nº'!E91*O110)</f>
        <v/>
      </c>
      <c r="H110" s="614" t="str">
        <f>IF('NOME + Nº'!F91=0,"",'NOME + Nº'!F91)</f>
        <v/>
      </c>
      <c r="I110" s="614" t="str">
        <f>IF('NOME + Nº'!G91=0,"",'NOME + Nº'!G91)</f>
        <v/>
      </c>
      <c r="J110" s="638" t="str">
        <f>IF('NOME + Nº'!H91=0,"",'NOME + Nº'!H91)</f>
        <v/>
      </c>
      <c r="K110" s="614"/>
      <c r="L110" s="624" t="str">
        <f>IF('NOME + Nº'!K91=0,"",'NOME + Nº'!K91)</f>
        <v/>
      </c>
      <c r="M110" s="624" t="str">
        <f>IF('NOME + Nº'!L91*(O110-K110)=0,"",'NOME + Nº'!L91*(O110-K110))</f>
        <v/>
      </c>
      <c r="N110" s="454"/>
      <c r="O110" s="626">
        <f t="shared" si="0"/>
        <v>20</v>
      </c>
    </row>
    <row r="111" spans="3:15" ht="27" customHeight="1" x14ac:dyDescent="0.25">
      <c r="C111" s="439"/>
      <c r="D111">
        <v>14</v>
      </c>
      <c r="E111" s="1470" t="str">
        <f>IF('NOME + Nº'!C92=0,"",'NOME + Nº'!C92)</f>
        <v/>
      </c>
      <c r="F111" s="1471"/>
      <c r="G111" s="614" t="str">
        <f>IF('NOME + Nº'!E92*O111=0,"",'NOME + Nº'!E92*O111)</f>
        <v/>
      </c>
      <c r="H111" s="614" t="str">
        <f>IF('NOME + Nº'!F92=0,"",'NOME + Nº'!F92)</f>
        <v/>
      </c>
      <c r="I111" s="614" t="str">
        <f>IF('NOME + Nº'!G92=0,"",'NOME + Nº'!G92)</f>
        <v/>
      </c>
      <c r="J111" s="638" t="str">
        <f>IF('NOME + Nº'!H92=0,"",'NOME + Nº'!H92)</f>
        <v/>
      </c>
      <c r="K111" s="614"/>
      <c r="L111" s="624" t="str">
        <f>IF('NOME + Nº'!K92=0,"",'NOME + Nº'!K92)</f>
        <v/>
      </c>
      <c r="M111" s="624" t="str">
        <f>IF('NOME + Nº'!L92*(O111-K111)=0,"",'NOME + Nº'!L92*(O111-K111))</f>
        <v/>
      </c>
      <c r="N111" s="454"/>
      <c r="O111" s="626">
        <f t="shared" si="0"/>
        <v>20</v>
      </c>
    </row>
    <row r="112" spans="3:15" ht="27" customHeight="1" x14ac:dyDescent="0.25">
      <c r="C112" s="439"/>
      <c r="D112">
        <v>15</v>
      </c>
      <c r="E112" s="1470" t="str">
        <f>IF('NOME + Nº'!C93=0,"",'NOME + Nº'!C93)</f>
        <v/>
      </c>
      <c r="F112" s="1471"/>
      <c r="G112" s="614" t="str">
        <f>IF('NOME + Nº'!E93*O112=0,"",'NOME + Nº'!E93*O112)</f>
        <v/>
      </c>
      <c r="H112" s="614" t="str">
        <f>IF('NOME + Nº'!F93=0,"",'NOME + Nº'!F93)</f>
        <v/>
      </c>
      <c r="I112" s="614" t="str">
        <f>IF('NOME + Nº'!G93=0,"",'NOME + Nº'!G93)</f>
        <v/>
      </c>
      <c r="J112" s="638" t="str">
        <f>IF('NOME + Nº'!H93=0,"",'NOME + Nº'!H93)</f>
        <v/>
      </c>
      <c r="K112" s="614"/>
      <c r="L112" s="624" t="str">
        <f>IF('NOME + Nº'!K93=0,"",'NOME + Nº'!K93)</f>
        <v/>
      </c>
      <c r="M112" s="624" t="str">
        <f>IF('NOME + Nº'!L93*(O112-K112)=0,"",'NOME + Nº'!L93*(O112-K112))</f>
        <v/>
      </c>
      <c r="N112" s="454"/>
      <c r="O112" s="626">
        <f t="shared" si="0"/>
        <v>20</v>
      </c>
    </row>
    <row r="113" spans="3:15" ht="27" customHeight="1" x14ac:dyDescent="0.25">
      <c r="C113" s="439"/>
      <c r="D113">
        <v>16</v>
      </c>
      <c r="E113" s="1470" t="str">
        <f>IF('NOME + Nº'!C94=0,"",'NOME + Nº'!C94)</f>
        <v/>
      </c>
      <c r="F113" s="1471"/>
      <c r="G113" s="614" t="str">
        <f>IF('NOME + Nº'!E94*O113=0,"",'NOME + Nº'!E94*O113)</f>
        <v/>
      </c>
      <c r="H113" s="614" t="str">
        <f>IF('NOME + Nº'!F94=0,"",'NOME + Nº'!F94)</f>
        <v/>
      </c>
      <c r="I113" s="614" t="str">
        <f>IF('NOME + Nº'!G94=0,"",'NOME + Nº'!G94)</f>
        <v/>
      </c>
      <c r="J113" s="638" t="str">
        <f>IF('NOME + Nº'!H94=0,"",'NOME + Nº'!H94)</f>
        <v/>
      </c>
      <c r="K113" s="614"/>
      <c r="L113" s="624" t="str">
        <f>IF('NOME + Nº'!K94=0,"",'NOME + Nº'!K94)</f>
        <v/>
      </c>
      <c r="M113" s="624" t="str">
        <f>IF('NOME + Nº'!L94*(O113-K113)=0,"",'NOME + Nº'!L94*(O113-K113))</f>
        <v/>
      </c>
      <c r="N113" s="454"/>
      <c r="O113" s="626">
        <f t="shared" si="0"/>
        <v>20</v>
      </c>
    </row>
    <row r="114" spans="3:15" ht="27" customHeight="1" x14ac:dyDescent="0.25">
      <c r="C114" s="439"/>
      <c r="D114">
        <v>17</v>
      </c>
      <c r="E114" s="1470" t="str">
        <f>IF('NOME + Nº'!C95=0,"",'NOME + Nº'!C95)</f>
        <v/>
      </c>
      <c r="F114" s="1471"/>
      <c r="G114" s="614" t="str">
        <f>IF('NOME + Nº'!E95*O114=0,"",'NOME + Nº'!E95*O114)</f>
        <v/>
      </c>
      <c r="H114" s="614" t="str">
        <f>IF('NOME + Nº'!F95=0,"",'NOME + Nº'!F95)</f>
        <v/>
      </c>
      <c r="I114" s="614" t="str">
        <f>IF('NOME + Nº'!G95=0,"",'NOME + Nº'!G95)</f>
        <v/>
      </c>
      <c r="J114" s="638" t="str">
        <f>IF('NOME + Nº'!H95=0,"",'NOME + Nº'!H95)</f>
        <v/>
      </c>
      <c r="K114" s="614"/>
      <c r="L114" s="624" t="str">
        <f>IF('NOME + Nº'!K95=0,"",'NOME + Nº'!K95)</f>
        <v/>
      </c>
      <c r="M114" s="624" t="str">
        <f>IF('NOME + Nº'!L95*(O114-K114)=0,"",'NOME + Nº'!L95*(O114-K114))</f>
        <v/>
      </c>
      <c r="N114" s="454"/>
      <c r="O114" s="626">
        <f t="shared" si="0"/>
        <v>20</v>
      </c>
    </row>
    <row r="115" spans="3:15" ht="27" customHeight="1" x14ac:dyDescent="0.25">
      <c r="C115" s="439"/>
      <c r="D115">
        <v>18</v>
      </c>
      <c r="E115" s="1470" t="str">
        <f>IF('NOME + Nº'!C96=0,"",'NOME + Nº'!C96)</f>
        <v/>
      </c>
      <c r="F115" s="1471"/>
      <c r="G115" s="614" t="str">
        <f>IF('NOME + Nº'!E96*O115=0,"",'NOME + Nº'!E96*O115)</f>
        <v/>
      </c>
      <c r="H115" s="614" t="str">
        <f>IF('NOME + Nº'!F96=0,"",'NOME + Nº'!F96)</f>
        <v/>
      </c>
      <c r="I115" s="614" t="str">
        <f>IF('NOME + Nº'!G96=0,"",'NOME + Nº'!G96)</f>
        <v/>
      </c>
      <c r="J115" s="638" t="str">
        <f>IF('NOME + Nº'!H96=0,"",'NOME + Nº'!H96)</f>
        <v/>
      </c>
      <c r="K115" s="614"/>
      <c r="L115" s="624" t="str">
        <f>IF('NOME + Nº'!K96=0,"",'NOME + Nº'!K96)</f>
        <v/>
      </c>
      <c r="M115" s="624" t="str">
        <f>IF('NOME + Nº'!L96*(O115-K115)=0,"",'NOME + Nº'!L96*(O115-K115))</f>
        <v/>
      </c>
      <c r="N115" s="454"/>
      <c r="O115" s="626">
        <f t="shared" si="0"/>
        <v>20</v>
      </c>
    </row>
    <row r="116" spans="3:15" ht="27" customHeight="1" x14ac:dyDescent="0.25">
      <c r="C116" s="439"/>
      <c r="D116">
        <v>19</v>
      </c>
      <c r="E116" s="1470" t="str">
        <f>IF('NOME + Nº'!C97=0,"",'NOME + Nº'!C97)</f>
        <v/>
      </c>
      <c r="F116" s="1471"/>
      <c r="G116" s="614" t="str">
        <f>IF('NOME + Nº'!E97*O116=0,"",'NOME + Nº'!E97*O116)</f>
        <v/>
      </c>
      <c r="H116" s="614" t="str">
        <f>IF('NOME + Nº'!F97=0,"",'NOME + Nº'!F97)</f>
        <v/>
      </c>
      <c r="I116" s="614" t="str">
        <f>IF('NOME + Nº'!G97=0,"",'NOME + Nº'!G97)</f>
        <v/>
      </c>
      <c r="J116" s="638" t="str">
        <f>IF('NOME + Nº'!H97=0,"",'NOME + Nº'!H97)</f>
        <v/>
      </c>
      <c r="K116" s="614"/>
      <c r="L116" s="624" t="str">
        <f>IF('NOME + Nº'!K97=0,"",'NOME + Nº'!K97)</f>
        <v/>
      </c>
      <c r="M116" s="624" t="str">
        <f>IF('NOME + Nº'!L97*(O116-K116)=0,"",'NOME + Nº'!L97*(O116-K116))</f>
        <v/>
      </c>
      <c r="N116" s="454"/>
      <c r="O116" s="626">
        <f t="shared" si="0"/>
        <v>20</v>
      </c>
    </row>
    <row r="117" spans="3:15" ht="27" customHeight="1" x14ac:dyDescent="0.25">
      <c r="C117" s="439"/>
      <c r="D117">
        <v>20</v>
      </c>
      <c r="E117" s="1470" t="str">
        <f>IF('NOME + Nº'!C98=0,"",'NOME + Nº'!C98)</f>
        <v/>
      </c>
      <c r="F117" s="1471"/>
      <c r="G117" s="614" t="str">
        <f>IF('NOME + Nº'!E98*O117=0,"",'NOME + Nº'!E98*O117)</f>
        <v/>
      </c>
      <c r="H117" s="614" t="str">
        <f>IF('NOME + Nº'!F98=0,"",'NOME + Nº'!F98)</f>
        <v/>
      </c>
      <c r="I117" s="614" t="str">
        <f>IF('NOME + Nº'!G98=0,"",'NOME + Nº'!G98)</f>
        <v/>
      </c>
      <c r="J117" s="638" t="str">
        <f>IF('NOME + Nº'!H98=0,"",'NOME + Nº'!H98)</f>
        <v/>
      </c>
      <c r="K117" s="614"/>
      <c r="L117" s="624" t="str">
        <f>IF('NOME + Nº'!K98=0,"",'NOME + Nº'!K98)</f>
        <v/>
      </c>
      <c r="M117" s="624" t="str">
        <f>IF('NOME + Nº'!L98*(O117-K117)=0,"",'NOME + Nº'!L98*(O117-K117))</f>
        <v/>
      </c>
      <c r="N117" s="454"/>
      <c r="O117" s="626">
        <f t="shared" si="0"/>
        <v>20</v>
      </c>
    </row>
    <row r="118" spans="3:15" ht="27" customHeight="1" x14ac:dyDescent="0.25">
      <c r="C118" s="439"/>
      <c r="D118">
        <v>21</v>
      </c>
      <c r="E118" s="1470" t="str">
        <f>IF('NOME + Nº'!C99=0,"",'NOME + Nº'!C99)</f>
        <v/>
      </c>
      <c r="F118" s="1471"/>
      <c r="G118" s="614" t="str">
        <f>IF('NOME + Nº'!E99*O118=0,"",'NOME + Nº'!E99*O118)</f>
        <v/>
      </c>
      <c r="H118" s="614" t="str">
        <f>IF('NOME + Nº'!F99=0,"",'NOME + Nº'!F99)</f>
        <v/>
      </c>
      <c r="I118" s="614" t="str">
        <f>IF('NOME + Nº'!G99=0,"",'NOME + Nº'!G99)</f>
        <v/>
      </c>
      <c r="J118" s="638" t="str">
        <f>IF('NOME + Nº'!H99=0,"",'NOME + Nº'!H99)</f>
        <v/>
      </c>
      <c r="K118" s="614"/>
      <c r="L118" s="624" t="str">
        <f>IF('NOME + Nº'!K99=0,"",'NOME + Nº'!K99)</f>
        <v/>
      </c>
      <c r="M118" s="624" t="str">
        <f>IF('NOME + Nº'!L99*(O118-K118)=0,"",'NOME + Nº'!L99*(O118-K118))</f>
        <v/>
      </c>
      <c r="N118" s="454"/>
      <c r="O118" s="626">
        <f t="shared" si="0"/>
        <v>20</v>
      </c>
    </row>
    <row r="119" spans="3:15" ht="27" customHeight="1" x14ac:dyDescent="0.25">
      <c r="C119" s="439"/>
      <c r="D119">
        <v>22</v>
      </c>
      <c r="E119" s="1470" t="str">
        <f>IF('NOME + Nº'!C100=0,"",'NOME + Nº'!C100)</f>
        <v/>
      </c>
      <c r="F119" s="1471"/>
      <c r="G119" s="614" t="str">
        <f>IF('NOME + Nº'!E100*O119=0,"",'NOME + Nº'!E100*O119)</f>
        <v/>
      </c>
      <c r="H119" s="614" t="str">
        <f>IF('NOME + Nº'!F100=0,"",'NOME + Nº'!F100)</f>
        <v/>
      </c>
      <c r="I119" s="614" t="str">
        <f>IF('NOME + Nº'!G100=0,"",'NOME + Nº'!G100)</f>
        <v/>
      </c>
      <c r="J119" s="638" t="str">
        <f>IF('NOME + Nº'!H100=0,"",'NOME + Nº'!H100)</f>
        <v/>
      </c>
      <c r="K119" s="614"/>
      <c r="L119" s="624" t="str">
        <f>IF('NOME + Nº'!K100=0,"",'NOME + Nº'!K100)</f>
        <v/>
      </c>
      <c r="M119" s="624" t="str">
        <f>IF('NOME + Nº'!L100*(O119-K119)=0,"",'NOME + Nº'!L100*(O119-K119))</f>
        <v/>
      </c>
      <c r="N119" s="454"/>
      <c r="O119" s="626">
        <f t="shared" si="0"/>
        <v>20</v>
      </c>
    </row>
    <row r="120" spans="3:15" ht="27" customHeight="1" x14ac:dyDescent="0.25">
      <c r="C120" s="439"/>
      <c r="D120">
        <v>23</v>
      </c>
      <c r="E120" s="1470" t="str">
        <f>IF('NOME + Nº'!C101=0,"",'NOME + Nº'!C101)</f>
        <v/>
      </c>
      <c r="F120" s="1471"/>
      <c r="G120" s="614" t="str">
        <f>IF('NOME + Nº'!E101*O120=0,"",'NOME + Nº'!E101*O120)</f>
        <v/>
      </c>
      <c r="H120" s="614" t="str">
        <f>IF('NOME + Nº'!F101=0,"",'NOME + Nº'!F101)</f>
        <v/>
      </c>
      <c r="I120" s="614" t="str">
        <f>IF('NOME + Nº'!G101=0,"",'NOME + Nº'!G101)</f>
        <v/>
      </c>
      <c r="J120" s="638" t="str">
        <f>IF('NOME + Nº'!H101=0,"",'NOME + Nº'!H101)</f>
        <v/>
      </c>
      <c r="K120" s="614"/>
      <c r="L120" s="624" t="str">
        <f>IF('NOME + Nº'!K101=0,"",'NOME + Nº'!K101)</f>
        <v/>
      </c>
      <c r="M120" s="624" t="str">
        <f>IF('NOME + Nº'!L101*(O120-K120)=0,"",'NOME + Nº'!L101*(O120-K120))</f>
        <v/>
      </c>
      <c r="N120" s="454"/>
      <c r="O120" s="626">
        <f t="shared" si="0"/>
        <v>20</v>
      </c>
    </row>
    <row r="121" spans="3:15" ht="27" customHeight="1" x14ac:dyDescent="0.25">
      <c r="C121" s="439"/>
      <c r="D121">
        <v>24</v>
      </c>
      <c r="E121" s="1470" t="str">
        <f>IF('NOME + Nº'!C102=0,"",'NOME + Nº'!C102)</f>
        <v/>
      </c>
      <c r="F121" s="1471"/>
      <c r="G121" s="614" t="str">
        <f>IF('NOME + Nº'!E102*O121=0,"",'NOME + Nº'!E102*O121)</f>
        <v/>
      </c>
      <c r="H121" s="614" t="str">
        <f>IF('NOME + Nº'!F102=0,"",'NOME + Nº'!F102)</f>
        <v/>
      </c>
      <c r="I121" s="614" t="str">
        <f>IF('NOME + Nº'!G102=0,"",'NOME + Nº'!G102)</f>
        <v/>
      </c>
      <c r="J121" s="638" t="str">
        <f>IF('NOME + Nº'!H102=0,"",'NOME + Nº'!H102)</f>
        <v/>
      </c>
      <c r="K121" s="614"/>
      <c r="L121" s="624" t="str">
        <f>IF('NOME + Nº'!K102=0,"",'NOME + Nº'!K102)</f>
        <v/>
      </c>
      <c r="M121" s="624" t="str">
        <f>IF('NOME + Nº'!L102*(O121-K121)=0,"",'NOME + Nº'!L102*(O121-K121))</f>
        <v/>
      </c>
      <c r="N121" s="454"/>
      <c r="O121" s="626">
        <f t="shared" si="0"/>
        <v>20</v>
      </c>
    </row>
    <row r="122" spans="3:15" ht="27" customHeight="1" x14ac:dyDescent="0.25">
      <c r="C122" s="439"/>
      <c r="D122">
        <v>25</v>
      </c>
      <c r="E122" s="1470" t="str">
        <f>IF('NOME + Nº'!C103=0,"",'NOME + Nº'!C103)</f>
        <v/>
      </c>
      <c r="F122" s="1471"/>
      <c r="G122" s="614" t="str">
        <f>IF('NOME + Nº'!E103*O122=0,"",'NOME + Nº'!E103*O122)</f>
        <v/>
      </c>
      <c r="H122" s="614" t="str">
        <f>IF('NOME + Nº'!F103=0,"",'NOME + Nº'!F103)</f>
        <v/>
      </c>
      <c r="I122" s="614" t="str">
        <f>IF('NOME + Nº'!G103=0,"",'NOME + Nº'!G103)</f>
        <v/>
      </c>
      <c r="J122" s="638" t="str">
        <f>IF('NOME + Nº'!H103=0,"",'NOME + Nº'!H103)</f>
        <v/>
      </c>
      <c r="K122" s="614"/>
      <c r="L122" s="624" t="str">
        <f>IF('NOME + Nº'!K103=0,"",'NOME + Nº'!K103)</f>
        <v/>
      </c>
      <c r="M122" s="624" t="str">
        <f>IF('NOME + Nº'!L103*(O122-K122)=0,"",'NOME + Nº'!L103*(O122-K122))</f>
        <v/>
      </c>
      <c r="N122" s="454"/>
      <c r="O122" s="626">
        <f t="shared" si="0"/>
        <v>20</v>
      </c>
    </row>
    <row r="123" spans="3:15" ht="27" customHeight="1" x14ac:dyDescent="0.3">
      <c r="C123" s="439"/>
      <c r="F123" s="221" t="s">
        <v>445</v>
      </c>
      <c r="J123" s="369">
        <f ca="1">IF(SUM(J98:J122)&gt;0,SMALL(J98:J122,1),TODAY())</f>
        <v>44531</v>
      </c>
      <c r="L123" s="604" t="s">
        <v>200</v>
      </c>
      <c r="M123" s="605">
        <f>SUM(M98:M122)</f>
        <v>2134.08</v>
      </c>
      <c r="N123" s="454"/>
    </row>
    <row r="124" spans="3:15" ht="27" customHeight="1" x14ac:dyDescent="0.25">
      <c r="C124" s="439"/>
      <c r="N124" s="454"/>
    </row>
    <row r="125" spans="3:15" ht="27" customHeight="1" x14ac:dyDescent="0.25">
      <c r="C125" s="439"/>
      <c r="D125" s="606" t="e">
        <f>D72+1</f>
        <v>#REF!</v>
      </c>
      <c r="E125" s="1490" t="s">
        <v>224</v>
      </c>
      <c r="F125" s="1491"/>
      <c r="G125" s="1491"/>
      <c r="H125" s="1491"/>
      <c r="I125" s="1491"/>
      <c r="J125" s="1491"/>
      <c r="K125" s="1491"/>
      <c r="L125" s="1491"/>
      <c r="M125" s="1492"/>
      <c r="N125" s="454"/>
    </row>
    <row r="126" spans="3:15" ht="27" customHeight="1" x14ac:dyDescent="0.25">
      <c r="C126" s="439"/>
      <c r="N126" s="454"/>
    </row>
    <row r="127" spans="3:15" ht="27" customHeight="1" x14ac:dyDescent="0.25">
      <c r="C127" s="439"/>
      <c r="D127" s="1484" t="s">
        <v>225</v>
      </c>
      <c r="E127" s="1484"/>
      <c r="F127" s="1485"/>
      <c r="G127" s="607">
        <v>1</v>
      </c>
      <c r="N127" s="454"/>
    </row>
    <row r="128" spans="3:15" ht="27" customHeight="1" x14ac:dyDescent="0.25">
      <c r="C128" s="439"/>
      <c r="N128" s="454"/>
    </row>
    <row r="129" spans="3:15" ht="27" customHeight="1" x14ac:dyDescent="0.25">
      <c r="C129" s="439"/>
      <c r="E129" s="1305" t="s">
        <v>157</v>
      </c>
      <c r="F129" s="1307"/>
      <c r="G129" s="1309" t="s">
        <v>219</v>
      </c>
      <c r="H129" s="1309" t="s">
        <v>374</v>
      </c>
      <c r="I129" s="1309" t="s">
        <v>197</v>
      </c>
      <c r="J129" s="1309" t="s">
        <v>623</v>
      </c>
      <c r="K129" s="1473" t="s">
        <v>767</v>
      </c>
      <c r="L129" s="1309" t="s">
        <v>444</v>
      </c>
      <c r="M129" s="1309" t="s">
        <v>59</v>
      </c>
      <c r="N129" s="454"/>
      <c r="O129" s="1467" t="s">
        <v>764</v>
      </c>
    </row>
    <row r="130" spans="3:15" ht="27" customHeight="1" x14ac:dyDescent="0.25">
      <c r="C130" s="439"/>
      <c r="D130" s="290" t="s">
        <v>389</v>
      </c>
      <c r="E130" s="1306"/>
      <c r="F130" s="1308"/>
      <c r="G130" s="1309"/>
      <c r="H130" s="1309"/>
      <c r="I130" s="1309"/>
      <c r="J130" s="1309"/>
      <c r="K130" s="1474"/>
      <c r="L130" s="1309"/>
      <c r="M130" s="1309"/>
      <c r="N130" s="454"/>
      <c r="O130" s="1467"/>
    </row>
    <row r="131" spans="3:15" ht="27" customHeight="1" x14ac:dyDescent="0.25">
      <c r="C131" s="439"/>
      <c r="D131">
        <v>1</v>
      </c>
      <c r="E131" s="1470" t="str">
        <f>IF('NOME + Nº'!C112=0,"",'NOME + Nº'!C112)</f>
        <v>Cartão Agradecimento ANNA B</v>
      </c>
      <c r="F131" s="1471"/>
      <c r="G131" s="614">
        <f>IF('NOME + Nº'!E112*O131=0,"",'NOME + Nº'!E112*O131)</f>
        <v>20</v>
      </c>
      <c r="H131" s="614" t="str">
        <f>IF('NOME + Nº'!F112=0,"",'NOME + Nº'!F112)</f>
        <v/>
      </c>
      <c r="I131" s="614" t="str">
        <f>IF('NOME + Nº'!G112=0,"",'NOME + Nº'!G112)</f>
        <v>NI</v>
      </c>
      <c r="J131" s="638">
        <f>IF('NOME + Nº'!H112=0,"",'NOME + Nº'!H112)</f>
        <v>44862</v>
      </c>
      <c r="K131" s="614"/>
      <c r="L131" s="624">
        <f>IF('NOME + Nº'!K112=0,"",'NOME + Nº'!K112)</f>
        <v>2.4900000000000002</v>
      </c>
      <c r="M131" s="624">
        <f>IF('NOME + Nº'!L112*(O131-K131)=0,"",'NOME + Nº'!L112*(O131-K131))</f>
        <v>49.800000000000004</v>
      </c>
      <c r="N131" s="454"/>
      <c r="O131" s="625">
        <f>G69</f>
        <v>20</v>
      </c>
    </row>
    <row r="132" spans="3:15" ht="27" customHeight="1" x14ac:dyDescent="0.25">
      <c r="C132" s="439"/>
      <c r="D132">
        <v>2</v>
      </c>
      <c r="E132" s="1470" t="str">
        <f>IF('NOME + Nº'!C113=0,"",'NOME + Nº'!C113)</f>
        <v>Embalagem Plastica</v>
      </c>
      <c r="F132" s="1471"/>
      <c r="G132" s="614">
        <f>IF('NOME + Nº'!E113*O132=0,"",'NOME + Nº'!E113*O132)</f>
        <v>20</v>
      </c>
      <c r="H132" s="614" t="str">
        <f>IF('NOME + Nº'!F113=0,"",'NOME + Nº'!F113)</f>
        <v/>
      </c>
      <c r="I132" s="614" t="str">
        <f>IF('NOME + Nº'!G113=0,"",'NOME + Nº'!G113)</f>
        <v>NI</v>
      </c>
      <c r="J132" s="638">
        <f>IF('NOME + Nº'!H113=0,"",'NOME + Nº'!H113)</f>
        <v>44692</v>
      </c>
      <c r="K132" s="614"/>
      <c r="L132" s="624">
        <f>IF('NOME + Nº'!K113=0,"",'NOME + Nº'!K113)</f>
        <v>0.85</v>
      </c>
      <c r="M132" s="624">
        <f>IF('NOME + Nº'!L113*(O132-K132)=0,"",'NOME + Nº'!L113*(O132-K132))</f>
        <v>17</v>
      </c>
      <c r="N132" s="454"/>
      <c r="O132" s="626">
        <f t="shared" ref="O132:O138" si="1">O131</f>
        <v>20</v>
      </c>
    </row>
    <row r="133" spans="3:15" ht="27" customHeight="1" x14ac:dyDescent="0.25">
      <c r="C133" s="439"/>
      <c r="D133">
        <v>3</v>
      </c>
      <c r="E133" s="1470" t="str">
        <f>IF('NOME + Nº'!C114=0,"",'NOME + Nº'!C114)</f>
        <v>Etiqueta Adesiva LAÇO</v>
      </c>
      <c r="F133" s="1471"/>
      <c r="G133" s="614">
        <f>IF('NOME + Nº'!E114*O133=0,"",'NOME + Nº'!E114*O133)</f>
        <v>20</v>
      </c>
      <c r="H133" s="614" t="str">
        <f>IF('NOME + Nº'!F114=0,"",'NOME + Nº'!F114)</f>
        <v/>
      </c>
      <c r="I133" s="614" t="str">
        <f>IF('NOME + Nº'!G114=0,"",'NOME + Nº'!G114)</f>
        <v>NI</v>
      </c>
      <c r="J133" s="638">
        <f>IF('NOME + Nº'!H114=0,"",'NOME + Nº'!H114)</f>
        <v>44531</v>
      </c>
      <c r="K133" s="614"/>
      <c r="L133" s="624">
        <f>IF('NOME + Nº'!K114=0,"",'NOME + Nº'!K114)</f>
        <v>2.5</v>
      </c>
      <c r="M133" s="624">
        <f>IF('NOME + Nº'!L114*(O133-K133)=0,"",'NOME + Nº'!L114*(O133-K133))</f>
        <v>50</v>
      </c>
      <c r="N133" s="454"/>
      <c r="O133" s="626">
        <f t="shared" si="1"/>
        <v>20</v>
      </c>
    </row>
    <row r="134" spans="3:15" ht="27" customHeight="1" x14ac:dyDescent="0.25">
      <c r="C134" s="439"/>
      <c r="D134">
        <v>4</v>
      </c>
      <c r="E134" s="1470" t="str">
        <f>IF('NOME + Nº'!C115=0,"",'NOME + Nº'!C115)</f>
        <v>Papel Seda</v>
      </c>
      <c r="F134" s="1471"/>
      <c r="G134" s="614">
        <f>IF('NOME + Nº'!E115*O134=0,"",'NOME + Nº'!E115*O134)</f>
        <v>20</v>
      </c>
      <c r="H134" s="614" t="str">
        <f>IF('NOME + Nº'!F115=0,"",'NOME + Nº'!F115)</f>
        <v/>
      </c>
      <c r="I134" s="614" t="str">
        <f>IF('NOME + Nº'!G115=0,"",'NOME + Nº'!G115)</f>
        <v>NI</v>
      </c>
      <c r="J134" s="638">
        <f>IF('NOME + Nº'!H115=0,"",'NOME + Nº'!H115)</f>
        <v>43252</v>
      </c>
      <c r="K134" s="614"/>
      <c r="L134" s="624">
        <f>IF('NOME + Nº'!K115=0,"",'NOME + Nº'!K115)</f>
        <v>0.02</v>
      </c>
      <c r="M134" s="624">
        <f>IF('NOME + Nº'!L115*(O134-K134)=0,"",'NOME + Nº'!L115*(O134-K134))</f>
        <v>0.4</v>
      </c>
      <c r="N134" s="454"/>
      <c r="O134" s="626">
        <f t="shared" si="1"/>
        <v>20</v>
      </c>
    </row>
    <row r="135" spans="3:15" ht="27" customHeight="1" x14ac:dyDescent="0.25">
      <c r="C135" s="439"/>
      <c r="D135">
        <v>5</v>
      </c>
      <c r="E135" s="1470" t="str">
        <f>IF('NOME + Nº'!C116=0,"",'NOME + Nº'!C116)</f>
        <v/>
      </c>
      <c r="F135" s="1471"/>
      <c r="G135" s="614" t="str">
        <f>IF('NOME + Nº'!E116*O135=0,"",'NOME + Nº'!E116*O135)</f>
        <v/>
      </c>
      <c r="H135" s="614" t="str">
        <f>IF('NOME + Nº'!F116=0,"",'NOME + Nº'!F116)</f>
        <v/>
      </c>
      <c r="I135" s="614" t="str">
        <f>IF('NOME + Nº'!G116=0,"",'NOME + Nº'!G116)</f>
        <v/>
      </c>
      <c r="J135" s="638" t="str">
        <f>IF('NOME + Nº'!H116=0,"",'NOME + Nº'!H116)</f>
        <v/>
      </c>
      <c r="K135" s="614"/>
      <c r="L135" s="624" t="str">
        <f>IF('NOME + Nº'!K116=0,"",'NOME + Nº'!K116)</f>
        <v/>
      </c>
      <c r="M135" s="624" t="str">
        <f>IF('NOME + Nº'!L116*(O135-K135)=0,"",'NOME + Nº'!L116*(O135-K135))</f>
        <v/>
      </c>
      <c r="N135" s="454"/>
      <c r="O135" s="626">
        <f t="shared" si="1"/>
        <v>20</v>
      </c>
    </row>
    <row r="136" spans="3:15" ht="27" customHeight="1" x14ac:dyDescent="0.25">
      <c r="C136" s="439"/>
      <c r="D136">
        <v>6</v>
      </c>
      <c r="E136" s="1470" t="str">
        <f>IF('NOME + Nº'!C117=0,"",'NOME + Nº'!C117)</f>
        <v/>
      </c>
      <c r="F136" s="1471"/>
      <c r="G136" s="614" t="str">
        <f>IF('NOME + Nº'!E117*O136=0,"",'NOME + Nº'!E117*O136)</f>
        <v/>
      </c>
      <c r="H136" s="614" t="str">
        <f>IF('NOME + Nº'!F117=0,"",'NOME + Nº'!F117)</f>
        <v/>
      </c>
      <c r="I136" s="614" t="str">
        <f>IF('NOME + Nº'!G117=0,"",'NOME + Nº'!G117)</f>
        <v/>
      </c>
      <c r="J136" s="638" t="str">
        <f>IF('NOME + Nº'!H117=0,"",'NOME + Nº'!H117)</f>
        <v/>
      </c>
      <c r="K136" s="614"/>
      <c r="L136" s="624" t="str">
        <f>IF('NOME + Nº'!K117=0,"",'NOME + Nº'!K117)</f>
        <v/>
      </c>
      <c r="M136" s="624" t="str">
        <f>IF('NOME + Nº'!L117*(O136-K136)=0,"",'NOME + Nº'!L117*(O136-K136))</f>
        <v/>
      </c>
      <c r="N136" s="454"/>
      <c r="O136" s="626">
        <f t="shared" si="1"/>
        <v>20</v>
      </c>
    </row>
    <row r="137" spans="3:15" ht="27" customHeight="1" x14ac:dyDescent="0.25">
      <c r="C137" s="439"/>
      <c r="D137">
        <v>7</v>
      </c>
      <c r="E137" s="1470" t="str">
        <f>IF('NOME + Nº'!C118=0,"",'NOME + Nº'!C118)</f>
        <v/>
      </c>
      <c r="F137" s="1471"/>
      <c r="G137" s="614" t="str">
        <f>IF('NOME + Nº'!E118*O137=0,"",'NOME + Nº'!E118*O137)</f>
        <v/>
      </c>
      <c r="H137" s="614" t="str">
        <f>IF('NOME + Nº'!F118=0,"",'NOME + Nº'!F118)</f>
        <v/>
      </c>
      <c r="I137" s="614" t="str">
        <f>IF('NOME + Nº'!G118=0,"",'NOME + Nº'!G118)</f>
        <v/>
      </c>
      <c r="J137" s="638" t="str">
        <f>IF('NOME + Nº'!H118=0,"",'NOME + Nº'!H118)</f>
        <v/>
      </c>
      <c r="K137" s="614"/>
      <c r="L137" s="624" t="str">
        <f>IF('NOME + Nº'!K118=0,"",'NOME + Nº'!K118)</f>
        <v/>
      </c>
      <c r="M137" s="624" t="str">
        <f>IF('NOME + Nº'!L118*(O137-K137)=0,"",'NOME + Nº'!L118*(O137-K137))</f>
        <v/>
      </c>
      <c r="N137" s="454"/>
      <c r="O137" s="626">
        <f t="shared" si="1"/>
        <v>20</v>
      </c>
    </row>
    <row r="138" spans="3:15" ht="27" customHeight="1" x14ac:dyDescent="0.25">
      <c r="C138" s="439"/>
      <c r="D138">
        <v>8</v>
      </c>
      <c r="E138" s="1470" t="str">
        <f>IF('NOME + Nº'!C119=0,"",'NOME + Nº'!C119)</f>
        <v/>
      </c>
      <c r="F138" s="1471"/>
      <c r="G138" s="614" t="str">
        <f>IF('NOME + Nº'!E119*O138=0,"",'NOME + Nº'!E119*O138)</f>
        <v/>
      </c>
      <c r="H138" s="614" t="str">
        <f>IF('NOME + Nº'!F119=0,"",'NOME + Nº'!F119)</f>
        <v/>
      </c>
      <c r="I138" s="614" t="str">
        <f>IF('NOME + Nº'!G119=0,"",'NOME + Nº'!G119)</f>
        <v/>
      </c>
      <c r="J138" s="638" t="str">
        <f>IF('NOME + Nº'!H119=0,"",'NOME + Nº'!H119)</f>
        <v/>
      </c>
      <c r="K138" s="614"/>
      <c r="L138" s="624" t="str">
        <f>IF('NOME + Nº'!K119=0,"",'NOME + Nº'!K119)</f>
        <v/>
      </c>
      <c r="M138" s="624" t="str">
        <f>IF('NOME + Nº'!L119*(O138-K138)=0,"",'NOME + Nº'!L119*(O138-K138))</f>
        <v/>
      </c>
      <c r="N138" s="454"/>
      <c r="O138" s="626">
        <f t="shared" si="1"/>
        <v>20</v>
      </c>
    </row>
    <row r="139" spans="3:15" ht="27" customHeight="1" x14ac:dyDescent="0.3">
      <c r="C139" s="439"/>
      <c r="F139" t="s">
        <v>223</v>
      </c>
      <c r="J139" s="369">
        <f ca="1">IF(SUM(J131:J138)&gt;0,SMALL(J131:J138,1),TODAY())</f>
        <v>43252</v>
      </c>
      <c r="L139" s="604" t="s">
        <v>200</v>
      </c>
      <c r="M139" s="605">
        <f>SUM(M131:M138)/G127</f>
        <v>117.20000000000002</v>
      </c>
      <c r="N139" s="454"/>
    </row>
    <row r="140" spans="3:15" ht="27" customHeight="1" x14ac:dyDescent="0.3">
      <c r="C140" s="439"/>
      <c r="L140" s="608"/>
      <c r="N140" s="454"/>
    </row>
    <row r="141" spans="3:15" ht="27" customHeight="1" x14ac:dyDescent="0.25">
      <c r="C141" s="439"/>
      <c r="D141" s="329"/>
      <c r="E141" s="330"/>
      <c r="F141" s="330"/>
      <c r="G141" s="330"/>
      <c r="H141" s="330"/>
      <c r="I141" s="330"/>
      <c r="J141" s="330"/>
      <c r="K141" s="330"/>
      <c r="L141" s="330"/>
      <c r="M141" s="331"/>
      <c r="N141" s="454"/>
    </row>
    <row r="142" spans="3:15" ht="27" customHeight="1" x14ac:dyDescent="0.3">
      <c r="C142" s="439"/>
      <c r="G142" s="1478" t="s">
        <v>765</v>
      </c>
      <c r="H142" s="1478"/>
      <c r="I142" s="1478"/>
      <c r="J142" s="1479" t="e">
        <f>'NOME + Nº'!H50+M79+M123+M139+IF('NOME + Nº'!#REF!="NÃO",0,IF(G81="SIM",M91,0))</f>
        <v>#REF!</v>
      </c>
      <c r="K142" s="1479"/>
      <c r="N142" s="454"/>
    </row>
    <row r="143" spans="3:15" ht="27" customHeight="1" x14ac:dyDescent="0.25">
      <c r="C143" s="439"/>
      <c r="N143" s="454"/>
    </row>
    <row r="144" spans="3:15" ht="27" customHeight="1" x14ac:dyDescent="0.25">
      <c r="C144" s="439"/>
      <c r="D144" s="609">
        <f>D124+1</f>
        <v>1</v>
      </c>
      <c r="E144" s="642" t="s">
        <v>383</v>
      </c>
      <c r="F144" s="643"/>
      <c r="G144" s="643"/>
      <c r="H144" s="643"/>
      <c r="I144" s="643"/>
      <c r="J144" s="643"/>
      <c r="K144" s="643"/>
      <c r="L144" s="643"/>
      <c r="M144" s="643"/>
      <c r="N144" s="454"/>
    </row>
    <row r="145" spans="3:15" ht="27" customHeight="1" x14ac:dyDescent="0.25">
      <c r="C145" s="439"/>
      <c r="N145" s="454"/>
    </row>
    <row r="146" spans="3:15" ht="27" customHeight="1" x14ac:dyDescent="0.25">
      <c r="C146" s="439"/>
      <c r="N146" s="454"/>
    </row>
    <row r="147" spans="3:15" ht="27" customHeight="1" x14ac:dyDescent="0.25">
      <c r="C147" s="439"/>
      <c r="E147" s="639" t="s">
        <v>448</v>
      </c>
      <c r="F147" s="640"/>
      <c r="G147" s="640"/>
      <c r="H147" s="640"/>
      <c r="I147" s="640"/>
      <c r="J147" s="640"/>
      <c r="K147" s="640"/>
      <c r="L147" s="640"/>
      <c r="M147" s="641"/>
      <c r="N147" s="454"/>
      <c r="O147" s="627"/>
    </row>
    <row r="148" spans="3:15" ht="27" customHeight="1" x14ac:dyDescent="0.25">
      <c r="C148" s="439"/>
      <c r="E148" s="1305" t="s">
        <v>157</v>
      </c>
      <c r="F148" s="1378"/>
      <c r="G148" s="1309" t="s">
        <v>219</v>
      </c>
      <c r="H148" s="1309" t="s">
        <v>374</v>
      </c>
      <c r="I148" s="1309" t="s">
        <v>197</v>
      </c>
      <c r="J148" s="1309" t="s">
        <v>623</v>
      </c>
      <c r="K148" s="1473" t="s">
        <v>767</v>
      </c>
      <c r="L148" s="1309" t="s">
        <v>444</v>
      </c>
      <c r="M148" s="1309" t="s">
        <v>59</v>
      </c>
      <c r="N148" s="454"/>
      <c r="O148" s="1467" t="s">
        <v>764</v>
      </c>
    </row>
    <row r="149" spans="3:15" ht="27" customHeight="1" x14ac:dyDescent="0.25">
      <c r="C149" s="439"/>
      <c r="D149" s="286" t="s">
        <v>389</v>
      </c>
      <c r="E149" s="1306"/>
      <c r="F149" s="1379"/>
      <c r="G149" s="1309"/>
      <c r="H149" s="1309"/>
      <c r="I149" s="1309"/>
      <c r="J149" s="1309"/>
      <c r="K149" s="1474"/>
      <c r="L149" s="1309"/>
      <c r="M149" s="1309"/>
      <c r="N149" s="454"/>
      <c r="O149" s="1467"/>
    </row>
    <row r="150" spans="3:15" ht="27" customHeight="1" x14ac:dyDescent="0.25">
      <c r="C150" s="439"/>
      <c r="D150">
        <v>1</v>
      </c>
      <c r="E150" s="1470" t="str">
        <f>IF('NOME + Nº'!C151=0,"",'NOME + Nº'!C151)</f>
        <v>Transfer-sublimação</v>
      </c>
      <c r="F150" s="1471"/>
      <c r="G150" s="614" t="str">
        <f>IF('NOME + Nº'!E151*O150=0,"",'NOME + Nº'!E151*O150)</f>
        <v/>
      </c>
      <c r="H150" s="614" t="str">
        <f>IF('NOME + Nº'!F151=0,"",'NOME + Nº'!F151)</f>
        <v/>
      </c>
      <c r="I150" s="614" t="str">
        <f>IF('NOME + Nº'!G151=0,"",'NOME + Nº'!G151)</f>
        <v>NI</v>
      </c>
      <c r="J150" s="638">
        <f>IF('NOME + Nº'!H151=0,"",'NOME + Nº'!H151)</f>
        <v>44862</v>
      </c>
      <c r="K150" s="614"/>
      <c r="L150" s="624">
        <f>IF('NOME + Nº'!K151=0,"",'NOME + Nº'!K151)</f>
        <v>0.3</v>
      </c>
      <c r="M150" s="624" t="str">
        <f>IF('NOME + Nº'!L131*(O150-K150)=0,"",'NOME + Nº'!L131*(O150-K150))</f>
        <v/>
      </c>
      <c r="N150" s="454"/>
      <c r="O150" s="625">
        <f>G69</f>
        <v>20</v>
      </c>
    </row>
    <row r="151" spans="3:15" ht="27" customHeight="1" x14ac:dyDescent="0.25">
      <c r="C151" s="439"/>
      <c r="D151">
        <v>2</v>
      </c>
      <c r="E151" s="1470" t="str">
        <f>IF('NOME + Nº'!C152=0,"",'NOME + Nº'!C152)</f>
        <v>Hot stamping</v>
      </c>
      <c r="F151" s="1471"/>
      <c r="G151" s="614" t="str">
        <f>IF('NOME + Nº'!E152*O151=0,"",'NOME + Nº'!E152*O151)</f>
        <v/>
      </c>
      <c r="H151" s="614" t="str">
        <f>IF('NOME + Nº'!F152=0,"",'NOME + Nº'!F152)</f>
        <v/>
      </c>
      <c r="I151" s="614" t="str">
        <f>IF('NOME + Nº'!G152=0,"",'NOME + Nº'!G152)</f>
        <v>NI</v>
      </c>
      <c r="J151" s="638">
        <f>IF('NOME + Nº'!H152=0,"",'NOME + Nº'!H152)</f>
        <v>44531</v>
      </c>
      <c r="K151" s="614"/>
      <c r="L151" s="624">
        <f>IF('NOME + Nº'!K152=0,"",'NOME + Nº'!K152)</f>
        <v>2</v>
      </c>
      <c r="M151" s="624" t="str">
        <f>IF('NOME + Nº'!L132*(O151-K151)=0,"",'NOME + Nº'!L132*(O151-K151))</f>
        <v/>
      </c>
      <c r="N151" s="454"/>
      <c r="O151" s="626">
        <f t="shared" ref="O151:O159" si="2">O150</f>
        <v>20</v>
      </c>
    </row>
    <row r="152" spans="3:15" ht="27" customHeight="1" x14ac:dyDescent="0.25">
      <c r="C152" s="439"/>
      <c r="D152">
        <v>3</v>
      </c>
      <c r="E152" s="1470" t="str">
        <f>IF('NOME + Nº'!C153=0,"",'NOME + Nº'!C153)</f>
        <v>Serigrafia - Silk Screen</v>
      </c>
      <c r="F152" s="1471"/>
      <c r="G152" s="614" t="str">
        <f>IF('NOME + Nº'!E153*O152=0,"",'NOME + Nº'!E153*O152)</f>
        <v/>
      </c>
      <c r="H152" s="614" t="str">
        <f>IF('NOME + Nº'!F153=0,"",'NOME + Nº'!F153)</f>
        <v/>
      </c>
      <c r="I152" s="614" t="str">
        <f>IF('NOME + Nº'!G153=0,"",'NOME + Nº'!G153)</f>
        <v>NI</v>
      </c>
      <c r="J152" s="638">
        <f>IF('NOME + Nº'!H153=0,"",'NOME + Nº'!H153)</f>
        <v>44862</v>
      </c>
      <c r="K152" s="614"/>
      <c r="L152" s="624">
        <f>IF('NOME + Nº'!K153=0,"",'NOME + Nº'!K153)</f>
        <v>20.8</v>
      </c>
      <c r="M152" s="624" t="str">
        <f>IF('NOME + Nº'!L133*(O152-K152)=0,"",'NOME + Nº'!L133*(O152-K152))</f>
        <v/>
      </c>
      <c r="N152" s="454"/>
      <c r="O152" s="626">
        <f t="shared" si="2"/>
        <v>20</v>
      </c>
    </row>
    <row r="153" spans="3:15" ht="27" customHeight="1" x14ac:dyDescent="0.25">
      <c r="C153" s="439"/>
      <c r="D153">
        <v>4</v>
      </c>
      <c r="E153" s="1470" t="str">
        <f>IF('NOME + Nº'!C154=0,"",'NOME + Nº'!C154)</f>
        <v>Bordado</v>
      </c>
      <c r="F153" s="1471"/>
      <c r="G153" s="614" t="str">
        <f>IF('NOME + Nº'!E154*O153=0,"",'NOME + Nº'!E154*O153)</f>
        <v/>
      </c>
      <c r="H153" s="614" t="str">
        <f>IF('NOME + Nº'!F154=0,"",'NOME + Nº'!F154)</f>
        <v/>
      </c>
      <c r="I153" s="614" t="str">
        <f>IF('NOME + Nº'!G154=0,"",'NOME + Nº'!G154)</f>
        <v>NI</v>
      </c>
      <c r="J153" s="638">
        <f>IF('NOME + Nº'!H154=0,"",'NOME + Nº'!H154)</f>
        <v>44862</v>
      </c>
      <c r="K153" s="614"/>
      <c r="L153" s="624">
        <f>IF('NOME + Nº'!K154=0,"",'NOME + Nº'!K154)</f>
        <v>2.0099999999999998</v>
      </c>
      <c r="M153" s="624" t="str">
        <f>IF('NOME + Nº'!L134*(O153-K153)=0,"",'NOME + Nº'!L134*(O153-K153))</f>
        <v/>
      </c>
      <c r="N153" s="454"/>
      <c r="O153" s="626">
        <f t="shared" si="2"/>
        <v>20</v>
      </c>
    </row>
    <row r="154" spans="3:15" ht="27" customHeight="1" x14ac:dyDescent="0.25">
      <c r="C154" s="439"/>
      <c r="D154">
        <v>5</v>
      </c>
      <c r="E154" s="1470" t="str">
        <f>IF('NOME + Nº'!C155=0,"",'NOME + Nº'!C155)</f>
        <v/>
      </c>
      <c r="F154" s="1471"/>
      <c r="G154" s="614" t="str">
        <f>IF('NOME + Nº'!E155*O154=0,"",'NOME + Nº'!E155*O154)</f>
        <v/>
      </c>
      <c r="H154" s="614" t="str">
        <f>IF('NOME + Nº'!F155=0,"",'NOME + Nº'!F155)</f>
        <v/>
      </c>
      <c r="I154" s="614" t="str">
        <f>IF('NOME + Nº'!G155=0,"",'NOME + Nº'!G155)</f>
        <v/>
      </c>
      <c r="J154" s="638" t="str">
        <f>IF('NOME + Nº'!H155=0,"",'NOME + Nº'!H155)</f>
        <v/>
      </c>
      <c r="K154" s="614"/>
      <c r="L154" s="624" t="str">
        <f>IF('NOME + Nº'!K155=0,"",'NOME + Nº'!K155)</f>
        <v/>
      </c>
      <c r="M154" s="624" t="str">
        <f>IF('NOME + Nº'!L135*(O154-K154)=0,"",'NOME + Nº'!L135*(O154-K154))</f>
        <v/>
      </c>
      <c r="N154" s="454"/>
      <c r="O154" s="626">
        <f t="shared" si="2"/>
        <v>20</v>
      </c>
    </row>
    <row r="155" spans="3:15" ht="27" customHeight="1" x14ac:dyDescent="0.25">
      <c r="C155" s="439"/>
      <c r="D155">
        <v>6</v>
      </c>
      <c r="E155" s="1470" t="str">
        <f>IF('NOME + Nº'!C156=0,"",'NOME + Nº'!C156)</f>
        <v/>
      </c>
      <c r="F155" s="1471"/>
      <c r="G155" s="614" t="str">
        <f>IF('NOME + Nº'!E156*O155=0,"",'NOME + Nº'!E156*O155)</f>
        <v/>
      </c>
      <c r="H155" s="614" t="str">
        <f>IF('NOME + Nº'!F156=0,"",'NOME + Nº'!F156)</f>
        <v/>
      </c>
      <c r="I155" s="614" t="str">
        <f>IF('NOME + Nº'!G156=0,"",'NOME + Nº'!G156)</f>
        <v/>
      </c>
      <c r="J155" s="638" t="str">
        <f>IF('NOME + Nº'!H156=0,"",'NOME + Nº'!H156)</f>
        <v/>
      </c>
      <c r="K155" s="614"/>
      <c r="L155" s="624" t="str">
        <f>IF('NOME + Nº'!K156=0,"",'NOME + Nº'!K156)</f>
        <v/>
      </c>
      <c r="M155" s="624" t="str">
        <f>IF('NOME + Nº'!L136*(O155-K155)=0,"",'NOME + Nº'!L136*(O155-K155))</f>
        <v/>
      </c>
      <c r="N155" s="454"/>
      <c r="O155" s="626">
        <f t="shared" si="2"/>
        <v>20</v>
      </c>
    </row>
    <row r="156" spans="3:15" ht="27" customHeight="1" x14ac:dyDescent="0.25">
      <c r="C156" s="439"/>
      <c r="D156">
        <v>7</v>
      </c>
      <c r="E156" s="1470" t="str">
        <f>IF('NOME + Nº'!C157=0,"",'NOME + Nº'!C157)</f>
        <v/>
      </c>
      <c r="F156" s="1471"/>
      <c r="G156" s="614" t="str">
        <f>IF('NOME + Nº'!E157*O156=0,"",'NOME + Nº'!E157*O156)</f>
        <v/>
      </c>
      <c r="H156" s="614" t="str">
        <f>IF('NOME + Nº'!F157=0,"",'NOME + Nº'!F157)</f>
        <v/>
      </c>
      <c r="I156" s="614" t="str">
        <f>IF('NOME + Nº'!G157=0,"",'NOME + Nº'!G157)</f>
        <v/>
      </c>
      <c r="J156" s="638" t="str">
        <f>IF('NOME + Nº'!H157=0,"",'NOME + Nº'!H157)</f>
        <v/>
      </c>
      <c r="K156" s="614"/>
      <c r="L156" s="624" t="str">
        <f>IF('NOME + Nº'!K157=0,"",'NOME + Nº'!K157)</f>
        <v/>
      </c>
      <c r="M156" s="624" t="str">
        <f>IF('NOME + Nº'!L137*(O156-K156)=0,"",'NOME + Nº'!L137*(O156-K156))</f>
        <v/>
      </c>
      <c r="N156" s="454"/>
      <c r="O156" s="626">
        <f t="shared" si="2"/>
        <v>20</v>
      </c>
    </row>
    <row r="157" spans="3:15" ht="27" customHeight="1" x14ac:dyDescent="0.25">
      <c r="C157" s="439"/>
      <c r="D157">
        <v>8</v>
      </c>
      <c r="E157" s="1470" t="str">
        <f>IF('NOME + Nº'!C158=0,"",'NOME + Nº'!C158)</f>
        <v/>
      </c>
      <c r="F157" s="1471"/>
      <c r="G157" s="614" t="str">
        <f>IF('NOME + Nº'!E158*O157=0,"",'NOME + Nº'!E158*O157)</f>
        <v/>
      </c>
      <c r="H157" s="614" t="str">
        <f>IF('NOME + Nº'!F158=0,"",'NOME + Nº'!F158)</f>
        <v/>
      </c>
      <c r="I157" s="614" t="str">
        <f>IF('NOME + Nº'!G158=0,"",'NOME + Nº'!G158)</f>
        <v/>
      </c>
      <c r="J157" s="638" t="str">
        <f>IF('NOME + Nº'!H158=0,"",'NOME + Nº'!H158)</f>
        <v/>
      </c>
      <c r="K157" s="614"/>
      <c r="L157" s="624" t="str">
        <f>IF('NOME + Nº'!K158=0,"",'NOME + Nº'!K158)</f>
        <v/>
      </c>
      <c r="M157" s="624" t="str">
        <f>IF('NOME + Nº'!L138*(O157-K157)=0,"",'NOME + Nº'!L138*(O157-K157))</f>
        <v/>
      </c>
      <c r="N157" s="454"/>
      <c r="O157" s="626">
        <f t="shared" si="2"/>
        <v>20</v>
      </c>
    </row>
    <row r="158" spans="3:15" ht="27" customHeight="1" x14ac:dyDescent="0.25">
      <c r="C158" s="439"/>
      <c r="D158">
        <v>9</v>
      </c>
      <c r="E158" s="1470" t="str">
        <f>IF('NOME + Nº'!C159=0,"",'NOME + Nº'!C159)</f>
        <v/>
      </c>
      <c r="F158" s="1471"/>
      <c r="G158" s="614" t="str">
        <f>IF('NOME + Nº'!E159*O158=0,"",'NOME + Nº'!E159*O158)</f>
        <v/>
      </c>
      <c r="H158" s="614" t="str">
        <f>IF('NOME + Nº'!F159=0,"",'NOME + Nº'!F159)</f>
        <v/>
      </c>
      <c r="I158" s="614" t="str">
        <f>IF('NOME + Nº'!G159=0,"",'NOME + Nº'!G159)</f>
        <v/>
      </c>
      <c r="J158" s="638" t="str">
        <f>IF('NOME + Nº'!H159=0,"",'NOME + Nº'!H159)</f>
        <v/>
      </c>
      <c r="K158" s="614"/>
      <c r="L158" s="624" t="str">
        <f>IF('NOME + Nº'!K159=0,"",'NOME + Nº'!K159)</f>
        <v/>
      </c>
      <c r="M158" s="624" t="str">
        <f>IF('NOME + Nº'!L159*O158=0,"",'NOME + Nº'!L159*O158)</f>
        <v/>
      </c>
      <c r="N158" s="454"/>
      <c r="O158" s="626">
        <f t="shared" si="2"/>
        <v>20</v>
      </c>
    </row>
    <row r="159" spans="3:15" ht="27" customHeight="1" x14ac:dyDescent="0.25">
      <c r="C159" s="439"/>
      <c r="D159">
        <v>10</v>
      </c>
      <c r="E159" s="1470" t="str">
        <f>IF('NOME + Nº'!C160=0,"",'NOME + Nº'!C160)</f>
        <v/>
      </c>
      <c r="F159" s="1471"/>
      <c r="G159" s="614" t="str">
        <f>IF('NOME + Nº'!E160*O159=0,"",'NOME + Nº'!E160*O159)</f>
        <v/>
      </c>
      <c r="H159" s="614" t="str">
        <f>IF('NOME + Nº'!F160=0,"",'NOME + Nº'!F160)</f>
        <v/>
      </c>
      <c r="I159" s="614" t="str">
        <f>IF('NOME + Nº'!G160=0,"",'NOME + Nº'!G160)</f>
        <v/>
      </c>
      <c r="J159" s="638" t="str">
        <f>IF('NOME + Nº'!H160=0,"",'NOME + Nº'!H160)</f>
        <v/>
      </c>
      <c r="K159" s="614"/>
      <c r="L159" s="624" t="str">
        <f>IF('NOME + Nº'!K160=0,"",'NOME + Nº'!K160)</f>
        <v/>
      </c>
      <c r="M159" s="624" t="str">
        <f>IF('NOME + Nº'!L160*O159=0,"",'NOME + Nº'!L160*O159)</f>
        <v/>
      </c>
      <c r="N159" s="454"/>
      <c r="O159" s="626">
        <f t="shared" si="2"/>
        <v>20</v>
      </c>
    </row>
    <row r="160" spans="3:15" ht="27" customHeight="1" x14ac:dyDescent="0.3">
      <c r="C160" s="439"/>
      <c r="J160" s="369">
        <f ca="1">IF(SUM(J150:J159)&gt;0,SMALL(J150:J159,1),TODAY())</f>
        <v>44531</v>
      </c>
      <c r="L160" s="604" t="s">
        <v>382</v>
      </c>
      <c r="M160" s="605">
        <f>SUM(M150:M159)</f>
        <v>0</v>
      </c>
      <c r="N160" s="454"/>
    </row>
    <row r="161" spans="3:15" ht="27" customHeight="1" x14ac:dyDescent="0.25">
      <c r="C161" s="439"/>
      <c r="N161" s="454"/>
    </row>
    <row r="162" spans="3:15" ht="27" customHeight="1" x14ac:dyDescent="0.25">
      <c r="C162" s="439"/>
      <c r="E162" s="1380" t="s">
        <v>449</v>
      </c>
      <c r="F162" s="1380"/>
      <c r="G162" s="1380"/>
      <c r="H162" s="1380"/>
      <c r="I162" s="1380"/>
      <c r="J162" s="1380"/>
      <c r="K162" s="1380"/>
      <c r="L162" s="1380"/>
      <c r="M162" s="1380"/>
      <c r="N162" s="454"/>
      <c r="O162" s="627"/>
    </row>
    <row r="163" spans="3:15" ht="27" customHeight="1" x14ac:dyDescent="0.25">
      <c r="C163" s="439"/>
      <c r="E163" s="1309" t="s">
        <v>157</v>
      </c>
      <c r="F163" s="1356"/>
      <c r="G163" s="1309" t="s">
        <v>384</v>
      </c>
      <c r="H163" s="1309"/>
      <c r="I163" s="1309" t="s">
        <v>88</v>
      </c>
      <c r="J163" s="1309" t="s">
        <v>219</v>
      </c>
      <c r="K163" s="1309" t="s">
        <v>374</v>
      </c>
      <c r="L163" s="1309" t="s">
        <v>623</v>
      </c>
      <c r="M163" s="1309" t="s">
        <v>59</v>
      </c>
      <c r="N163" s="454"/>
      <c r="O163" s="1467" t="s">
        <v>764</v>
      </c>
    </row>
    <row r="164" spans="3:15" ht="27" customHeight="1" x14ac:dyDescent="0.25">
      <c r="C164" s="439"/>
      <c r="D164" s="290" t="s">
        <v>389</v>
      </c>
      <c r="E164" s="1317"/>
      <c r="F164" s="1305"/>
      <c r="G164" s="1317"/>
      <c r="H164" s="1317"/>
      <c r="I164" s="1317"/>
      <c r="J164" s="1317"/>
      <c r="K164" s="1317"/>
      <c r="L164" s="1317"/>
      <c r="M164" s="1317"/>
      <c r="N164" s="454"/>
      <c r="O164" s="1467"/>
    </row>
    <row r="165" spans="3:15" ht="27" customHeight="1" x14ac:dyDescent="0.25">
      <c r="C165" s="439"/>
      <c r="D165">
        <v>1</v>
      </c>
      <c r="E165" s="1472" t="str">
        <f>IF('NOME + Nº'!C166=0,"",'NOME + Nº'!C166)</f>
        <v>CAIXA DE PAPELÃO</v>
      </c>
      <c r="F165" s="1472"/>
      <c r="G165" s="1472" t="str">
        <f>IF('NOME + Nº'!E166=0,"",'NOME + Nº'!E166)</f>
        <v>30H x 40B x 25L</v>
      </c>
      <c r="H165" s="1472"/>
      <c r="I165" s="624">
        <f>IF('NOME + Nº'!G166=0,"",'NOME + Nº'!G166)</f>
        <v>15</v>
      </c>
      <c r="J165" s="614" t="str">
        <f>IF('NOME + Nº'!H166=0,"",'NOME + Nº'!H166)</f>
        <v/>
      </c>
      <c r="K165" s="614" t="str">
        <f>IF('NOME + Nº'!I166=0,"",'NOME + Nº'!I166)</f>
        <v/>
      </c>
      <c r="L165" s="629">
        <f>IF('NOME + Nº'!J166=0,"",'NOME + Nº'!J166)</f>
        <v>44720</v>
      </c>
      <c r="M165" s="624" t="str">
        <f>IF('NOME + Nº'!K166=0,"",'NOME + Nº'!K166)</f>
        <v/>
      </c>
      <c r="N165" s="454"/>
      <c r="O165" s="625">
        <f>G69</f>
        <v>20</v>
      </c>
    </row>
    <row r="166" spans="3:15" ht="27" customHeight="1" x14ac:dyDescent="0.25">
      <c r="C166" s="439"/>
      <c r="D166">
        <v>2</v>
      </c>
      <c r="E166" s="1472" t="str">
        <f>IF('NOME + Nº'!C167=0,"",'NOME + Nº'!C167)</f>
        <v>CORREIOS</v>
      </c>
      <c r="F166" s="1472"/>
      <c r="G166" s="1472" t="str">
        <f>IF('NOME + Nº'!E167=0,"",'NOME + Nº'!E167)</f>
        <v>PAC: CWB-PR/BH-MG</v>
      </c>
      <c r="H166" s="1472"/>
      <c r="I166" s="624">
        <f>IF('NOME + Nº'!G167=0,"",'NOME + Nº'!G167)</f>
        <v>60</v>
      </c>
      <c r="J166" s="614" t="str">
        <f>IF('NOME + Nº'!H167=0,"",'NOME + Nº'!H167)</f>
        <v/>
      </c>
      <c r="K166" s="614" t="str">
        <f>IF('NOME + Nº'!I167=0,"",'NOME + Nº'!I167)</f>
        <v>Sem seguro</v>
      </c>
      <c r="L166" s="629">
        <f>IF('NOME + Nº'!J167=0,"",'NOME + Nº'!J167)</f>
        <v>44865</v>
      </c>
      <c r="M166" s="624" t="str">
        <f>IF('NOME + Nº'!K167=0,"",'NOME + Nº'!K167)</f>
        <v/>
      </c>
      <c r="N166" s="454"/>
      <c r="O166" s="626">
        <f t="shared" ref="O166:O174" si="3">O165</f>
        <v>20</v>
      </c>
    </row>
    <row r="167" spans="3:15" ht="27" customHeight="1" x14ac:dyDescent="0.25">
      <c r="C167" s="439"/>
      <c r="D167">
        <v>3</v>
      </c>
      <c r="E167" s="1472" t="str">
        <f>IF('NOME + Nº'!C168=0,"",'NOME + Nº'!C168)</f>
        <v/>
      </c>
      <c r="F167" s="1472"/>
      <c r="G167" s="1472" t="str">
        <f>IF('NOME + Nº'!E168=0,"",'NOME + Nº'!E168)</f>
        <v/>
      </c>
      <c r="H167" s="1472"/>
      <c r="I167" s="624" t="str">
        <f>IF('NOME + Nº'!G168=0,"",'NOME + Nº'!G168)</f>
        <v/>
      </c>
      <c r="J167" s="614" t="str">
        <f>IF('NOME + Nº'!H168=0,"",'NOME + Nº'!H168)</f>
        <v/>
      </c>
      <c r="K167" s="614" t="str">
        <f>IF('NOME + Nº'!I168=0,"",'NOME + Nº'!I168)</f>
        <v/>
      </c>
      <c r="L167" s="629" t="str">
        <f>IF('NOME + Nº'!J168=0,"",'NOME + Nº'!J168)</f>
        <v/>
      </c>
      <c r="M167" s="624" t="str">
        <f>IF('NOME + Nº'!K168=0,"",'NOME + Nº'!K168)</f>
        <v/>
      </c>
      <c r="N167" s="454"/>
      <c r="O167" s="626">
        <f t="shared" si="3"/>
        <v>20</v>
      </c>
    </row>
    <row r="168" spans="3:15" ht="27" customHeight="1" x14ac:dyDescent="0.25">
      <c r="C168" s="439"/>
      <c r="D168">
        <v>4</v>
      </c>
      <c r="E168" s="1472" t="str">
        <f>IF('NOME + Nº'!C169=0,"",'NOME + Nº'!C169)</f>
        <v/>
      </c>
      <c r="F168" s="1472"/>
      <c r="G168" s="1472" t="str">
        <f>IF('NOME + Nº'!E169=0,"",'NOME + Nº'!E169)</f>
        <v/>
      </c>
      <c r="H168" s="1472"/>
      <c r="I168" s="624" t="str">
        <f>IF('NOME + Nº'!G169=0,"",'NOME + Nº'!G169)</f>
        <v/>
      </c>
      <c r="J168" s="614" t="str">
        <f>IF('NOME + Nº'!H169=0,"",'NOME + Nº'!H169)</f>
        <v/>
      </c>
      <c r="K168" s="614" t="str">
        <f>IF('NOME + Nº'!I169=0,"",'NOME + Nº'!I169)</f>
        <v/>
      </c>
      <c r="L168" s="629" t="str">
        <f>IF('NOME + Nº'!J169=0,"",'NOME + Nº'!J169)</f>
        <v/>
      </c>
      <c r="M168" s="624" t="str">
        <f>IF('NOME + Nº'!K169=0,"",'NOME + Nº'!K169)</f>
        <v/>
      </c>
      <c r="N168" s="454"/>
      <c r="O168" s="626">
        <f t="shared" si="3"/>
        <v>20</v>
      </c>
    </row>
    <row r="169" spans="3:15" ht="27" customHeight="1" x14ac:dyDescent="0.25">
      <c r="C169" s="439"/>
      <c r="D169">
        <v>5</v>
      </c>
      <c r="E169" s="1472" t="str">
        <f>IF('NOME + Nº'!C170=0,"",'NOME + Nº'!C170)</f>
        <v/>
      </c>
      <c r="F169" s="1472"/>
      <c r="G169" s="1472" t="str">
        <f>IF('NOME + Nº'!E170=0,"",'NOME + Nº'!E170)</f>
        <v/>
      </c>
      <c r="H169" s="1472"/>
      <c r="I169" s="624" t="str">
        <f>IF('NOME + Nº'!G170=0,"",'NOME + Nº'!G170)</f>
        <v/>
      </c>
      <c r="J169" s="614" t="str">
        <f>IF('NOME + Nº'!H170=0,"",'NOME + Nº'!H170)</f>
        <v/>
      </c>
      <c r="K169" s="614" t="str">
        <f>IF('NOME + Nº'!I170=0,"",'NOME + Nº'!I170)</f>
        <v/>
      </c>
      <c r="L169" s="629" t="str">
        <f>IF('NOME + Nº'!J170=0,"",'NOME + Nº'!J170)</f>
        <v/>
      </c>
      <c r="M169" s="624" t="str">
        <f>IF('NOME + Nº'!K170=0,"",'NOME + Nº'!K170)</f>
        <v/>
      </c>
      <c r="N169" s="454"/>
      <c r="O169" s="626">
        <f t="shared" si="3"/>
        <v>20</v>
      </c>
    </row>
    <row r="170" spans="3:15" ht="27" customHeight="1" x14ac:dyDescent="0.25">
      <c r="C170" s="439"/>
      <c r="D170">
        <v>6</v>
      </c>
      <c r="E170" s="1472" t="str">
        <f>IF('NOME + Nº'!C171=0,"",'NOME + Nº'!C171)</f>
        <v/>
      </c>
      <c r="F170" s="1472"/>
      <c r="G170" s="1472" t="str">
        <f>IF('NOME + Nº'!E171=0,"",'NOME + Nº'!E171)</f>
        <v/>
      </c>
      <c r="H170" s="1472"/>
      <c r="I170" s="624" t="str">
        <f>IF('NOME + Nº'!G171=0,"",'NOME + Nº'!G171)</f>
        <v/>
      </c>
      <c r="J170" s="614" t="str">
        <f>IF('NOME + Nº'!H171=0,"",'NOME + Nº'!H171)</f>
        <v/>
      </c>
      <c r="K170" s="614" t="str">
        <f>IF('NOME + Nº'!I171=0,"",'NOME + Nº'!I171)</f>
        <v/>
      </c>
      <c r="L170" s="629" t="str">
        <f>IF('NOME + Nº'!J171=0,"",'NOME + Nº'!J171)</f>
        <v/>
      </c>
      <c r="M170" s="624" t="str">
        <f>IF('NOME + Nº'!K171=0,"",'NOME + Nº'!K171)</f>
        <v/>
      </c>
      <c r="N170" s="454"/>
      <c r="O170" s="626">
        <f t="shared" si="3"/>
        <v>20</v>
      </c>
    </row>
    <row r="171" spans="3:15" ht="27" customHeight="1" x14ac:dyDescent="0.25">
      <c r="C171" s="439"/>
      <c r="D171">
        <v>7</v>
      </c>
      <c r="E171" s="1472" t="str">
        <f>IF('NOME + Nº'!C172=0,"",'NOME + Nº'!C172)</f>
        <v/>
      </c>
      <c r="F171" s="1472"/>
      <c r="G171" s="1472" t="str">
        <f>IF('NOME + Nº'!E172=0,"",'NOME + Nº'!E172)</f>
        <v/>
      </c>
      <c r="H171" s="1472"/>
      <c r="I171" s="624" t="str">
        <f>IF('NOME + Nº'!G172=0,"",'NOME + Nº'!G172)</f>
        <v/>
      </c>
      <c r="J171" s="614" t="str">
        <f>IF('NOME + Nº'!H172=0,"",'NOME + Nº'!H172)</f>
        <v/>
      </c>
      <c r="K171" s="614" t="str">
        <f>IF('NOME + Nº'!I172=0,"",'NOME + Nº'!I172)</f>
        <v/>
      </c>
      <c r="L171" s="629" t="str">
        <f>IF('NOME + Nº'!J172=0,"",'NOME + Nº'!J172)</f>
        <v/>
      </c>
      <c r="M171" s="624" t="str">
        <f>IF('NOME + Nº'!K172=0,"",'NOME + Nº'!K172)</f>
        <v/>
      </c>
      <c r="N171" s="454"/>
      <c r="O171" s="626">
        <f t="shared" si="3"/>
        <v>20</v>
      </c>
    </row>
    <row r="172" spans="3:15" ht="27" customHeight="1" x14ac:dyDescent="0.25">
      <c r="C172" s="439"/>
      <c r="D172">
        <v>8</v>
      </c>
      <c r="E172" s="1472" t="str">
        <f>IF('NOME + Nº'!C173=0,"",'NOME + Nº'!C173)</f>
        <v/>
      </c>
      <c r="F172" s="1472"/>
      <c r="G172" s="1472" t="str">
        <f>IF('NOME + Nº'!E173=0,"",'NOME + Nº'!E173)</f>
        <v/>
      </c>
      <c r="H172" s="1472"/>
      <c r="I172" s="624" t="str">
        <f>IF('NOME + Nº'!G173=0,"",'NOME + Nº'!G173)</f>
        <v/>
      </c>
      <c r="J172" s="614" t="str">
        <f>IF('NOME + Nº'!H173=0,"",'NOME + Nº'!H173)</f>
        <v/>
      </c>
      <c r="K172" s="614" t="str">
        <f>IF('NOME + Nº'!I173=0,"",'NOME + Nº'!I173)</f>
        <v/>
      </c>
      <c r="L172" s="629" t="str">
        <f>IF('NOME + Nº'!J173=0,"",'NOME + Nº'!J173)</f>
        <v/>
      </c>
      <c r="M172" s="624" t="str">
        <f>IF('NOME + Nº'!K173=0,"",'NOME + Nº'!K173)</f>
        <v/>
      </c>
      <c r="N172" s="454"/>
      <c r="O172" s="626">
        <f t="shared" si="3"/>
        <v>20</v>
      </c>
    </row>
    <row r="173" spans="3:15" ht="27" customHeight="1" x14ac:dyDescent="0.25">
      <c r="C173" s="439"/>
      <c r="D173">
        <v>9</v>
      </c>
      <c r="E173" s="1472" t="str">
        <f>IF('NOME + Nº'!C174=0,"",'NOME + Nº'!C174)</f>
        <v/>
      </c>
      <c r="F173" s="1472"/>
      <c r="G173" s="1472" t="str">
        <f>IF('NOME + Nº'!E174=0,"",'NOME + Nº'!E174)</f>
        <v/>
      </c>
      <c r="H173" s="1472"/>
      <c r="I173" s="624" t="str">
        <f>IF('NOME + Nº'!G174=0,"",'NOME + Nº'!G174)</f>
        <v/>
      </c>
      <c r="J173" s="614" t="str">
        <f>IF('NOME + Nº'!H174=0,"",'NOME + Nº'!H174)</f>
        <v/>
      </c>
      <c r="K173" s="614" t="str">
        <f>IF('NOME + Nº'!I174=0,"",'NOME + Nº'!I174)</f>
        <v/>
      </c>
      <c r="L173" s="629" t="str">
        <f>IF('NOME + Nº'!J174=0,"",'NOME + Nº'!J174)</f>
        <v/>
      </c>
      <c r="M173" s="624" t="str">
        <f>IF('NOME + Nº'!K174=0,"",'NOME + Nº'!K174)</f>
        <v/>
      </c>
      <c r="N173" s="454"/>
      <c r="O173" s="626">
        <f t="shared" si="3"/>
        <v>20</v>
      </c>
    </row>
    <row r="174" spans="3:15" ht="27" customHeight="1" x14ac:dyDescent="0.25">
      <c r="C174" s="439"/>
      <c r="D174">
        <v>10</v>
      </c>
      <c r="E174" s="1472" t="str">
        <f>IF('NOME + Nº'!C175=0,"",'NOME + Nº'!C175)</f>
        <v/>
      </c>
      <c r="F174" s="1472"/>
      <c r="G174" s="1472" t="str">
        <f>IF('NOME + Nº'!E175=0,"",'NOME + Nº'!E175)</f>
        <v/>
      </c>
      <c r="H174" s="1472"/>
      <c r="I174" s="624" t="str">
        <f>IF('NOME + Nº'!G175=0,"",'NOME + Nº'!G175)</f>
        <v/>
      </c>
      <c r="J174" s="614" t="str">
        <f>IF('NOME + Nº'!H175=0,"",'NOME + Nº'!H175)</f>
        <v/>
      </c>
      <c r="K174" s="614" t="str">
        <f>IF('NOME + Nº'!I175=0,"",'NOME + Nº'!I175)</f>
        <v/>
      </c>
      <c r="L174" s="629" t="str">
        <f>IF('NOME + Nº'!J175=0,"",'NOME + Nº'!J175)</f>
        <v/>
      </c>
      <c r="M174" s="624" t="str">
        <f>IF('NOME + Nº'!K175=0,"",'NOME + Nº'!K175)</f>
        <v/>
      </c>
      <c r="N174" s="454"/>
      <c r="O174" s="626">
        <f t="shared" si="3"/>
        <v>20</v>
      </c>
    </row>
    <row r="175" spans="3:15" ht="27" customHeight="1" x14ac:dyDescent="0.3">
      <c r="C175" s="439"/>
      <c r="L175" s="604" t="s">
        <v>382</v>
      </c>
      <c r="M175" s="605">
        <f>SUM(M165:M174)</f>
        <v>0</v>
      </c>
      <c r="N175" s="454"/>
    </row>
    <row r="176" spans="3:15" ht="27" customHeight="1" x14ac:dyDescent="0.25">
      <c r="C176" s="439"/>
      <c r="L176" s="369">
        <f ca="1">IF(SUM(L165:L174)&gt;0,SMALL(L165:L174,1),TODAY())</f>
        <v>44720</v>
      </c>
      <c r="M176" t="s">
        <v>135</v>
      </c>
      <c r="N176" s="454"/>
    </row>
    <row r="177" spans="3:14" ht="27" customHeight="1" x14ac:dyDescent="0.25">
      <c r="C177" s="439"/>
      <c r="D177" s="261"/>
      <c r="E177" s="262"/>
      <c r="F177" s="262"/>
      <c r="G177" s="262"/>
      <c r="H177" s="262"/>
      <c r="I177" s="262"/>
      <c r="J177" s="262"/>
      <c r="K177" s="262"/>
      <c r="L177" s="262"/>
      <c r="M177" s="257"/>
      <c r="N177" s="454"/>
    </row>
    <row r="178" spans="3:14" ht="27" customHeight="1" x14ac:dyDescent="0.3">
      <c r="C178" s="439"/>
      <c r="G178" s="1475" t="s">
        <v>447</v>
      </c>
      <c r="H178" s="1475"/>
      <c r="I178" s="1475"/>
      <c r="J178" s="1476">
        <f>M160+M175</f>
        <v>0</v>
      </c>
      <c r="K178" s="1476"/>
      <c r="N178" s="454"/>
    </row>
    <row r="179" spans="3:14" ht="27" customHeight="1" x14ac:dyDescent="0.25">
      <c r="C179" s="439"/>
      <c r="N179" s="454"/>
    </row>
    <row r="180" spans="3:14" ht="27" customHeight="1" x14ac:dyDescent="0.25">
      <c r="C180" s="439"/>
      <c r="I180" s="1468" t="s">
        <v>766</v>
      </c>
      <c r="J180" s="1468"/>
      <c r="K180" s="1468"/>
      <c r="L180" s="1469" t="e">
        <f>J178+J142</f>
        <v>#REF!</v>
      </c>
      <c r="M180" s="1469"/>
      <c r="N180" s="454"/>
    </row>
    <row r="181" spans="3:14" ht="27" customHeight="1" x14ac:dyDescent="0.25">
      <c r="C181" s="439"/>
      <c r="I181" s="1468"/>
      <c r="J181" s="1468"/>
      <c r="K181" s="1468"/>
      <c r="L181" s="1469"/>
      <c r="M181" s="1469"/>
      <c r="N181" s="454"/>
    </row>
    <row r="182" spans="3:14" ht="27" customHeight="1" x14ac:dyDescent="0.25">
      <c r="C182" s="439"/>
      <c r="N182" s="454"/>
    </row>
    <row r="183" spans="3:14" ht="27" customHeight="1" x14ac:dyDescent="0.25">
      <c r="C183" s="329"/>
      <c r="D183" s="330"/>
      <c r="E183" s="330"/>
      <c r="F183" s="330"/>
      <c r="G183" s="330"/>
      <c r="H183" s="330"/>
      <c r="I183" s="330"/>
      <c r="J183" s="330"/>
      <c r="K183" s="330"/>
      <c r="L183" s="330"/>
      <c r="M183" s="330"/>
      <c r="N183" s="331"/>
    </row>
    <row r="184" spans="3:14" ht="27" customHeight="1" x14ac:dyDescent="0.25">
      <c r="C184" s="329"/>
      <c r="D184" s="330"/>
      <c r="E184" s="330"/>
      <c r="F184" s="330"/>
      <c r="G184" s="330"/>
      <c r="H184" s="330"/>
      <c r="I184" s="330"/>
      <c r="J184" s="330"/>
      <c r="K184" s="330"/>
      <c r="L184" s="330"/>
      <c r="M184" s="330"/>
      <c r="N184" s="331"/>
    </row>
  </sheetData>
  <sheetProtection algorithmName="SHA-512" hashValue="d7fsWOTrL1064sijHtvAGAbnOhC3GvMVEUCZC88v3TuTE1zU09hUWl9oLnqTdEYu79+e8djqhhbtxdb0jo+IAw==" saltValue="n2GdsYBgDxO66i2wQP3+4A==" spinCount="100000" sheet="1" objects="1" scenarios="1"/>
  <mergeCells count="191">
    <mergeCell ref="P8:T8"/>
    <mergeCell ref="P9:T9"/>
    <mergeCell ref="P10:Q10"/>
    <mergeCell ref="P11:Q11"/>
    <mergeCell ref="P12:Q12"/>
    <mergeCell ref="P13:Q13"/>
    <mergeCell ref="P14:Q14"/>
    <mergeCell ref="P15:Q15"/>
    <mergeCell ref="E152:F152"/>
    <mergeCell ref="E151:F151"/>
    <mergeCell ref="E150:F150"/>
    <mergeCell ref="E101:F101"/>
    <mergeCell ref="E100:F100"/>
    <mergeCell ref="E99:F99"/>
    <mergeCell ref="E98:F98"/>
    <mergeCell ref="E105:F105"/>
    <mergeCell ref="E106:F106"/>
    <mergeCell ref="E107:F107"/>
    <mergeCell ref="E104:F104"/>
    <mergeCell ref="E103:F103"/>
    <mergeCell ref="E102:F102"/>
    <mergeCell ref="O96:O97"/>
    <mergeCell ref="J96:J97"/>
    <mergeCell ref="K96:K97"/>
    <mergeCell ref="E156:F156"/>
    <mergeCell ref="E120:F120"/>
    <mergeCell ref="E121:F121"/>
    <mergeCell ref="E122:F122"/>
    <mergeCell ref="E138:F138"/>
    <mergeCell ref="E137:F137"/>
    <mergeCell ref="E136:F136"/>
    <mergeCell ref="E135:F135"/>
    <mergeCell ref="E134:F134"/>
    <mergeCell ref="E133:F133"/>
    <mergeCell ref="E132:F132"/>
    <mergeCell ref="E131:F131"/>
    <mergeCell ref="L96:L97"/>
    <mergeCell ref="M96:M97"/>
    <mergeCell ref="E96:E97"/>
    <mergeCell ref="F96:F97"/>
    <mergeCell ref="G96:G97"/>
    <mergeCell ref="H96:H97"/>
    <mergeCell ref="I96:I97"/>
    <mergeCell ref="I129:I130"/>
    <mergeCell ref="J129:J130"/>
    <mergeCell ref="K129:K130"/>
    <mergeCell ref="L129:L130"/>
    <mergeCell ref="M129:M130"/>
    <mergeCell ref="E116:F116"/>
    <mergeCell ref="E117:F117"/>
    <mergeCell ref="E108:F108"/>
    <mergeCell ref="E109:F109"/>
    <mergeCell ref="E118:F118"/>
    <mergeCell ref="E112:F112"/>
    <mergeCell ref="E113:F113"/>
    <mergeCell ref="E114:F114"/>
    <mergeCell ref="E125:M125"/>
    <mergeCell ref="E115:F115"/>
    <mergeCell ref="D69:F70"/>
    <mergeCell ref="G69:H70"/>
    <mergeCell ref="D65:M65"/>
    <mergeCell ref="D66:M66"/>
    <mergeCell ref="D67:M67"/>
    <mergeCell ref="E72:M72"/>
    <mergeCell ref="K83:K84"/>
    <mergeCell ref="L83:L84"/>
    <mergeCell ref="I74:K74"/>
    <mergeCell ref="M148:M149"/>
    <mergeCell ref="M83:M84"/>
    <mergeCell ref="O83:O84"/>
    <mergeCell ref="G142:I142"/>
    <mergeCell ref="J142:K142"/>
    <mergeCell ref="O129:O130"/>
    <mergeCell ref="E74:F74"/>
    <mergeCell ref="E77:F77"/>
    <mergeCell ref="E78:F78"/>
    <mergeCell ref="E81:F81"/>
    <mergeCell ref="E83:E84"/>
    <mergeCell ref="F83:F84"/>
    <mergeCell ref="G83:G84"/>
    <mergeCell ref="H83:H84"/>
    <mergeCell ref="I83:I84"/>
    <mergeCell ref="J83:J84"/>
    <mergeCell ref="D127:F127"/>
    <mergeCell ref="E129:E130"/>
    <mergeCell ref="F129:F130"/>
    <mergeCell ref="G129:G130"/>
    <mergeCell ref="H129:H130"/>
    <mergeCell ref="E119:F119"/>
    <mergeCell ref="E110:F110"/>
    <mergeCell ref="E111:F111"/>
    <mergeCell ref="H148:H149"/>
    <mergeCell ref="I148:I149"/>
    <mergeCell ref="J148:J149"/>
    <mergeCell ref="K148:K149"/>
    <mergeCell ref="G178:I178"/>
    <mergeCell ref="J178:K178"/>
    <mergeCell ref="E170:F170"/>
    <mergeCell ref="G170:H170"/>
    <mergeCell ref="E171:F171"/>
    <mergeCell ref="G171:H171"/>
    <mergeCell ref="E165:F165"/>
    <mergeCell ref="G165:H165"/>
    <mergeCell ref="E166:F166"/>
    <mergeCell ref="G166:H166"/>
    <mergeCell ref="E167:F167"/>
    <mergeCell ref="G167:H167"/>
    <mergeCell ref="E168:F168"/>
    <mergeCell ref="G168:H168"/>
    <mergeCell ref="E169:F169"/>
    <mergeCell ref="G169:H169"/>
    <mergeCell ref="E157:F157"/>
    <mergeCell ref="E158:F158"/>
    <mergeCell ref="E159:F159"/>
    <mergeCell ref="E153:F153"/>
    <mergeCell ref="O148:O149"/>
    <mergeCell ref="O163:O164"/>
    <mergeCell ref="I180:K181"/>
    <mergeCell ref="L180:M181"/>
    <mergeCell ref="E162:M162"/>
    <mergeCell ref="E163:F164"/>
    <mergeCell ref="G163:H164"/>
    <mergeCell ref="I163:I164"/>
    <mergeCell ref="J163:J164"/>
    <mergeCell ref="K163:K164"/>
    <mergeCell ref="L163:L164"/>
    <mergeCell ref="M163:M164"/>
    <mergeCell ref="E155:F155"/>
    <mergeCell ref="E154:F154"/>
    <mergeCell ref="E172:F172"/>
    <mergeCell ref="G172:H172"/>
    <mergeCell ref="E173:F173"/>
    <mergeCell ref="G173:H173"/>
    <mergeCell ref="E174:F174"/>
    <mergeCell ref="G174:H174"/>
    <mergeCell ref="L148:L149"/>
    <mergeCell ref="E148:E149"/>
    <mergeCell ref="F148:F149"/>
    <mergeCell ref="G148:G149"/>
    <mergeCell ref="F62:H62"/>
    <mergeCell ref="E28:J28"/>
    <mergeCell ref="E29:J29"/>
    <mergeCell ref="E33:H33"/>
    <mergeCell ref="I33:J33"/>
    <mergeCell ref="F43:H43"/>
    <mergeCell ref="E47:J47"/>
    <mergeCell ref="E48:J48"/>
    <mergeCell ref="E52:H52"/>
    <mergeCell ref="I52:J52"/>
    <mergeCell ref="D46:K46"/>
    <mergeCell ref="AR40:AS40"/>
    <mergeCell ref="AT40:AY43"/>
    <mergeCell ref="AZ40:AZ43"/>
    <mergeCell ref="BA40:BA43"/>
    <mergeCell ref="AR44:AS44"/>
    <mergeCell ref="AT44:AY46"/>
    <mergeCell ref="AZ44:AZ46"/>
    <mergeCell ref="BA44:BA46"/>
    <mergeCell ref="D6:K6"/>
    <mergeCell ref="F9:J9"/>
    <mergeCell ref="F11:H11"/>
    <mergeCell ref="I11:J11"/>
    <mergeCell ref="E7:K7"/>
    <mergeCell ref="F23:I23"/>
    <mergeCell ref="F18:I18"/>
    <mergeCell ref="F19:I19"/>
    <mergeCell ref="F20:I20"/>
    <mergeCell ref="F21:I21"/>
    <mergeCell ref="F22:I22"/>
    <mergeCell ref="D27:K27"/>
    <mergeCell ref="AR35:BA36"/>
    <mergeCell ref="AR37:BA38"/>
    <mergeCell ref="AR39:AS39"/>
    <mergeCell ref="AT39:AY39"/>
    <mergeCell ref="AR56:AS56"/>
    <mergeCell ref="AT56:AY58"/>
    <mergeCell ref="AZ56:AZ58"/>
    <mergeCell ref="BA56:BA58"/>
    <mergeCell ref="AT59:BA59"/>
    <mergeCell ref="AR47:AS47"/>
    <mergeCell ref="AT47:AY49"/>
    <mergeCell ref="AZ47:AZ49"/>
    <mergeCell ref="BA47:BA49"/>
    <mergeCell ref="AR50:AS50"/>
    <mergeCell ref="AT50:AY52"/>
    <mergeCell ref="AZ50:AZ52"/>
    <mergeCell ref="BA50:BA52"/>
    <mergeCell ref="AR53:AS53"/>
    <mergeCell ref="AT53:AY55"/>
    <mergeCell ref="AZ53:AZ55"/>
    <mergeCell ref="BA53:BA55"/>
  </mergeCells>
  <conditionalFormatting sqref="E81:G81 E83:K84 L83:M91 D84:D90 E85:J88 E89:K90 J91">
    <cfRule type="expression" dxfId="695" priority="736">
      <formula>$F$46="NÃO"</formula>
    </cfRule>
  </conditionalFormatting>
  <conditionalFormatting sqref="J14 J16">
    <cfRule type="expression" dxfId="690" priority="18">
      <formula>$I$14&gt;$J$14</formula>
    </cfRule>
  </conditionalFormatting>
  <conditionalFormatting sqref="J85:J90">
    <cfRule type="iconSet" priority="743">
      <iconSet>
        <cfvo type="percent" val="0"/>
        <cfvo type="formula" val="$G$23"/>
        <cfvo type="formula" val="$G$22"/>
      </iconSet>
    </cfRule>
  </conditionalFormatting>
  <conditionalFormatting sqref="J98:J122">
    <cfRule type="iconSet" priority="741">
      <iconSet>
        <cfvo type="percent" val="0"/>
        <cfvo type="formula" val="$G$23"/>
        <cfvo type="formula" val="$G$22"/>
      </iconSet>
    </cfRule>
  </conditionalFormatting>
  <conditionalFormatting sqref="J131:J138">
    <cfRule type="iconSet" priority="742">
      <iconSet>
        <cfvo type="percent" val="0"/>
        <cfvo type="formula" val="$G$23"/>
        <cfvo type="formula" val="$G$22"/>
      </iconSet>
    </cfRule>
  </conditionalFormatting>
  <conditionalFormatting sqref="K96:K97">
    <cfRule type="expression" dxfId="689" priority="3">
      <formula>$F$46="NÃO"</formula>
    </cfRule>
  </conditionalFormatting>
  <conditionalFormatting sqref="K129:K130">
    <cfRule type="expression" dxfId="688" priority="2">
      <formula>$F$46="NÃO"</formula>
    </cfRule>
  </conditionalFormatting>
  <conditionalFormatting sqref="K148:K149">
    <cfRule type="expression" dxfId="687" priority="1">
      <formula>$F$46="NÃO"</formula>
    </cfRule>
  </conditionalFormatting>
  <conditionalFormatting sqref="L165:L174 J150:J159">
    <cfRule type="iconSet" priority="744">
      <iconSet>
        <cfvo type="percent" val="0"/>
        <cfvo type="formula" val="$G$23"/>
        <cfvo type="formula" val="$G$22"/>
      </iconSet>
    </cfRule>
  </conditionalFormatting>
  <conditionalFormatting sqref="M79 L80">
    <cfRule type="containsErrors" dxfId="686" priority="9">
      <formula>ISERROR(L79)</formula>
    </cfRule>
  </conditionalFormatting>
  <conditionalFormatting sqref="AR35 AR39 AT39:AT41 AZ39:BA41 AT44 AZ44:BA44 AT47 AZ47:BA47 AT50 AZ50:BA50 AT53 AZ53:BA53 AT56 AZ56:BA56">
    <cfRule type="expression" dxfId="685" priority="710">
      <formula>#REF!="NÃO"</formula>
    </cfRule>
  </conditionalFormatting>
  <conditionalFormatting sqref="AR40:AS41 AR44:AS44 AR47:AS47 AR50:AS50 AR53:AS53 AR56:AS56">
    <cfRule type="expression" dxfId="684" priority="699">
      <formula>$C$174="NÃO"</formula>
    </cfRule>
  </conditionalFormatting>
  <dataValidations count="1">
    <dataValidation type="list" showInputMessage="1" showErrorMessage="1" sqref="AR40:AS41 AR56:AS56 AR53:AS53 AR50:AS50 AR47:AS47 AR44:AS44" xr:uid="{3C9690D3-0F7A-4271-BC23-C22AEDC82EF7}">
      <formula1>$AP$137:$AP$142</formula1>
    </dataValidation>
  </dataValidations>
  <pageMargins left="0.511811024" right="0.511811024" top="0.78740157499999996" bottom="0.78740157499999996" header="0.31496062000000002" footer="0.31496062000000002"/>
  <pageSetup paperSize="9" scale="14" fitToHeight="0"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expression" priority="16" id="{66A2D4BB-4CD7-4A9D-BFD4-34C9207B0C1E}">
            <xm:f>'NOME + Nº'!$C$32="NÃO"</xm:f>
            <x14:dxf>
              <font>
                <b val="0"/>
                <i val="0"/>
                <strike/>
                <color theme="1" tint="0.24994659260841701"/>
              </font>
              <fill>
                <patternFill>
                  <bgColor theme="0" tint="-0.14996795556505021"/>
                </patternFill>
              </fill>
            </x14:dxf>
          </x14:cfRule>
          <xm:sqref>E35:J41 I43:J43</xm:sqref>
        </x14:conditionalFormatting>
        <x14:conditionalFormatting xmlns:xm="http://schemas.microsoft.com/office/excel/2006/main">
          <x14:cfRule type="expression" priority="17" id="{250E4911-79EE-4A33-9AA3-F2499E3CD8EC}">
            <xm:f>'NOME + Nº'!$C$33="NÃO"</xm:f>
            <x14:dxf>
              <font>
                <b val="0"/>
                <i val="0"/>
                <strike/>
                <color theme="1" tint="0.24994659260841701"/>
              </font>
              <fill>
                <patternFill>
                  <bgColor theme="0" tint="-0.14996795556505021"/>
                </patternFill>
              </fill>
            </x14:dxf>
          </x14:cfRule>
          <xm:sqref>E54:J60 I62:J62</xm:sqref>
        </x14:conditionalFormatting>
        <x14:conditionalFormatting xmlns:xm="http://schemas.microsoft.com/office/excel/2006/main">
          <x14:cfRule type="expression" priority="698" id="{00000000-000E-0000-0200-0000B7020000}">
            <xm:f>'NOME + Nº'!$E$54="SIM"</xm:f>
            <x14:dxf>
              <font>
                <b val="0"/>
                <i val="0"/>
                <strike/>
                <color theme="1" tint="0.24994659260841701"/>
              </font>
              <fill>
                <patternFill>
                  <bgColor theme="0" tint="-0.24994659260841701"/>
                </patternFill>
              </fill>
            </x14:dxf>
          </x14:cfRule>
          <xm:sqref>E78:M78</xm:sqref>
        </x14:conditionalFormatting>
        <x14:conditionalFormatting xmlns:xm="http://schemas.microsoft.com/office/excel/2006/main">
          <x14:cfRule type="expression" priority="729" id="{00000000-000E-0000-0200-0000D6020000}">
            <xm:f>'NOME + Nº'!$D$22="NÃO"</xm:f>
            <x14:dxf>
              <font>
                <b val="0"/>
                <i val="0"/>
                <strike/>
                <color theme="1" tint="0.24994659260841701"/>
              </font>
              <fill>
                <patternFill>
                  <bgColor theme="0" tint="-0.14996795556505021"/>
                </patternFill>
              </fill>
            </x14:dxf>
          </x14:cfRule>
          <xm:sqref>H76:K78 L76:M79 E78:G78 E74:G74 I74 L74 G76:G77 E77:F77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prompt="SIM ou NÃO" xr:uid="{3F3A83A4-1F9C-48A8-8398-2C05F06CEFDF}">
          <x14:formula1>
            <xm:f>MODELAGEM!$F$17:$F$18</xm:f>
          </x14:formula1>
          <xm:sqref>K89:K90 G81 G74 L74</xm:sqref>
        </x14:dataValidation>
        <x14:dataValidation type="list" showInputMessage="1" showErrorMessage="1" xr:uid="{6D1E487B-A962-4B74-BBB2-267671A6A7A2}">
          <x14:formula1>
            <xm:f>AVIAMENTOS!$H$4:$H$503</xm:f>
          </x14:formula1>
          <xm:sqref>E131:E138 G77 E85:E90 E150:E159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E235-10C1-4C07-95B2-4DA7720C954C}">
  <dimension ref="B1:EO305"/>
  <sheetViews>
    <sheetView showGridLines="0" topLeftCell="G1" zoomScale="80" zoomScaleNormal="80" workbookViewId="0">
      <selection activeCell="O12" sqref="O12"/>
    </sheetView>
  </sheetViews>
  <sheetFormatPr defaultRowHeight="15" x14ac:dyDescent="0.25"/>
  <cols>
    <col min="3" max="3" width="14.85546875" customWidth="1"/>
    <col min="4" max="4" width="11.5703125" customWidth="1"/>
    <col min="5" max="5" width="11.7109375" customWidth="1"/>
    <col min="9" max="9" width="20.85546875" customWidth="1"/>
    <col min="10" max="10" width="12" customWidth="1"/>
    <col min="11" max="11" width="19" customWidth="1"/>
    <col min="12" max="12" width="14" customWidth="1"/>
    <col min="13" max="13" width="22" customWidth="1"/>
    <col min="14" max="14" width="17.28515625" customWidth="1"/>
    <col min="15" max="15" width="12.7109375" customWidth="1"/>
    <col min="16" max="16" width="17.7109375" customWidth="1"/>
    <col min="17" max="17" width="15.85546875" customWidth="1"/>
    <col min="18" max="18" width="15.5703125" customWidth="1"/>
    <col min="19" max="19" width="14.85546875" customWidth="1"/>
    <col min="20" max="20" width="17.28515625" style="35" customWidth="1"/>
    <col min="21" max="22" width="14.140625" customWidth="1"/>
    <col min="23" max="23" width="12.7109375" customWidth="1"/>
    <col min="24" max="24" width="20" customWidth="1"/>
    <col min="25" max="25" width="18.42578125" customWidth="1"/>
    <col min="26" max="26" width="14.7109375" customWidth="1"/>
    <col min="27" max="27" width="10.28515625" customWidth="1"/>
    <col min="28" max="28" width="11.7109375" customWidth="1"/>
    <col min="29" max="29" width="12.7109375" customWidth="1"/>
    <col min="30" max="30" width="13.85546875" customWidth="1"/>
    <col min="31" max="31" width="12.140625" customWidth="1"/>
    <col min="32" max="32" width="14.140625" customWidth="1"/>
    <col min="33" max="33" width="14" customWidth="1"/>
    <col min="38" max="38" width="12" customWidth="1"/>
    <col min="40" max="40" width="10.85546875" customWidth="1"/>
    <col min="43" max="43" width="10.140625" customWidth="1"/>
    <col min="68" max="68" width="13.140625" customWidth="1"/>
    <col min="69" max="71" width="12.85546875" customWidth="1"/>
    <col min="72" max="72" width="13.5703125" customWidth="1"/>
    <col min="73" max="73" width="9.5703125" customWidth="1"/>
    <col min="74" max="74" width="12.140625" customWidth="1"/>
    <col min="76" max="76" width="9.140625" style="49"/>
    <col min="85" max="85" width="10.7109375" customWidth="1"/>
    <col min="91" max="91" width="12.28515625" customWidth="1"/>
    <col min="137" max="137" width="15.28515625" customWidth="1"/>
    <col min="139" max="139" width="15.42578125" customWidth="1"/>
  </cols>
  <sheetData>
    <row r="1" spans="2:145" ht="15.75" thickBot="1" x14ac:dyDescent="0.3"/>
    <row r="2" spans="2:145" x14ac:dyDescent="0.25">
      <c r="B2" s="1600" t="s">
        <v>6</v>
      </c>
      <c r="C2" s="1601"/>
      <c r="D2" s="1601"/>
      <c r="E2" s="1601"/>
      <c r="F2" s="1602"/>
    </row>
    <row r="3" spans="2:145" ht="18.75" x14ac:dyDescent="0.25">
      <c r="B3" s="1603" t="s">
        <v>9</v>
      </c>
      <c r="C3" s="1604"/>
      <c r="D3" s="1604"/>
      <c r="E3" s="1604"/>
      <c r="F3" s="420" t="s">
        <v>10</v>
      </c>
    </row>
    <row r="4" spans="2:145" ht="15.75" thickBot="1" x14ac:dyDescent="0.3">
      <c r="B4" s="1605" t="s">
        <v>11</v>
      </c>
      <c r="C4" s="1606"/>
      <c r="D4" s="1606"/>
      <c r="E4" s="1606"/>
      <c r="F4" s="1607" t="s">
        <v>10</v>
      </c>
      <c r="J4" s="1586" t="str">
        <f>'NOME + Nº'!C8</f>
        <v>REF. NOME + Nº - 15H x 10B x 5L (cm)</v>
      </c>
      <c r="K4" s="1586"/>
      <c r="L4" s="1586"/>
      <c r="M4" s="1586"/>
      <c r="N4" s="1586"/>
      <c r="O4" s="1586"/>
      <c r="P4" s="1586"/>
      <c r="Q4" s="1586"/>
      <c r="R4" s="1586"/>
      <c r="S4" s="1586"/>
      <c r="T4" s="1586"/>
    </row>
    <row r="5" spans="2:145" ht="15.75" thickBot="1" x14ac:dyDescent="0.3">
      <c r="B5" s="1605"/>
      <c r="C5" s="1606"/>
      <c r="D5" s="1606"/>
      <c r="E5" s="1606"/>
      <c r="F5" s="1607"/>
      <c r="J5" s="1596" t="s">
        <v>236</v>
      </c>
      <c r="K5" s="1597"/>
      <c r="L5" s="1597"/>
      <c r="M5" s="1597"/>
      <c r="N5" s="1597"/>
      <c r="O5" s="1597"/>
      <c r="P5" s="1597"/>
      <c r="Q5" s="1597"/>
      <c r="R5" s="1597"/>
      <c r="S5" s="1597"/>
      <c r="T5" s="1598"/>
    </row>
    <row r="6" spans="2:145" ht="18.75" x14ac:dyDescent="0.25">
      <c r="B6" s="1603" t="s">
        <v>15</v>
      </c>
      <c r="C6" s="1604"/>
      <c r="D6" s="1604"/>
      <c r="E6" s="1604"/>
      <c r="F6" s="421" t="s">
        <v>10</v>
      </c>
      <c r="J6" s="1595" t="s">
        <v>237</v>
      </c>
      <c r="K6" s="1594" t="s">
        <v>238</v>
      </c>
    </row>
    <row r="7" spans="2:145" ht="19.5" thickBot="1" x14ac:dyDescent="0.3">
      <c r="B7" s="1603" t="s">
        <v>19</v>
      </c>
      <c r="C7" s="1604"/>
      <c r="D7" s="1604"/>
      <c r="E7" s="1604"/>
      <c r="F7" s="422" t="s">
        <v>10</v>
      </c>
      <c r="J7" s="1595"/>
      <c r="K7" s="1594"/>
    </row>
    <row r="8" spans="2:145" ht="18.75" customHeight="1" thickBot="1" x14ac:dyDescent="0.3">
      <c r="B8" s="1603" t="s">
        <v>394</v>
      </c>
      <c r="C8" s="1604"/>
      <c r="D8" s="1604"/>
      <c r="E8" s="1604"/>
      <c r="F8" s="423" t="s">
        <v>61</v>
      </c>
      <c r="I8" s="405" t="s">
        <v>234</v>
      </c>
      <c r="J8" s="406">
        <f>'NOME + Nº'!H128</f>
        <v>20</v>
      </c>
      <c r="K8" s="407">
        <f>INT(MAX((T11:T73),(W259,W266,W273,W280)))</f>
        <v>35</v>
      </c>
      <c r="M8" s="1499" t="s">
        <v>239</v>
      </c>
      <c r="N8" s="1499"/>
      <c r="O8" s="1499"/>
      <c r="P8" s="1499" t="s">
        <v>240</v>
      </c>
      <c r="Q8" s="1499"/>
      <c r="R8" s="368" t="s">
        <v>194</v>
      </c>
      <c r="AM8" s="7"/>
    </row>
    <row r="9" spans="2:145" ht="19.5" thickBot="1" x14ac:dyDescent="0.3">
      <c r="B9" s="1603" t="s">
        <v>21</v>
      </c>
      <c r="C9" s="1604"/>
      <c r="D9" s="1604"/>
      <c r="E9" s="1604"/>
      <c r="F9" s="424" t="s">
        <v>10</v>
      </c>
      <c r="M9" s="1592" t="s">
        <v>241</v>
      </c>
      <c r="N9" s="1587" t="s">
        <v>376</v>
      </c>
      <c r="O9" s="1587" t="s">
        <v>242</v>
      </c>
      <c r="P9" s="1590" t="s">
        <v>243</v>
      </c>
      <c r="Q9" s="1592" t="s">
        <v>244</v>
      </c>
      <c r="R9" s="1592" t="s">
        <v>245</v>
      </c>
      <c r="S9" s="1590" t="s">
        <v>39</v>
      </c>
      <c r="T9" s="1599" t="s">
        <v>246</v>
      </c>
      <c r="U9" s="1599" t="s">
        <v>709</v>
      </c>
      <c r="X9" s="1639" t="s">
        <v>248</v>
      </c>
      <c r="Y9" s="1640"/>
      <c r="Z9" s="1640"/>
      <c r="AA9" s="1640"/>
      <c r="AB9" s="1640"/>
      <c r="AC9" s="1640"/>
      <c r="AD9" s="1640"/>
      <c r="AE9" s="1640"/>
      <c r="AF9" s="1640"/>
      <c r="AG9" s="1640"/>
      <c r="AH9" s="1640"/>
      <c r="AI9" s="1640"/>
      <c r="AJ9" s="1640"/>
      <c r="AK9" s="1640"/>
      <c r="AL9" s="1640"/>
      <c r="AM9" s="1640"/>
      <c r="AN9" s="1640"/>
      <c r="AO9" s="1640"/>
      <c r="AP9" s="1640"/>
      <c r="AQ9" s="1640"/>
      <c r="AR9" s="1640"/>
      <c r="AS9" s="1640"/>
      <c r="AT9" s="1640"/>
      <c r="AU9" s="1640"/>
      <c r="AV9" s="1640"/>
      <c r="AW9" s="1640"/>
      <c r="AX9" s="1640"/>
      <c r="AY9" s="1640"/>
      <c r="AZ9" s="1640"/>
      <c r="BA9" s="1640"/>
      <c r="BB9" s="1640"/>
      <c r="BC9" s="1640"/>
      <c r="BD9" s="1640"/>
      <c r="BE9" s="1640"/>
      <c r="BF9" s="1640"/>
      <c r="BG9" s="1640"/>
      <c r="BH9" s="1640"/>
      <c r="BI9" s="1640"/>
      <c r="BJ9" s="1640"/>
      <c r="BK9" s="1640"/>
      <c r="BL9" s="1640"/>
      <c r="BM9" s="1640"/>
      <c r="BN9" s="1640"/>
      <c r="BO9" s="1640"/>
      <c r="BP9" s="1640"/>
      <c r="BQ9" s="1640"/>
      <c r="BR9" s="1640"/>
      <c r="BS9" s="1640"/>
      <c r="BT9" s="1641"/>
    </row>
    <row r="10" spans="2:145" ht="19.5" thickBot="1" x14ac:dyDescent="0.3">
      <c r="B10" s="1603" t="s">
        <v>24</v>
      </c>
      <c r="C10" s="1604"/>
      <c r="D10" s="1604"/>
      <c r="E10" s="1604"/>
      <c r="F10" s="425" t="s">
        <v>10</v>
      </c>
      <c r="J10" s="1588" t="s">
        <v>711</v>
      </c>
      <c r="K10" s="1589"/>
      <c r="L10" s="385" t="s">
        <v>43</v>
      </c>
      <c r="M10" s="1592"/>
      <c r="N10" s="1587"/>
      <c r="O10" s="1587"/>
      <c r="P10" s="1591"/>
      <c r="Q10" s="1593"/>
      <c r="R10" s="1592"/>
      <c r="S10" s="1590"/>
      <c r="T10" s="1599"/>
      <c r="U10" s="1599"/>
      <c r="BX10"/>
      <c r="CB10" s="49"/>
    </row>
    <row r="11" spans="2:145" ht="15.75" customHeight="1" thickBot="1" x14ac:dyDescent="0.3">
      <c r="B11" s="1605" t="s">
        <v>26</v>
      </c>
      <c r="C11" s="1606"/>
      <c r="D11" s="1606"/>
      <c r="E11" s="1606"/>
      <c r="F11" s="1612" t="s">
        <v>10</v>
      </c>
      <c r="G11">
        <v>1</v>
      </c>
      <c r="H11" s="1521" t="str">
        <f>CONCATENATE("MOLDE ",G11)</f>
        <v>MOLDE 1</v>
      </c>
      <c r="I11" s="1522"/>
      <c r="J11" s="527">
        <v>1</v>
      </c>
      <c r="K11" s="322" t="s">
        <v>61</v>
      </c>
      <c r="L11" s="747">
        <v>1</v>
      </c>
      <c r="M11" s="747" t="s">
        <v>722</v>
      </c>
      <c r="N11" s="748">
        <f>IF((M11=X14),Z14,(IF((M11=X15),Z15,(IF((M11=X16),Z16,(IF((M11=X17),Z17,(IF((M11=X18),Z18,(IF((M11=X19),Z19,(IF((M11=X20),Z20)))))))))))))</f>
        <v>49.9</v>
      </c>
      <c r="O11" s="749">
        <f>IF((M11=X14),AA14,(IF((M11=X15),AA15,(IF((M11=X16),AA16,(IF((M11=X17),AA17,(IF((M11=X18),AA18,(IF((M11=X19),AA19,(IF((M11=X20),AA20)))))))))))))</f>
        <v>140</v>
      </c>
      <c r="P11" s="713">
        <v>34.4</v>
      </c>
      <c r="Q11" s="713">
        <v>58.3</v>
      </c>
      <c r="R11" s="751">
        <f>IF(R12&lt;(M12*L11), INT(R12),(M12*L11))</f>
        <v>2</v>
      </c>
      <c r="S11" s="752">
        <f>IF(K11="SIM",(N11*L11*(P11/100)/R11)*L12,0)</f>
        <v>8.5827999999999989</v>
      </c>
      <c r="T11" s="390">
        <f>R12*L12</f>
        <v>2.4013722126929675</v>
      </c>
      <c r="U11" s="400">
        <f>IF(K11="SIM",1,IF(K13="SIM",1,IF(K15="SIM",1,IF(K17="SIM",1,0))))</f>
        <v>1</v>
      </c>
      <c r="AB11" s="1644" t="s">
        <v>250</v>
      </c>
      <c r="AC11" s="1645"/>
      <c r="AD11" s="1645"/>
      <c r="AE11" s="1645"/>
      <c r="AF11" s="1597"/>
      <c r="AG11" s="1597"/>
      <c r="AH11" s="1597"/>
      <c r="AI11" s="1597"/>
      <c r="AJ11" s="1597"/>
      <c r="AK11" s="1597"/>
      <c r="AL11" s="1597"/>
      <c r="AM11" s="1597"/>
      <c r="AN11" s="1597"/>
      <c r="AO11" s="1597"/>
      <c r="AP11" s="1597"/>
      <c r="AQ11" s="1597"/>
      <c r="AR11" s="1597"/>
      <c r="AS11" s="1597"/>
      <c r="AT11" s="1597"/>
      <c r="AU11" s="1597"/>
      <c r="AV11" s="1597"/>
      <c r="AW11" s="1597"/>
      <c r="AX11" s="1597"/>
      <c r="AY11" s="1597"/>
      <c r="AZ11" s="1597"/>
      <c r="BA11" s="1597"/>
      <c r="BB11" s="1597"/>
      <c r="BC11" s="1597"/>
      <c r="BD11" s="1597"/>
      <c r="BE11" s="1597"/>
      <c r="BF11" s="1597"/>
      <c r="BG11" s="1597"/>
      <c r="BH11" s="1597"/>
      <c r="BI11" s="1597"/>
      <c r="BJ11" s="1597"/>
      <c r="BK11" s="1597"/>
      <c r="BL11" s="1597"/>
      <c r="BM11" s="1597"/>
      <c r="BN11" s="1597"/>
      <c r="BO11" s="1597"/>
      <c r="BP11" s="1597"/>
      <c r="BQ11" s="1597"/>
      <c r="BR11" s="1598"/>
      <c r="BX11"/>
      <c r="CA11" s="755"/>
      <c r="CB11" s="49"/>
    </row>
    <row r="12" spans="2:145" ht="18" thickBot="1" x14ac:dyDescent="0.35">
      <c r="B12" s="1605"/>
      <c r="C12" s="1606"/>
      <c r="D12" s="1606"/>
      <c r="E12" s="1606"/>
      <c r="F12" s="1612"/>
      <c r="H12" s="1515" t="s">
        <v>824</v>
      </c>
      <c r="I12" s="1516"/>
      <c r="L12" s="10" t="str">
        <f>IF(K11="SIM","1","0")</f>
        <v>1</v>
      </c>
      <c r="M12" s="10">
        <f>J8</f>
        <v>20</v>
      </c>
      <c r="N12" s="21"/>
      <c r="O12" s="21"/>
      <c r="P12" s="34"/>
      <c r="Q12" s="34"/>
      <c r="R12" s="9">
        <f>O11/(Q11)</f>
        <v>2.4013722126929675</v>
      </c>
      <c r="S12" s="528"/>
      <c r="X12" s="1646" t="s">
        <v>249</v>
      </c>
      <c r="Y12" s="1646"/>
      <c r="Z12" s="1646"/>
      <c r="AA12" s="1647"/>
      <c r="AB12" s="1526" t="str">
        <f>H11</f>
        <v>MOLDE 1</v>
      </c>
      <c r="AC12" s="1527"/>
      <c r="AD12" s="1527"/>
      <c r="AE12" s="1528"/>
      <c r="AF12" s="1529" t="str">
        <f>H20</f>
        <v>MOLDE 2</v>
      </c>
      <c r="AG12" s="1530"/>
      <c r="AH12" s="1530"/>
      <c r="AI12" s="1531"/>
      <c r="AJ12" s="1526" t="str">
        <f>H29</f>
        <v>MOLDE 3</v>
      </c>
      <c r="AK12" s="1527"/>
      <c r="AL12" s="1527"/>
      <c r="AM12" s="1528"/>
      <c r="AN12" s="1529" t="str">
        <f>H38</f>
        <v>MOLDE 4</v>
      </c>
      <c r="AO12" s="1530"/>
      <c r="AP12" s="1530"/>
      <c r="AQ12" s="1531"/>
      <c r="AR12" s="1526" t="str">
        <f>H47</f>
        <v>MOLDE 5</v>
      </c>
      <c r="AS12" s="1527"/>
      <c r="AT12" s="1527"/>
      <c r="AU12" s="1528"/>
      <c r="AV12" s="1529" t="str">
        <f>H56</f>
        <v>MOLDE 6</v>
      </c>
      <c r="AW12" s="1530"/>
      <c r="AX12" s="1530"/>
      <c r="AY12" s="1531"/>
      <c r="AZ12" s="1526" t="str">
        <f>H65</f>
        <v>MOLDE 7</v>
      </c>
      <c r="BA12" s="1527"/>
      <c r="BB12" s="1527"/>
      <c r="BC12" s="1528"/>
      <c r="BD12" s="1529" t="str">
        <f>H74</f>
        <v>MOLDE 8</v>
      </c>
      <c r="BE12" s="1530"/>
      <c r="BF12" s="1530"/>
      <c r="BG12" s="1531"/>
      <c r="BH12" s="1526" t="str">
        <f>H83</f>
        <v>MOLDE 9</v>
      </c>
      <c r="BI12" s="1527"/>
      <c r="BJ12" s="1527"/>
      <c r="BK12" s="1528"/>
      <c r="BL12" s="1529" t="str">
        <f>H92</f>
        <v>MOLDE 10</v>
      </c>
      <c r="BM12" s="1530"/>
      <c r="BN12" s="1530"/>
      <c r="BO12" s="1531"/>
      <c r="BP12" s="1526" t="str">
        <f>H101</f>
        <v>MOLDE 11</v>
      </c>
      <c r="BQ12" s="1527"/>
      <c r="BR12" s="1527"/>
      <c r="BS12" s="1528"/>
      <c r="BT12" s="1529" t="str">
        <f>H110</f>
        <v>MOLDE 12</v>
      </c>
      <c r="BU12" s="1530"/>
      <c r="BV12" s="1530"/>
      <c r="BW12" s="1531"/>
      <c r="BX12" s="1526" t="str">
        <f>H119</f>
        <v>MOLDE 13</v>
      </c>
      <c r="BY12" s="1527"/>
      <c r="BZ12" s="1527"/>
      <c r="CA12" s="1528"/>
      <c r="CB12" s="1529" t="str">
        <f>H128</f>
        <v>MOLDE 14</v>
      </c>
      <c r="CC12" s="1530"/>
      <c r="CD12" s="1530"/>
      <c r="CE12" s="1531"/>
      <c r="CF12" s="1526" t="str">
        <f>H137</f>
        <v>MOLDE 15</v>
      </c>
      <c r="CG12" s="1527"/>
      <c r="CH12" s="1527"/>
      <c r="CI12" s="1528"/>
      <c r="CJ12" s="1529" t="str">
        <f>H146</f>
        <v>MOLDE 16</v>
      </c>
      <c r="CK12" s="1530"/>
      <c r="CL12" s="1530"/>
      <c r="CM12" s="1531"/>
      <c r="CN12" s="1526" t="str">
        <f>H155</f>
        <v>MOLDE 17</v>
      </c>
      <c r="CO12" s="1527"/>
      <c r="CP12" s="1527"/>
      <c r="CQ12" s="1528"/>
      <c r="CR12" s="1529" t="str">
        <f>H164</f>
        <v>MOLDE 18</v>
      </c>
      <c r="CS12" s="1530"/>
      <c r="CT12" s="1530"/>
      <c r="CU12" s="1531"/>
      <c r="CV12" s="1526" t="str">
        <f>H173</f>
        <v>MOLDE 19</v>
      </c>
      <c r="CW12" s="1527"/>
      <c r="CX12" s="1527"/>
      <c r="CY12" s="1528"/>
      <c r="CZ12" s="1529" t="str">
        <f>H182</f>
        <v>MOLDE 20</v>
      </c>
      <c r="DA12" s="1530"/>
      <c r="DB12" s="1530"/>
      <c r="DC12" s="1531"/>
      <c r="DD12" s="1526" t="str">
        <f>H191</f>
        <v>MOLDE 21</v>
      </c>
      <c r="DE12" s="1527"/>
      <c r="DF12" s="1527"/>
      <c r="DG12" s="1528"/>
      <c r="DH12" s="1529" t="str">
        <f>H200</f>
        <v>MOLDE 22</v>
      </c>
      <c r="DI12" s="1530"/>
      <c r="DJ12" s="1530"/>
      <c r="DK12" s="1531"/>
      <c r="DL12" s="1526" t="str">
        <f>H209</f>
        <v>MOLDE 23</v>
      </c>
      <c r="DM12" s="1527"/>
      <c r="DN12" s="1527"/>
      <c r="DO12" s="1528"/>
      <c r="DP12" s="1529" t="str">
        <f>H218</f>
        <v>MOLDE 24</v>
      </c>
      <c r="DQ12" s="1530"/>
      <c r="DR12" s="1530"/>
      <c r="DS12" s="1531"/>
      <c r="DT12" s="1526" t="str">
        <f>H227</f>
        <v>MOLDE 25</v>
      </c>
      <c r="DU12" s="1527"/>
      <c r="DV12" s="1527"/>
      <c r="DW12" s="1528"/>
      <c r="DX12" s="1529" t="str">
        <f>H236</f>
        <v>MOLDE 26</v>
      </c>
      <c r="DY12" s="1530"/>
      <c r="DZ12" s="1530"/>
      <c r="EA12" s="1531"/>
      <c r="EB12" s="1523" t="s">
        <v>685</v>
      </c>
      <c r="EC12" s="1524"/>
      <c r="ED12" s="1524"/>
      <c r="EE12" s="1525"/>
      <c r="EF12" s="758" t="s">
        <v>402</v>
      </c>
      <c r="EG12" s="1547" t="s">
        <v>251</v>
      </c>
      <c r="EI12" s="1532" t="s">
        <v>418</v>
      </c>
      <c r="EO12" s="49"/>
    </row>
    <row r="13" spans="2:145" x14ac:dyDescent="0.25">
      <c r="B13" s="1603" t="s">
        <v>33</v>
      </c>
      <c r="C13" s="1604"/>
      <c r="D13" s="1604"/>
      <c r="E13" s="1604"/>
      <c r="F13" s="1610" t="s">
        <v>34</v>
      </c>
      <c r="H13" s="1515"/>
      <c r="I13" s="1516"/>
      <c r="J13" s="527">
        <f t="shared" ref="J13" si="0">J11+1</f>
        <v>2</v>
      </c>
      <c r="K13" s="322" t="s">
        <v>61</v>
      </c>
      <c r="L13" s="747">
        <v>1</v>
      </c>
      <c r="M13" s="747" t="s">
        <v>927</v>
      </c>
      <c r="N13" s="748">
        <f>IF((M13=X14),Z14,(IF((M13=X15),Z15,(IF((M13=X16),Z16,(IF((M13=X17),Z17,(IF((M13=X18),Z18,(IF((M13=X19),Z19,(IF((M13=X20),Z20)))))))))))))</f>
        <v>7.9</v>
      </c>
      <c r="O13" s="749">
        <f>IF((M13=X14),AA14,(IF((M13=X15),AA15,(IF((M13=X16),AA16,(IF((M13=X17),AA17,(IF((M13=X18),AA18,(IF((M13=X19),AA19,(IF((M13=X20),AA20)))))))))))))</f>
        <v>140</v>
      </c>
      <c r="P13" s="750">
        <f>P11</f>
        <v>34.4</v>
      </c>
      <c r="Q13" s="750">
        <f>Q11</f>
        <v>58.3</v>
      </c>
      <c r="R13" s="751">
        <f>IF(R14&lt;(M14*L13), INT(R14),(M14*L13))</f>
        <v>2</v>
      </c>
      <c r="S13" s="752">
        <f>IF(K13="SIM",(N13*L13*(P13/100)/R13)*L14,0)</f>
        <v>1.3588</v>
      </c>
      <c r="T13" s="390">
        <f>R14*L14</f>
        <v>2.4013722126929675</v>
      </c>
      <c r="X13" s="386" t="s">
        <v>281</v>
      </c>
      <c r="Y13" s="386" t="s">
        <v>195</v>
      </c>
      <c r="Z13" s="386" t="s">
        <v>376</v>
      </c>
      <c r="AA13" s="419" t="s">
        <v>244</v>
      </c>
      <c r="AB13" s="744">
        <v>1</v>
      </c>
      <c r="AC13" s="714">
        <f t="shared" ref="AC13:AH13" si="1">AB13+1</f>
        <v>2</v>
      </c>
      <c r="AD13" s="714">
        <f t="shared" si="1"/>
        <v>3</v>
      </c>
      <c r="AE13" s="745">
        <f t="shared" si="1"/>
        <v>4</v>
      </c>
      <c r="AF13" s="741">
        <f>AE13+1</f>
        <v>5</v>
      </c>
      <c r="AG13" s="715">
        <f>AF13+1</f>
        <v>6</v>
      </c>
      <c r="AH13" s="715">
        <f t="shared" si="1"/>
        <v>7</v>
      </c>
      <c r="AI13" s="742">
        <f>AH13+1</f>
        <v>8</v>
      </c>
      <c r="AJ13" s="723">
        <f t="shared" ref="AJ13" si="2">AI13+1</f>
        <v>9</v>
      </c>
      <c r="AK13" s="717">
        <f t="shared" ref="AK13" si="3">AJ13+1</f>
        <v>10</v>
      </c>
      <c r="AL13" s="717">
        <f t="shared" ref="AL13" si="4">AK13+1</f>
        <v>11</v>
      </c>
      <c r="AM13" s="724">
        <f t="shared" ref="AM13:AO13" si="5">AL13+1</f>
        <v>12</v>
      </c>
      <c r="AN13" s="732">
        <f t="shared" si="5"/>
        <v>13</v>
      </c>
      <c r="AO13" s="718">
        <f t="shared" si="5"/>
        <v>14</v>
      </c>
      <c r="AP13" s="718">
        <f t="shared" ref="AP13:AR13" si="6">AO13+1</f>
        <v>15</v>
      </c>
      <c r="AQ13" s="733">
        <f t="shared" si="6"/>
        <v>16</v>
      </c>
      <c r="AR13" s="723">
        <f t="shared" si="6"/>
        <v>17</v>
      </c>
      <c r="AS13" s="717">
        <f t="shared" ref="AS13" si="7">AR13+1</f>
        <v>18</v>
      </c>
      <c r="AT13" s="717">
        <f t="shared" ref="AT13" si="8">AS13+1</f>
        <v>19</v>
      </c>
      <c r="AU13" s="724">
        <f t="shared" ref="AU13:AW13" si="9">AT13+1</f>
        <v>20</v>
      </c>
      <c r="AV13" s="732">
        <f t="shared" si="9"/>
        <v>21</v>
      </c>
      <c r="AW13" s="718">
        <f t="shared" si="9"/>
        <v>22</v>
      </c>
      <c r="AX13" s="718">
        <f t="shared" ref="AX13:AZ13" si="10">AW13+1</f>
        <v>23</v>
      </c>
      <c r="AY13" s="733">
        <f t="shared" si="10"/>
        <v>24</v>
      </c>
      <c r="AZ13" s="723">
        <f t="shared" si="10"/>
        <v>25</v>
      </c>
      <c r="BA13" s="717">
        <f t="shared" ref="BA13" si="11">AZ13+1</f>
        <v>26</v>
      </c>
      <c r="BB13" s="717">
        <f t="shared" ref="BB13" si="12">BA13+1</f>
        <v>27</v>
      </c>
      <c r="BC13" s="724">
        <f t="shared" ref="BC13:BE13" si="13">BB13+1</f>
        <v>28</v>
      </c>
      <c r="BD13" s="732">
        <f t="shared" si="13"/>
        <v>29</v>
      </c>
      <c r="BE13" s="718">
        <f t="shared" si="13"/>
        <v>30</v>
      </c>
      <c r="BF13" s="718">
        <f t="shared" ref="BF13:BH13" si="14">BE13+1</f>
        <v>31</v>
      </c>
      <c r="BG13" s="733">
        <f t="shared" si="14"/>
        <v>32</v>
      </c>
      <c r="BH13" s="723">
        <f t="shared" si="14"/>
        <v>33</v>
      </c>
      <c r="BI13" s="717">
        <f t="shared" ref="BI13" si="15">BH13+1</f>
        <v>34</v>
      </c>
      <c r="BJ13" s="717">
        <f t="shared" ref="BJ13" si="16">BI13+1</f>
        <v>35</v>
      </c>
      <c r="BK13" s="724">
        <f t="shared" ref="BK13:BM13" si="17">BJ13+1</f>
        <v>36</v>
      </c>
      <c r="BL13" s="732">
        <f t="shared" si="17"/>
        <v>37</v>
      </c>
      <c r="BM13" s="718">
        <f t="shared" si="17"/>
        <v>38</v>
      </c>
      <c r="BN13" s="718">
        <f t="shared" ref="BN13:BP13" si="18">BM13+1</f>
        <v>39</v>
      </c>
      <c r="BO13" s="733">
        <f t="shared" si="18"/>
        <v>40</v>
      </c>
      <c r="BP13" s="723">
        <f t="shared" si="18"/>
        <v>41</v>
      </c>
      <c r="BQ13" s="717">
        <f t="shared" ref="BQ13" si="19">BP13+1</f>
        <v>42</v>
      </c>
      <c r="BR13" s="717">
        <f t="shared" ref="BR13" si="20">BQ13+1</f>
        <v>43</v>
      </c>
      <c r="BS13" s="724">
        <f t="shared" ref="BS13:BU13" si="21">BR13+1</f>
        <v>44</v>
      </c>
      <c r="BT13" s="732">
        <f t="shared" si="21"/>
        <v>45</v>
      </c>
      <c r="BU13" s="718">
        <f t="shared" si="21"/>
        <v>46</v>
      </c>
      <c r="BV13" s="718">
        <f t="shared" ref="BV13:BX13" si="22">BU13+1</f>
        <v>47</v>
      </c>
      <c r="BW13" s="733">
        <f t="shared" si="22"/>
        <v>48</v>
      </c>
      <c r="BX13" s="723">
        <f t="shared" si="22"/>
        <v>49</v>
      </c>
      <c r="BY13" s="717">
        <f t="shared" ref="BY13" si="23">BX13+1</f>
        <v>50</v>
      </c>
      <c r="BZ13" s="717">
        <f t="shared" ref="BZ13" si="24">BY13+1</f>
        <v>51</v>
      </c>
      <c r="CA13" s="724">
        <f t="shared" ref="CA13:EC13" si="25">BZ13+1</f>
        <v>52</v>
      </c>
      <c r="CB13" s="741">
        <f>CA13+1</f>
        <v>53</v>
      </c>
      <c r="CC13" s="715">
        <f t="shared" ref="CC13" si="26">CB13+1</f>
        <v>54</v>
      </c>
      <c r="CD13" s="715">
        <f t="shared" ref="CD13" si="27">CC13+1</f>
        <v>55</v>
      </c>
      <c r="CE13" s="742">
        <f t="shared" ref="CE13" si="28">CD13+1</f>
        <v>56</v>
      </c>
      <c r="CF13" s="744">
        <f>CE13+1</f>
        <v>57</v>
      </c>
      <c r="CG13" s="714">
        <f>CF13+1</f>
        <v>58</v>
      </c>
      <c r="CH13" s="714">
        <f t="shared" ref="CH13" si="29">CG13+1</f>
        <v>59</v>
      </c>
      <c r="CI13" s="745">
        <f>CH13+1</f>
        <v>60</v>
      </c>
      <c r="CJ13" s="732">
        <f t="shared" ref="CJ13" si="30">CI13+1</f>
        <v>61</v>
      </c>
      <c r="CK13" s="718">
        <f t="shared" ref="CK13" si="31">CJ13+1</f>
        <v>62</v>
      </c>
      <c r="CL13" s="718">
        <f t="shared" ref="CL13" si="32">CK13+1</f>
        <v>63</v>
      </c>
      <c r="CM13" s="733">
        <f t="shared" ref="CM13" si="33">CL13+1</f>
        <v>64</v>
      </c>
      <c r="CN13" s="723">
        <f t="shared" ref="CN13" si="34">CM13+1</f>
        <v>65</v>
      </c>
      <c r="CO13" s="717">
        <f t="shared" ref="CO13" si="35">CN13+1</f>
        <v>66</v>
      </c>
      <c r="CP13" s="717">
        <f t="shared" ref="CP13" si="36">CO13+1</f>
        <v>67</v>
      </c>
      <c r="CQ13" s="724">
        <f t="shared" ref="CQ13" si="37">CP13+1</f>
        <v>68</v>
      </c>
      <c r="CR13" s="732">
        <f t="shared" ref="CR13" si="38">CQ13+1</f>
        <v>69</v>
      </c>
      <c r="CS13" s="718">
        <f t="shared" ref="CS13" si="39">CR13+1</f>
        <v>70</v>
      </c>
      <c r="CT13" s="718">
        <f t="shared" ref="CT13" si="40">CS13+1</f>
        <v>71</v>
      </c>
      <c r="CU13" s="733">
        <f t="shared" ref="CU13" si="41">CT13+1</f>
        <v>72</v>
      </c>
      <c r="CV13" s="723">
        <f t="shared" ref="CV13" si="42">CU13+1</f>
        <v>73</v>
      </c>
      <c r="CW13" s="717">
        <f t="shared" ref="CW13" si="43">CV13+1</f>
        <v>74</v>
      </c>
      <c r="CX13" s="717">
        <f t="shared" ref="CX13" si="44">CW13+1</f>
        <v>75</v>
      </c>
      <c r="CY13" s="724">
        <f t="shared" ref="CY13" si="45">CX13+1</f>
        <v>76</v>
      </c>
      <c r="CZ13" s="732">
        <f t="shared" ref="CZ13" si="46">CY13+1</f>
        <v>77</v>
      </c>
      <c r="DA13" s="718">
        <f t="shared" ref="DA13" si="47">CZ13+1</f>
        <v>78</v>
      </c>
      <c r="DB13" s="718">
        <f t="shared" ref="DB13" si="48">DA13+1</f>
        <v>79</v>
      </c>
      <c r="DC13" s="733">
        <f t="shared" ref="DC13" si="49">DB13+1</f>
        <v>80</v>
      </c>
      <c r="DD13" s="723">
        <f t="shared" ref="DD13" si="50">DC13+1</f>
        <v>81</v>
      </c>
      <c r="DE13" s="717">
        <f t="shared" ref="DE13" si="51">DD13+1</f>
        <v>82</v>
      </c>
      <c r="DF13" s="717">
        <f t="shared" ref="DF13" si="52">DE13+1</f>
        <v>83</v>
      </c>
      <c r="DG13" s="724">
        <f t="shared" ref="DG13" si="53">DF13+1</f>
        <v>84</v>
      </c>
      <c r="DH13" s="732">
        <f t="shared" ref="DH13" si="54">DG13+1</f>
        <v>85</v>
      </c>
      <c r="DI13" s="718">
        <f t="shared" ref="DI13" si="55">DH13+1</f>
        <v>86</v>
      </c>
      <c r="DJ13" s="718">
        <f t="shared" ref="DJ13" si="56">DI13+1</f>
        <v>87</v>
      </c>
      <c r="DK13" s="733">
        <f t="shared" ref="DK13" si="57">DJ13+1</f>
        <v>88</v>
      </c>
      <c r="DL13" s="723">
        <f t="shared" ref="DL13" si="58">DK13+1</f>
        <v>89</v>
      </c>
      <c r="DM13" s="717">
        <f t="shared" ref="DM13" si="59">DL13+1</f>
        <v>90</v>
      </c>
      <c r="DN13" s="717">
        <f t="shared" ref="DN13" si="60">DM13+1</f>
        <v>91</v>
      </c>
      <c r="DO13" s="724">
        <f t="shared" ref="DO13" si="61">DN13+1</f>
        <v>92</v>
      </c>
      <c r="DP13" s="732">
        <f t="shared" ref="DP13" si="62">DO13+1</f>
        <v>93</v>
      </c>
      <c r="DQ13" s="718">
        <f t="shared" ref="DQ13" si="63">DP13+1</f>
        <v>94</v>
      </c>
      <c r="DR13" s="718">
        <f t="shared" ref="DR13" si="64">DQ13+1</f>
        <v>95</v>
      </c>
      <c r="DS13" s="733">
        <f t="shared" ref="DS13" si="65">DR13+1</f>
        <v>96</v>
      </c>
      <c r="DT13" s="723">
        <f t="shared" ref="DT13" si="66">DS13+1</f>
        <v>97</v>
      </c>
      <c r="DU13" s="717">
        <f t="shared" ref="DU13" si="67">DT13+1</f>
        <v>98</v>
      </c>
      <c r="DV13" s="717">
        <f t="shared" ref="DV13" si="68">DU13+1</f>
        <v>99</v>
      </c>
      <c r="DW13" s="724">
        <f t="shared" ref="DW13" si="69">DV13+1</f>
        <v>100</v>
      </c>
      <c r="DX13" s="732">
        <f t="shared" ref="DX13" si="70">DW13+1</f>
        <v>101</v>
      </c>
      <c r="DY13" s="718">
        <f t="shared" ref="DY13" si="71">DX13+1</f>
        <v>102</v>
      </c>
      <c r="DZ13" s="718">
        <f t="shared" ref="DZ13" si="72">DY13+1</f>
        <v>103</v>
      </c>
      <c r="EA13" s="733">
        <f t="shared" ref="EA13" si="73">DZ13+1</f>
        <v>104</v>
      </c>
      <c r="EB13" s="756">
        <f>EA13+1</f>
        <v>105</v>
      </c>
      <c r="EC13" s="716">
        <f t="shared" si="25"/>
        <v>106</v>
      </c>
      <c r="ED13" s="716">
        <f t="shared" ref="ED13:EE13" si="74">EC13+1</f>
        <v>107</v>
      </c>
      <c r="EE13" s="757">
        <f t="shared" si="74"/>
        <v>108</v>
      </c>
      <c r="EF13" s="465">
        <f>EE13+1</f>
        <v>109</v>
      </c>
      <c r="EG13" s="1548"/>
      <c r="EI13" s="1533"/>
      <c r="EO13" s="49"/>
    </row>
    <row r="14" spans="2:145" ht="18" thickBot="1" x14ac:dyDescent="0.35">
      <c r="B14" s="1608"/>
      <c r="C14" s="1609"/>
      <c r="D14" s="1609"/>
      <c r="E14" s="1609"/>
      <c r="F14" s="1611"/>
      <c r="H14" s="1515"/>
      <c r="I14" s="1516"/>
      <c r="L14" s="10" t="str">
        <f>IF(K13="SIM","1","0")</f>
        <v>1</v>
      </c>
      <c r="M14" s="10">
        <f>M12</f>
        <v>20</v>
      </c>
      <c r="N14" s="22"/>
      <c r="O14" s="22"/>
      <c r="P14" s="34"/>
      <c r="Q14" s="34"/>
      <c r="R14" s="9">
        <f>O13/(Q13)</f>
        <v>2.4013722126929675</v>
      </c>
      <c r="S14" s="528"/>
      <c r="W14">
        <v>1</v>
      </c>
      <c r="X14" s="398" t="str">
        <f>'NOME + Nº'!B35</f>
        <v>Tec. Externo</v>
      </c>
      <c r="Y14" s="398" t="str">
        <f>'NOME + Nº'!D35</f>
        <v>Aquablock</v>
      </c>
      <c r="Z14" s="399">
        <f>'NOME + Nº'!H35</f>
        <v>49.9</v>
      </c>
      <c r="AA14" s="474">
        <f>'NOME + Nº'!J35</f>
        <v>140</v>
      </c>
      <c r="AB14" s="746">
        <f>IF((M11=X14), S11, 0)</f>
        <v>8.5827999999999989</v>
      </c>
      <c r="AC14" s="719">
        <f>IF((M13=X14), S13, 0)</f>
        <v>0</v>
      </c>
      <c r="AD14" s="719">
        <f>IF((M15=X14), S15, 0)</f>
        <v>0</v>
      </c>
      <c r="AE14" s="726">
        <f>IF((M17=X14), S17, 0)</f>
        <v>0</v>
      </c>
      <c r="AF14" s="725">
        <f>IF((M20=X14), S20, 0)</f>
        <v>0</v>
      </c>
      <c r="AG14" s="719">
        <f>IF((M22=X14), S22, 0)</f>
        <v>0</v>
      </c>
      <c r="AH14" s="719">
        <f>IF((M24=X14), S24, 0)</f>
        <v>0</v>
      </c>
      <c r="AI14" s="726">
        <f>IF((M26=X14), S26, 0)</f>
        <v>0</v>
      </c>
      <c r="AJ14" s="725">
        <f>IF((M29=X14), S29, 0)</f>
        <v>0</v>
      </c>
      <c r="AK14" s="719">
        <f>IF((M31=X14), S31, 0)</f>
        <v>0</v>
      </c>
      <c r="AL14" s="719">
        <f>IF((M33=X14), S33, 0)</f>
        <v>0</v>
      </c>
      <c r="AM14" s="726">
        <f>IF((M35=X14), S35, 0)</f>
        <v>0</v>
      </c>
      <c r="AN14" s="725">
        <f>IF((M38=X14), S38, 0)</f>
        <v>0</v>
      </c>
      <c r="AO14" s="719">
        <f>IF((M40=X14), S40, 0)</f>
        <v>0</v>
      </c>
      <c r="AP14" s="719">
        <f>IF((M42=X14), S42, 0)</f>
        <v>0</v>
      </c>
      <c r="AQ14" s="726">
        <f>IF((M44=X14), S44, 0)</f>
        <v>0</v>
      </c>
      <c r="AR14" s="725">
        <f>IF((M47=X14), S47, 0)</f>
        <v>0</v>
      </c>
      <c r="AS14" s="719">
        <f>IF((M49=X14), S49, 0)</f>
        <v>0</v>
      </c>
      <c r="AT14" s="719">
        <f>IF((M51=X14), S51, 0)</f>
        <v>0</v>
      </c>
      <c r="AU14" s="726">
        <f>IF((M53=X14), S53, 0)</f>
        <v>0</v>
      </c>
      <c r="AV14" s="725">
        <f>IF((M56=X14), S56, 0)</f>
        <v>0</v>
      </c>
      <c r="AW14" s="719">
        <f>IF((M58=X14), S58, 0)</f>
        <v>0</v>
      </c>
      <c r="AX14" s="719">
        <f>IF((M60=X14), S60, 0)</f>
        <v>0</v>
      </c>
      <c r="AY14" s="726">
        <f>IF((M62=X14), S62, 0)</f>
        <v>0</v>
      </c>
      <c r="AZ14" s="725">
        <f>IF((M65=X14), S65, 0)</f>
        <v>0</v>
      </c>
      <c r="BA14" s="719">
        <f>IF((M67=X14), S67, 0)</f>
        <v>0</v>
      </c>
      <c r="BB14" s="719">
        <f>IF((M69=X14), S69, 0)</f>
        <v>0</v>
      </c>
      <c r="BC14" s="726">
        <f>IF((M71=X14), S71, 0)</f>
        <v>0</v>
      </c>
      <c r="BD14" s="725">
        <f>IF((M74=X14), S74, 0)</f>
        <v>0</v>
      </c>
      <c r="BE14" s="719">
        <f>IF((M76=X14), S76, 0)</f>
        <v>0</v>
      </c>
      <c r="BF14" s="719">
        <f>IF((M78=X14), S78, 0)</f>
        <v>0</v>
      </c>
      <c r="BG14" s="726">
        <f>IF((M80=X14), S80, 0)</f>
        <v>0</v>
      </c>
      <c r="BH14" s="725">
        <f>IF((M83=X14), S83, 0)</f>
        <v>0</v>
      </c>
      <c r="BI14" s="719">
        <f>IF((M85=X14), S85, 0)</f>
        <v>0</v>
      </c>
      <c r="BJ14" s="719">
        <f>IF((M87=X14), S87, 0)</f>
        <v>0</v>
      </c>
      <c r="BK14" s="726">
        <f>IF((M89=X14), S89, 0)</f>
        <v>0</v>
      </c>
      <c r="BL14" s="725">
        <f>IF((M92=X14), S92, 0)</f>
        <v>0</v>
      </c>
      <c r="BM14" s="719">
        <f>IF((M94=X14), S94, 0)</f>
        <v>0</v>
      </c>
      <c r="BN14" s="719">
        <f>IF((M96=X14), S96, 0)</f>
        <v>0</v>
      </c>
      <c r="BO14" s="726">
        <f>IF((M98=X14), S98, 0)</f>
        <v>0</v>
      </c>
      <c r="BP14" s="725">
        <f>IF((M101=X14), S101, 0)</f>
        <v>0</v>
      </c>
      <c r="BQ14" s="719">
        <f>IF((M103=X14), S103, 0)</f>
        <v>0</v>
      </c>
      <c r="BR14" s="719">
        <f>IF((M105=X14), S105, 0)</f>
        <v>0</v>
      </c>
      <c r="BS14" s="726">
        <f>IF((M107=X14), S107, 0)</f>
        <v>0</v>
      </c>
      <c r="BT14" s="725">
        <f>IF((M110=X14), S110, 0)</f>
        <v>0</v>
      </c>
      <c r="BU14" s="719">
        <f>IF((M112=X14), S112, 0)</f>
        <v>0</v>
      </c>
      <c r="BV14" s="719">
        <f>IF((M114=X14), S114, 0)</f>
        <v>0</v>
      </c>
      <c r="BW14" s="726">
        <f>IF((M116=X14), S116, 0)</f>
        <v>0</v>
      </c>
      <c r="BX14" s="725">
        <f>IF((M119=X14), S119, 0)</f>
        <v>0</v>
      </c>
      <c r="BY14" s="719">
        <f>IF((M121=X14), S121, 0)</f>
        <v>0</v>
      </c>
      <c r="BZ14" s="719">
        <f>IF((M123=X14), S123, 0)</f>
        <v>0</v>
      </c>
      <c r="CA14" s="726">
        <f>IF((M125=X14), S125, 0)</f>
        <v>0</v>
      </c>
      <c r="CB14" s="746">
        <f>IF((M128=X14), S128, 0)</f>
        <v>0</v>
      </c>
      <c r="CC14" s="719">
        <f>IF((M130=X14), S130, 0)</f>
        <v>0</v>
      </c>
      <c r="CD14" s="719">
        <f>IF((M132=X14), S132, 0)</f>
        <v>0</v>
      </c>
      <c r="CE14" s="726">
        <f>IF((M134=X14), S134, 0)</f>
        <v>0</v>
      </c>
      <c r="CF14" s="725">
        <f>IF((M137=X14), S137, 0)</f>
        <v>0</v>
      </c>
      <c r="CG14" s="719">
        <f>IF((M139=X14), S139, 0)</f>
        <v>0</v>
      </c>
      <c r="CH14" s="719">
        <f>IF((M141=X14), S141, 0)</f>
        <v>0</v>
      </c>
      <c r="CI14" s="726">
        <f>IF((M143=X14),S143, 0)</f>
        <v>0</v>
      </c>
      <c r="CJ14" s="725">
        <f>IF((M146=X14), S146, 0)</f>
        <v>0</v>
      </c>
      <c r="CK14" s="719">
        <f>IF((M148=X14), S148, 0)</f>
        <v>0</v>
      </c>
      <c r="CL14" s="719">
        <f>IF((M150=X14), S150, 0)</f>
        <v>0</v>
      </c>
      <c r="CM14" s="726">
        <f>IF((M152=X14), S152, 0)</f>
        <v>0</v>
      </c>
      <c r="CN14" s="725">
        <f>IF((M155=X14), S155, 0)</f>
        <v>0</v>
      </c>
      <c r="CO14" s="719">
        <f>IF((M157=X14), S157, 0)</f>
        <v>0</v>
      </c>
      <c r="CP14" s="719">
        <f>IF((M159=X14), S159, 0)</f>
        <v>0</v>
      </c>
      <c r="CQ14" s="726">
        <f>IF((M161=X14), S161, 0)</f>
        <v>0</v>
      </c>
      <c r="CR14" s="725">
        <f>IF((M164=X14), S164, 0)</f>
        <v>0</v>
      </c>
      <c r="CS14" s="719">
        <f>IF((M166=X14), S166, 0)</f>
        <v>0</v>
      </c>
      <c r="CT14" s="719">
        <f>IF((M168=X14), S168, 0)</f>
        <v>0</v>
      </c>
      <c r="CU14" s="726">
        <f>IF((M170=X14), S170, 0)</f>
        <v>0</v>
      </c>
      <c r="CV14" s="725">
        <f>IF((M173=X14), S173, 0)</f>
        <v>0</v>
      </c>
      <c r="CW14" s="719">
        <f>IF((M175=X14), S175, 0)</f>
        <v>0</v>
      </c>
      <c r="CX14" s="719">
        <f>IF((M177=X14), S177, 0)</f>
        <v>0</v>
      </c>
      <c r="CY14" s="726">
        <f>IF((M179=X14), S179, 0)</f>
        <v>0</v>
      </c>
      <c r="CZ14" s="725">
        <f>IF((M182=X14), S182, 0)</f>
        <v>0</v>
      </c>
      <c r="DA14" s="719">
        <f>IF((M184=X14), S184, 0)</f>
        <v>0</v>
      </c>
      <c r="DB14" s="719">
        <f>IF((M186=X14), S186, 0)</f>
        <v>0</v>
      </c>
      <c r="DC14" s="726">
        <f>IF((M188=X14), S188, 0)</f>
        <v>0</v>
      </c>
      <c r="DD14" s="725">
        <f>IF((M191=X14), S191, 0)</f>
        <v>0</v>
      </c>
      <c r="DE14" s="719">
        <f>IF((M193=X14), S193, 0)</f>
        <v>0</v>
      </c>
      <c r="DF14" s="719">
        <f>IF((M195=X14), S195, 0)</f>
        <v>0</v>
      </c>
      <c r="DG14" s="726">
        <f>IF((M197=X14), S197, 0)</f>
        <v>0</v>
      </c>
      <c r="DH14" s="725">
        <f>IF((M200=X14), S200, 0)</f>
        <v>0</v>
      </c>
      <c r="DI14" s="719">
        <f>IF((M202=X14), S202, 0)</f>
        <v>0</v>
      </c>
      <c r="DJ14" s="719">
        <f>IF((M204=X14), S204, 0)</f>
        <v>0</v>
      </c>
      <c r="DK14" s="726">
        <f>IF((M206=X14), S206, 0)</f>
        <v>0</v>
      </c>
      <c r="DL14" s="725">
        <f>IF((M209=X14), S209, 0)</f>
        <v>0</v>
      </c>
      <c r="DM14" s="719">
        <f>IF((M211=X14), S211, 0)</f>
        <v>0</v>
      </c>
      <c r="DN14" s="719">
        <f>IF((M213=X14), S213, 0)</f>
        <v>0</v>
      </c>
      <c r="DO14" s="726">
        <f>IF((M215=X14), S215, 0)</f>
        <v>0</v>
      </c>
      <c r="DP14" s="725">
        <f>IF((M218=X14), S218, 0)</f>
        <v>0</v>
      </c>
      <c r="DQ14" s="719">
        <f>IF((M220=X14), S220, 0)</f>
        <v>0</v>
      </c>
      <c r="DR14" s="719">
        <f>IF((M222=X14), S222, 0)</f>
        <v>0</v>
      </c>
      <c r="DS14" s="726">
        <f>IF((M224=X14), S224, 0)</f>
        <v>0</v>
      </c>
      <c r="DT14" s="725">
        <f>IF((M227=X14), S227, 0)</f>
        <v>0</v>
      </c>
      <c r="DU14" s="719">
        <f>IF((M229=X14), S229, 0)</f>
        <v>0</v>
      </c>
      <c r="DV14" s="719">
        <f>IF((M231=X14), S231, 0)</f>
        <v>0</v>
      </c>
      <c r="DW14" s="726">
        <f>IF((M233=X14), S233, 0)</f>
        <v>0</v>
      </c>
      <c r="DX14" s="725">
        <f>IF((M236=X14), S236, 0)</f>
        <v>0</v>
      </c>
      <c r="DY14" s="719">
        <f>IF((M238=X14), S238, 0)</f>
        <v>0</v>
      </c>
      <c r="DZ14" s="719">
        <f>IF((M240=X14), S240, 0)</f>
        <v>0</v>
      </c>
      <c r="EA14" s="726">
        <f>IF((M242=X14), S242, 0)</f>
        <v>0</v>
      </c>
      <c r="EB14" s="467">
        <f>IF('NOME + Nº'!E62="SIM",0,IF((M259=X14), V259+IF(H259="SIM",IF((P259=X14),SUM(V260:V263), 0)), IF(H259="SIM",IF((P259=X14),SUM(V260:V263), 0))))</f>
        <v>0.36397647058823529</v>
      </c>
      <c r="EC14" s="416">
        <f>IF('NOME + Nº'!E62="SIM",0,IF((M266=X14), V266+IF(H259="SIM",IF((P266=X14),SUM(V267:V270), 0)), IF(H259="SIM",IF((P266=X14),SUM(V267:V270), 0))))</f>
        <v>0</v>
      </c>
      <c r="ED14" s="416">
        <f>IF('NOME + Nº'!E62="SIM",0,IF((M273=X14), V273+IF(H259="SIM",IF((P273=X14),SUM(V274:V277), 0)), IF(H259="SIM",IF((P273=X14),SUM(V274:V277), 0))))</f>
        <v>0</v>
      </c>
      <c r="EE14" s="468">
        <f>IF('NOME + Nº'!E62="SIM",0,IF((M280=X14), V280+IF(H259="SIM",IF((P280=X14),SUM(V281:V284), 0)), IF(H259="SIM",IF((P280=X14),SUM(V281:V284), 0))))</f>
        <v>0</v>
      </c>
      <c r="EF14" s="418">
        <f>IF(AE33=X14,AE49,0)</f>
        <v>0</v>
      </c>
      <c r="EG14" s="478">
        <f>SUM(AB14:EF14)</f>
        <v>8.9467764705882349</v>
      </c>
      <c r="EI14" s="402">
        <f>SUM(EB14:EE14)</f>
        <v>0.36397647058823529</v>
      </c>
      <c r="EO14" s="49"/>
    </row>
    <row r="15" spans="2:145" ht="15.75" thickBot="1" x14ac:dyDescent="0.3">
      <c r="H15" s="1515"/>
      <c r="I15" s="1516"/>
      <c r="J15" s="527">
        <f t="shared" ref="J15:J17" si="75">J13+1</f>
        <v>3</v>
      </c>
      <c r="K15" s="322" t="s">
        <v>61</v>
      </c>
      <c r="L15" s="747">
        <v>1</v>
      </c>
      <c r="M15" s="747" t="s">
        <v>927</v>
      </c>
      <c r="N15" s="748">
        <f>IF((M15=X14),Z14,(IF((M15=X15),Z15,(IF((M15=X16),Z16,(IF((M15=X17),Z17,(IF((M15=X18),Z18,(IF((M15=X19),Z19,(IF((M15=X20),Z20)))))))))))))</f>
        <v>7.9</v>
      </c>
      <c r="O15" s="749">
        <f>IF((M15=X14),AA14,(IF((M15=X15),AA15,(IF((M15=X16),AA16,(IF((M15=X17),AA17,(IF((M15=X18),AA18,(IF((M15=X19),AA19,(IF((M15=X20),AA20)))))))))))))</f>
        <v>140</v>
      </c>
      <c r="P15" s="750">
        <f>P13</f>
        <v>34.4</v>
      </c>
      <c r="Q15" s="750">
        <f>Q13</f>
        <v>58.3</v>
      </c>
      <c r="R15" s="751">
        <f>IF(R16&lt;(M16*L15), INT(R16),(M16*L15))</f>
        <v>2</v>
      </c>
      <c r="S15" s="752">
        <f>IF(K15="SIM",(N15*L15*(P15/100)/R15)*L16,0)</f>
        <v>1.3588</v>
      </c>
      <c r="T15" s="390">
        <f>R16*L16</f>
        <v>2.4013722126929675</v>
      </c>
      <c r="W15">
        <v>2</v>
      </c>
      <c r="X15" s="411" t="str">
        <f>'NOME + Nº'!B23</f>
        <v>Entretela</v>
      </c>
      <c r="Y15" s="411">
        <f>'NOME + Nº'!D36</f>
        <v>80</v>
      </c>
      <c r="Z15" s="412">
        <f>'NOME + Nº'!H36</f>
        <v>16</v>
      </c>
      <c r="AA15" s="475">
        <f>'NOME + Nº'!J36</f>
        <v>75</v>
      </c>
      <c r="AB15" s="734">
        <f>IF((M11=X15), S11, 0)</f>
        <v>0</v>
      </c>
      <c r="AC15" s="720">
        <f>IF((M13=X15), S13, 0)</f>
        <v>0</v>
      </c>
      <c r="AD15" s="720">
        <f>IF((M15=X15), S15, 0)</f>
        <v>0</v>
      </c>
      <c r="AE15" s="735">
        <f>IF((M17=X15), S17, 0)</f>
        <v>0</v>
      </c>
      <c r="AF15" s="734">
        <f>IF((M20=X15), S20, 0)</f>
        <v>0</v>
      </c>
      <c r="AG15" s="720">
        <f>IF((M22=X15), S22, 0)</f>
        <v>0</v>
      </c>
      <c r="AH15" s="720">
        <f>IF((M24=X15), S24, 0)</f>
        <v>0</v>
      </c>
      <c r="AI15" s="735">
        <f>IF((M26=X15), S26, 0)</f>
        <v>0</v>
      </c>
      <c r="AJ15" s="734">
        <f>IF((M29=X15), S29, 0)</f>
        <v>0</v>
      </c>
      <c r="AK15" s="720">
        <f>IF((M31=X15), S31, 0)</f>
        <v>0</v>
      </c>
      <c r="AL15" s="720">
        <f>IF((M33=X15), S33, 0)</f>
        <v>0</v>
      </c>
      <c r="AM15" s="735">
        <f>IF((M35=X15), S35, 0)</f>
        <v>0</v>
      </c>
      <c r="AN15" s="734">
        <f>IF((M38=X15), S38, 0)</f>
        <v>0</v>
      </c>
      <c r="AO15" s="720">
        <f>IF((M40=X15), S40, 0)</f>
        <v>0</v>
      </c>
      <c r="AP15" s="720">
        <f>IF((M42=X15), S42, 0)</f>
        <v>0</v>
      </c>
      <c r="AQ15" s="735">
        <f>IF((M44=X15), S44, 0)</f>
        <v>0</v>
      </c>
      <c r="AR15" s="734">
        <f>IF((M47=X15), S47, 0)</f>
        <v>0</v>
      </c>
      <c r="AS15" s="720">
        <f>IF((M49=X15), S49, 0)</f>
        <v>0</v>
      </c>
      <c r="AT15" s="720">
        <f>IF((M51=X15), S51, 0)</f>
        <v>0</v>
      </c>
      <c r="AU15" s="735">
        <f>IF((M53=X15), S53, 0)</f>
        <v>0</v>
      </c>
      <c r="AV15" s="727">
        <f>IF((M56=X15), S56, 0)</f>
        <v>0</v>
      </c>
      <c r="AW15" s="721">
        <f>IF((M58=X15), S58, 0)</f>
        <v>0</v>
      </c>
      <c r="AX15" s="721">
        <f>IF((M60=X15), S60, 0)</f>
        <v>0</v>
      </c>
      <c r="AY15" s="728">
        <f>IF((M62=X15), S62, 0)</f>
        <v>0</v>
      </c>
      <c r="AZ15" s="727">
        <f>IF((M65=X15), S65, 0)</f>
        <v>0</v>
      </c>
      <c r="BA15" s="721">
        <f>IF((M67=X15), S67, 0)</f>
        <v>0</v>
      </c>
      <c r="BB15" s="721">
        <f>IF((M69=X15), S69, 0)</f>
        <v>0</v>
      </c>
      <c r="BC15" s="728">
        <f>IF((M71=X15), S71, 0)</f>
        <v>0</v>
      </c>
      <c r="BD15" s="727">
        <f>IF((M74=X15), S74, 0)</f>
        <v>0</v>
      </c>
      <c r="BE15" s="721">
        <f>IF((M76=X15), S76, 0)</f>
        <v>0</v>
      </c>
      <c r="BF15" s="721">
        <f>IF((M78=X15), S78, 0)</f>
        <v>0</v>
      </c>
      <c r="BG15" s="728">
        <f>IF((M80=X15), S80, 0)</f>
        <v>0</v>
      </c>
      <c r="BH15" s="727">
        <f>IF((M83=X15), S83, 0)</f>
        <v>0</v>
      </c>
      <c r="BI15" s="721">
        <f>IF((M85=X15), S85, 0)</f>
        <v>0</v>
      </c>
      <c r="BJ15" s="721">
        <f>IF((M87=X15), S87, 0)</f>
        <v>0</v>
      </c>
      <c r="BK15" s="728">
        <f>IF((M89=X15), S89, 0)</f>
        <v>0</v>
      </c>
      <c r="BL15" s="727">
        <f>IF((M92=X15), S92, 0)</f>
        <v>0</v>
      </c>
      <c r="BM15" s="721">
        <f>IF((M94=X15), S94, 0)</f>
        <v>0</v>
      </c>
      <c r="BN15" s="721">
        <f>IF((M96=X15), S96, 0)</f>
        <v>0</v>
      </c>
      <c r="BO15" s="728">
        <f>IF((M98=X15), S98, 0)</f>
        <v>0</v>
      </c>
      <c r="BP15" s="727">
        <f>IF((M101=X15), S101, 0)</f>
        <v>0</v>
      </c>
      <c r="BQ15" s="721">
        <f>IF((M103=X15), S103, 0)</f>
        <v>0</v>
      </c>
      <c r="BR15" s="721">
        <f>IF((M105=X15), S105, 0)</f>
        <v>0</v>
      </c>
      <c r="BS15" s="728">
        <f>IF((M107=X15), S107, 0)</f>
        <v>0</v>
      </c>
      <c r="BT15" s="727">
        <f>IF((M110=X15), S110, 0)</f>
        <v>0</v>
      </c>
      <c r="BU15" s="721">
        <f>IF((M112=X15), S112, 0)</f>
        <v>0</v>
      </c>
      <c r="BV15" s="721">
        <f>IF((M114=X15), S114, 0)</f>
        <v>0</v>
      </c>
      <c r="BW15" s="728">
        <f>IF((M116=X15), S116, 0)</f>
        <v>0</v>
      </c>
      <c r="BX15" s="727">
        <f>IF((M119=X15), S119, 0)</f>
        <v>0</v>
      </c>
      <c r="BY15" s="721">
        <f>IF((M121=X15), S121, 0)</f>
        <v>0</v>
      </c>
      <c r="BZ15" s="721">
        <f>IF((M123=X15), S123, 0)</f>
        <v>0</v>
      </c>
      <c r="CA15" s="728">
        <f>IF((M125=X15), S125, 0)</f>
        <v>0</v>
      </c>
      <c r="CB15" s="734">
        <f>IF((M128=X15), S128, 0)</f>
        <v>0</v>
      </c>
      <c r="CC15" s="720">
        <f>IF((M130=X15), S130, 0)</f>
        <v>0</v>
      </c>
      <c r="CD15" s="720">
        <f>IF((M132=X15), S132, 0)</f>
        <v>0</v>
      </c>
      <c r="CE15" s="735">
        <f>IF((M134=X15), S134, 0)</f>
        <v>0</v>
      </c>
      <c r="CF15" s="734">
        <f>IF((M137=X15), S137, 0)</f>
        <v>0</v>
      </c>
      <c r="CG15" s="720">
        <f>IF((M139=X15), S139, 0)</f>
        <v>0</v>
      </c>
      <c r="CH15" s="720">
        <f>IF((M141=X15), S141, 0)</f>
        <v>0</v>
      </c>
      <c r="CI15" s="735">
        <f>IF((M143=X15), S143, 0)</f>
        <v>0</v>
      </c>
      <c r="CJ15" s="734">
        <f>IF((M146=X15), S146, 0)</f>
        <v>0</v>
      </c>
      <c r="CK15" s="720">
        <f>IF((M148=X15), S148, 0)</f>
        <v>0</v>
      </c>
      <c r="CL15" s="720">
        <f>IF((M150=X15), S150, 0)</f>
        <v>0</v>
      </c>
      <c r="CM15" s="735">
        <f>IF((M152=X15), S152, 0)</f>
        <v>0</v>
      </c>
      <c r="CN15" s="734">
        <f>IF((M155=X15), S155, 0)</f>
        <v>0</v>
      </c>
      <c r="CO15" s="720">
        <f>IF((M157=X15), S157, 0)</f>
        <v>0</v>
      </c>
      <c r="CP15" s="720">
        <f>IF((M159=X15), S159, 0)</f>
        <v>0</v>
      </c>
      <c r="CQ15" s="735">
        <f>IF((M161=X15), S161, 0)</f>
        <v>0</v>
      </c>
      <c r="CR15" s="734">
        <f>IF((M164=X15), S164, 0)</f>
        <v>0</v>
      </c>
      <c r="CS15" s="720">
        <f>IF((M166=X15), S166, 0)</f>
        <v>0</v>
      </c>
      <c r="CT15" s="720">
        <f>IF((M168=X15), S168, 0)</f>
        <v>0</v>
      </c>
      <c r="CU15" s="735">
        <f>IF((M170=X15), S170, 0)</f>
        <v>0</v>
      </c>
      <c r="CV15" s="727">
        <f>IF((M173=X15), S173, 0)</f>
        <v>0</v>
      </c>
      <c r="CW15" s="721">
        <f>IF((M175=X15), S175, 0)</f>
        <v>0</v>
      </c>
      <c r="CX15" s="721">
        <f>IF((M177=X15), S177, 0)</f>
        <v>0</v>
      </c>
      <c r="CY15" s="728">
        <f>IF((M179=X15), S179, 0)</f>
        <v>0</v>
      </c>
      <c r="CZ15" s="727">
        <f>IF((M182=X15), S182, 0)</f>
        <v>0</v>
      </c>
      <c r="DA15" s="721">
        <f>IF((M184=X15), S184, 0)</f>
        <v>0</v>
      </c>
      <c r="DB15" s="721">
        <f>IF((M186=X15), S186, 0)</f>
        <v>0</v>
      </c>
      <c r="DC15" s="728">
        <f>IF((M188=X15), S188, 0)</f>
        <v>0</v>
      </c>
      <c r="DD15" s="727">
        <f>IF((M191=X15), S191, 0)</f>
        <v>0</v>
      </c>
      <c r="DE15" s="721">
        <f>IF((M193=X15), S193, 0)</f>
        <v>0</v>
      </c>
      <c r="DF15" s="721">
        <f>IF((M195=X15), S195, 0)</f>
        <v>0</v>
      </c>
      <c r="DG15" s="728">
        <f>IF((M197=X15), S197, 0)</f>
        <v>0</v>
      </c>
      <c r="DH15" s="727">
        <f>IF((M200=X15), S200, 0)</f>
        <v>0</v>
      </c>
      <c r="DI15" s="721">
        <f>IF((M202=X15), S202, 0)</f>
        <v>0</v>
      </c>
      <c r="DJ15" s="721">
        <f>IF((M204=X15), S204, 0)</f>
        <v>0</v>
      </c>
      <c r="DK15" s="728">
        <f>IF((M206=X15), S206, 0)</f>
        <v>0</v>
      </c>
      <c r="DL15" s="727">
        <f>IF((M209=X15), S209, 0)</f>
        <v>0</v>
      </c>
      <c r="DM15" s="721">
        <f>IF((M211=X15), S211, 0)</f>
        <v>0</v>
      </c>
      <c r="DN15" s="721">
        <f>IF((M213=X15), S213, 0)</f>
        <v>0</v>
      </c>
      <c r="DO15" s="728">
        <f>IF((M215=X15), S215, 0)</f>
        <v>0</v>
      </c>
      <c r="DP15" s="727">
        <f>IF((M218=X15), S218, 0)</f>
        <v>0</v>
      </c>
      <c r="DQ15" s="721">
        <f>IF((M220=X15), S220, 0)</f>
        <v>0</v>
      </c>
      <c r="DR15" s="721">
        <f>IF((M222=X15), S222, 0)</f>
        <v>0</v>
      </c>
      <c r="DS15" s="728">
        <f>IF((M224=X15), S224, 0)</f>
        <v>0</v>
      </c>
      <c r="DT15" s="727">
        <f>IF((M227=X15), S227, 0)</f>
        <v>0</v>
      </c>
      <c r="DU15" s="721">
        <f>IF((M229=X15), S229, 0)</f>
        <v>0</v>
      </c>
      <c r="DV15" s="721">
        <f>IF((M231=X15), S231, 0)</f>
        <v>0</v>
      </c>
      <c r="DW15" s="728">
        <f>IF((M233=X15), S233, 0)</f>
        <v>0</v>
      </c>
      <c r="DX15" s="727">
        <f>IF((M236=X15), S236, 0)</f>
        <v>0</v>
      </c>
      <c r="DY15" s="721">
        <f>IF((M238=X15), S238, 0)</f>
        <v>0</v>
      </c>
      <c r="DZ15" s="721">
        <f>IF((M240=X15), S240, 0)</f>
        <v>0</v>
      </c>
      <c r="EA15" s="728">
        <f>IF((M242=X15), S242, 0)</f>
        <v>0</v>
      </c>
      <c r="EB15" s="469">
        <f>IF('NOME + Nº'!E62="SIM",0,IF((M259=X15),V259+IF(H259="SIM",IF((P259=X15),SUM(V260:V263), 0)), IF(H259="SIM",IF((P259=X15),SUM(V260:V263), 0))))</f>
        <v>0.22044444444444444</v>
      </c>
      <c r="EC15" s="417">
        <f>IF('NOME + Nº'!E62="SIM",0,IF((M266=X15), V266+IF(H259="SIM",IF((P266=X15),SUM(V267:V270), 0)), IF(H259="SIM",IF((P266=X15),SUM(V267:V270), 0))))</f>
        <v>0.14666666666666667</v>
      </c>
      <c r="ED15" s="417">
        <f>IF('NOME + Nº'!E62="SIM",0,IF((M273=X15), V273+IF(H259="SIM",IF((P273=X15),SUM(V274:V277), 0)), IF(H259="SIM",IF((P273=X15),SUM(V274:V277), 0))))</f>
        <v>0</v>
      </c>
      <c r="EE15" s="470">
        <f>IF('NOME + Nº'!E62="SIM",0,IF((M280=X15), V280+IF(H259="SIM",IF((P280=X15),SUM(V281:V284), 0)), IF(H259="SIM",IF((P280=X15),SUM(V281:V284), 0))))</f>
        <v>0</v>
      </c>
      <c r="EF15" s="466">
        <f>IF(AE33=X15,AE49,0)</f>
        <v>0</v>
      </c>
      <c r="EG15" s="478">
        <f>IF('NOME + Nº'!D23="SIM",SUM(AB15:EF15),0)</f>
        <v>0</v>
      </c>
      <c r="EI15" s="402">
        <f>SUM(EB15:EE15)</f>
        <v>0.36711111111111111</v>
      </c>
      <c r="EO15" s="49"/>
    </row>
    <row r="16" spans="2:145" x14ac:dyDescent="0.25">
      <c r="B16" s="1623" t="s">
        <v>252</v>
      </c>
      <c r="C16" s="1624"/>
      <c r="D16" s="1624"/>
      <c r="E16" s="1624"/>
      <c r="F16" s="1625"/>
      <c r="H16" s="1515"/>
      <c r="I16" s="1516"/>
      <c r="L16" s="10" t="str">
        <f>IF(K15="SIM","1","0")</f>
        <v>1</v>
      </c>
      <c r="M16" s="10">
        <f>M14</f>
        <v>20</v>
      </c>
      <c r="N16" s="22"/>
      <c r="O16" s="22"/>
      <c r="P16" s="34"/>
      <c r="Q16" s="34"/>
      <c r="R16" s="9">
        <f>O15/(Q15)</f>
        <v>2.4013722126929675</v>
      </c>
      <c r="T16"/>
      <c r="W16">
        <v>3</v>
      </c>
      <c r="X16" s="413" t="str">
        <f>'NOME + Nº'!B24</f>
        <v>Forro</v>
      </c>
      <c r="Y16" s="413" t="str">
        <f>'NOME + Nº'!D37</f>
        <v>Suede</v>
      </c>
      <c r="Z16" s="414">
        <f>'NOME + Nº'!H37</f>
        <v>19.899999999999999</v>
      </c>
      <c r="AA16" s="476">
        <f>'NOME + Nº'!J37</f>
        <v>140</v>
      </c>
      <c r="AB16" s="725">
        <f>IF((M11=X16), S11, 0)</f>
        <v>0</v>
      </c>
      <c r="AC16" s="719">
        <f>IF((M13=X16), S13, 0)</f>
        <v>0</v>
      </c>
      <c r="AD16" s="719">
        <f>IF((M15=X16), S15, 0)</f>
        <v>0</v>
      </c>
      <c r="AE16" s="726">
        <f>IF((M17=X16), S17, 0)</f>
        <v>0</v>
      </c>
      <c r="AF16" s="725">
        <f>IF((M20=X16), S20, 0)</f>
        <v>0</v>
      </c>
      <c r="AG16" s="719">
        <f>IF((M22=X16), S22, 0)</f>
        <v>0</v>
      </c>
      <c r="AH16" s="719">
        <f>IF((M24=X16), S24, 0)</f>
        <v>0</v>
      </c>
      <c r="AI16" s="726">
        <f>IF((M26=X16), S26, 0)</f>
        <v>0</v>
      </c>
      <c r="AJ16" s="725">
        <f>IF((M29=X16), S29, 0)</f>
        <v>0</v>
      </c>
      <c r="AK16" s="719">
        <f>IF((M31=X16), S31, 0)</f>
        <v>0</v>
      </c>
      <c r="AL16" s="719">
        <f>IF((M33=X16), S33, 0)</f>
        <v>0</v>
      </c>
      <c r="AM16" s="726">
        <f>IF((M35=X16), S35, 0)</f>
        <v>0</v>
      </c>
      <c r="AN16" s="725">
        <f>IF((M38=X16), S38, 0)</f>
        <v>0</v>
      </c>
      <c r="AO16" s="719">
        <f>IF((M40=X16), S40, 0)</f>
        <v>0</v>
      </c>
      <c r="AP16" s="719">
        <f>IF((M42=X16), S42, 0)</f>
        <v>0</v>
      </c>
      <c r="AQ16" s="726">
        <f>IF((M44=X16), S44, 0)</f>
        <v>0</v>
      </c>
      <c r="AR16" s="725">
        <f>IF((M47=X16), S47, 0)</f>
        <v>0</v>
      </c>
      <c r="AS16" s="719">
        <f>IF((M49=X16), S49, 0)</f>
        <v>0</v>
      </c>
      <c r="AT16" s="719">
        <f>IF((M51=X16), S51, 0)</f>
        <v>0</v>
      </c>
      <c r="AU16" s="726">
        <f>IF((M53=X16), S53, 0)</f>
        <v>0</v>
      </c>
      <c r="AV16" s="725">
        <f>IF((M56=X16), S56, 0)</f>
        <v>0</v>
      </c>
      <c r="AW16" s="719">
        <f>IF((M58=X16), S58, 0)</f>
        <v>0</v>
      </c>
      <c r="AX16" s="719">
        <f>IF((M60=X16), S60, 0)</f>
        <v>0</v>
      </c>
      <c r="AY16" s="726">
        <f>IF((M62=X16), S62, 0)</f>
        <v>0</v>
      </c>
      <c r="AZ16" s="725">
        <f>IF((M65=X16), S65,0)</f>
        <v>0</v>
      </c>
      <c r="BA16" s="719">
        <f>IF((M67=X16), S67, 0)</f>
        <v>0</v>
      </c>
      <c r="BB16" s="719">
        <f>IF((M69=X16), S69, 0)</f>
        <v>0</v>
      </c>
      <c r="BC16" s="726">
        <f>IF((M71=X16), S71, 0)</f>
        <v>0</v>
      </c>
      <c r="BD16" s="725">
        <f>IF((M74=X16), S74, 0)</f>
        <v>0</v>
      </c>
      <c r="BE16" s="719">
        <f>IF((M76=X16), S76, 0)</f>
        <v>0</v>
      </c>
      <c r="BF16" s="719">
        <f>IF((M78=X16), S78, 0)</f>
        <v>0</v>
      </c>
      <c r="BG16" s="726">
        <f>IF((M80=X16), S80, 0)</f>
        <v>0</v>
      </c>
      <c r="BH16" s="725">
        <f>IF((M83=X16), S83, 0)</f>
        <v>0</v>
      </c>
      <c r="BI16" s="719">
        <f>IF((M85=X16), S85, 0)</f>
        <v>0</v>
      </c>
      <c r="BJ16" s="719">
        <f>IF((M87=X16), S87, 0)</f>
        <v>0</v>
      </c>
      <c r="BK16" s="726">
        <f>IF((M89=X16), S89, 0)</f>
        <v>0</v>
      </c>
      <c r="BL16" s="725">
        <f>IF((M92=X16), S92, 0)</f>
        <v>0</v>
      </c>
      <c r="BM16" s="719">
        <f>IF((M94=X16), S94, 0)</f>
        <v>0</v>
      </c>
      <c r="BN16" s="719">
        <f>IF((M96=X16), S96, 0)</f>
        <v>0</v>
      </c>
      <c r="BO16" s="726">
        <f>IF((M98=X16), S98, 0)</f>
        <v>0</v>
      </c>
      <c r="BP16" s="725">
        <f>IF((M101=X16), S101, 0)</f>
        <v>0</v>
      </c>
      <c r="BQ16" s="719">
        <f>IF((M103=X16), S103, 0)</f>
        <v>0</v>
      </c>
      <c r="BR16" s="719">
        <f>IF((M105=X16), S105, 0)</f>
        <v>0</v>
      </c>
      <c r="BS16" s="726">
        <f>IF((M107=X16), S107, 0)</f>
        <v>0</v>
      </c>
      <c r="BT16" s="725">
        <f>IF((M110=X16), S110, 0)</f>
        <v>0</v>
      </c>
      <c r="BU16" s="719">
        <f>IF((M112=X16), S112, 0)</f>
        <v>0</v>
      </c>
      <c r="BV16" s="719">
        <f>IF((M114=X16), S114, 0)</f>
        <v>0</v>
      </c>
      <c r="BW16" s="726">
        <f>IF((M116=X16), S116, 0)</f>
        <v>0</v>
      </c>
      <c r="BX16" s="725">
        <f>IF((M119=X16), S119, 0)</f>
        <v>0</v>
      </c>
      <c r="BY16" s="719">
        <f>IF((M121=X16), S121, 0)</f>
        <v>0</v>
      </c>
      <c r="BZ16" s="719">
        <f>IF((M123=X16), S123, 0)</f>
        <v>0</v>
      </c>
      <c r="CA16" s="726">
        <f>IF((M125=X16), S125, 0)</f>
        <v>0</v>
      </c>
      <c r="CB16" s="725">
        <f>IF((M128=X16), S128, 0)</f>
        <v>0</v>
      </c>
      <c r="CC16" s="719">
        <f>IF((M130=X16), S130, 0)</f>
        <v>0</v>
      </c>
      <c r="CD16" s="719">
        <f>IF((M132=X16), S132, 0)</f>
        <v>0</v>
      </c>
      <c r="CE16" s="726">
        <f>IF((M134=X16), S134, 0)</f>
        <v>0</v>
      </c>
      <c r="CF16" s="725">
        <f>IF((M137=X16), S137, 0)</f>
        <v>0</v>
      </c>
      <c r="CG16" s="719">
        <f>IF((M139=X16), S139, 0)</f>
        <v>0</v>
      </c>
      <c r="CH16" s="719">
        <f>IF((M141=X16), S141, 0)</f>
        <v>0</v>
      </c>
      <c r="CI16" s="726">
        <f>IF((M143=X16), S143, 0)</f>
        <v>0</v>
      </c>
      <c r="CJ16" s="725">
        <f>IF((M146=X16), S146, 0)</f>
        <v>0</v>
      </c>
      <c r="CK16" s="719">
        <f>IF((M148=X16), S148, 0)</f>
        <v>0</v>
      </c>
      <c r="CL16" s="719">
        <f>IF((M150=X16), S150, 0)</f>
        <v>0</v>
      </c>
      <c r="CM16" s="726">
        <f>IF((M152=X16), S152, 0)</f>
        <v>0</v>
      </c>
      <c r="CN16" s="725">
        <f>IF((M155=X16), S155, 0)</f>
        <v>0</v>
      </c>
      <c r="CO16" s="719">
        <f>IF((M157=X16), S157, 0)</f>
        <v>0</v>
      </c>
      <c r="CP16" s="719">
        <f>IF((M159=X16), S159, 0)</f>
        <v>0</v>
      </c>
      <c r="CQ16" s="726">
        <f>IF((M161=X16), S161, 0)</f>
        <v>0</v>
      </c>
      <c r="CR16" s="725">
        <f>IF((M164=X16), S164, 0)</f>
        <v>0</v>
      </c>
      <c r="CS16" s="719">
        <f>IF((M166=X16), S166, 0)</f>
        <v>0</v>
      </c>
      <c r="CT16" s="719">
        <f>IF((M168=X16), S168, 0)</f>
        <v>0</v>
      </c>
      <c r="CU16" s="726">
        <f>IF((M170=X16), S170, 0)</f>
        <v>0</v>
      </c>
      <c r="CV16" s="725">
        <f>IF((M173=X16), S173, 0)</f>
        <v>0</v>
      </c>
      <c r="CW16" s="719">
        <f>IF((M175=X16), S175, 0)</f>
        <v>0</v>
      </c>
      <c r="CX16" s="719">
        <f>IF((M177=X16), S177, 0)</f>
        <v>0</v>
      </c>
      <c r="CY16" s="726">
        <f>IF((M179=X16), S179, 0)</f>
        <v>0</v>
      </c>
      <c r="CZ16" s="725">
        <f>IF((M182=X16), S182, 0)</f>
        <v>0</v>
      </c>
      <c r="DA16" s="719">
        <f>IF((M184=X16), S184, 0)</f>
        <v>0</v>
      </c>
      <c r="DB16" s="719">
        <f>IF((M186=X16), S186, 0)</f>
        <v>0</v>
      </c>
      <c r="DC16" s="726">
        <f>IF((M188=X16), S188, 0)</f>
        <v>0</v>
      </c>
      <c r="DD16" s="725">
        <f>IF((M191=X16), S191, 0)</f>
        <v>0</v>
      </c>
      <c r="DE16" s="719">
        <f>IF((M193=X16), S193, 0)</f>
        <v>0</v>
      </c>
      <c r="DF16" s="719">
        <f>IF((M195=X16), S195, 0)</f>
        <v>0</v>
      </c>
      <c r="DG16" s="726">
        <f>IF((M197=X16), S197, 0)</f>
        <v>0</v>
      </c>
      <c r="DH16" s="725">
        <f>IF((M200=X16), S200, 0)</f>
        <v>0</v>
      </c>
      <c r="DI16" s="719">
        <f>IF((M202=X16), S202, 0)</f>
        <v>0</v>
      </c>
      <c r="DJ16" s="719">
        <f>IF((M204=X16), S204, 0)</f>
        <v>0</v>
      </c>
      <c r="DK16" s="726">
        <f>IF((M206=X16), S206, 0)</f>
        <v>0</v>
      </c>
      <c r="DL16" s="725">
        <f>IF((M209=X16), S209, 0)</f>
        <v>0</v>
      </c>
      <c r="DM16" s="719">
        <f>IF((M211=X16), S211, 0)</f>
        <v>0</v>
      </c>
      <c r="DN16" s="719">
        <f>IF((M213=X16), S213, 0)</f>
        <v>0</v>
      </c>
      <c r="DO16" s="726">
        <f>IF((M215=X16), S215, 0)</f>
        <v>0</v>
      </c>
      <c r="DP16" s="725">
        <f>IF((M218=X16), S218, 0)</f>
        <v>0</v>
      </c>
      <c r="DQ16" s="719">
        <f>IF((M220=X16), S220, 0)</f>
        <v>0</v>
      </c>
      <c r="DR16" s="719">
        <f>IF((M222=X16), S222, 0)</f>
        <v>0</v>
      </c>
      <c r="DS16" s="726">
        <f>IF((M224=X16), S224, 0)</f>
        <v>0</v>
      </c>
      <c r="DT16" s="725">
        <f>IF((M227=X16), S227, 0)</f>
        <v>0</v>
      </c>
      <c r="DU16" s="719">
        <f>IF((M229=X16), S229, 0)</f>
        <v>0</v>
      </c>
      <c r="DV16" s="719">
        <f>IF((M231=X16), S231, 0)</f>
        <v>0</v>
      </c>
      <c r="DW16" s="726">
        <f>IF((M233=X16), S233, 0)</f>
        <v>0</v>
      </c>
      <c r="DX16" s="725">
        <f>IF((M236=X16), S236, 0)</f>
        <v>0</v>
      </c>
      <c r="DY16" s="719">
        <f>IF((M238=X16), S238, 0)</f>
        <v>0</v>
      </c>
      <c r="DZ16" s="719">
        <f>IF((M240=X16), S240, 0)</f>
        <v>0</v>
      </c>
      <c r="EA16" s="726">
        <f>IF((M242=X16), S242, 0)</f>
        <v>0</v>
      </c>
      <c r="EB16" s="467">
        <f>IF('NOME + Nº'!E62="SIM",0,IF((M259=X16),V259+IF(H259="SIM",IF((P259=X16),SUM(V260:V263), 0)), IF(H259="SIM",IF((P259=X16),SUM(V260:V263), 0))))</f>
        <v>0</v>
      </c>
      <c r="EC16" s="416">
        <f>IF('NOME + Nº'!E62="SIM",0,IF((M266=X16), V266+IF(H259="SIM",IF((P266=X16),SUM(V267:V270), 0)), IF(H259="SIM",IF((P266=X16),SUM(V267:V270), 0))))</f>
        <v>0</v>
      </c>
      <c r="ED16" s="416">
        <f>IF('NOME + Nº'!E62="SIM",0,IF((M273=X16), V273+IF(H259="SIM",IF((P273=X16),SUM(V274:V277), 0)), IF(H259="SIM",IF((P273=X16),SUM(V274:V277), 0))))</f>
        <v>0</v>
      </c>
      <c r="EE16" s="468">
        <f>IF('NOME + Nº'!E62="SIM",0,IF((M280=X16), V280+IF(H259="SIM",IF((P280=X16),SUM(V281:V284), 0)), IF(H259="SIM",IF((P280=X16),SUM(V281:V284), 0))))</f>
        <v>0</v>
      </c>
      <c r="EF16" s="418">
        <f>IF(AE33=X16,AE49,0)</f>
        <v>0</v>
      </c>
      <c r="EG16" s="478">
        <f>IF('NOME + Nº'!D24="SIM",SUM(AB16:EF16),0)</f>
        <v>0</v>
      </c>
      <c r="EI16" s="402">
        <f t="shared" ref="EI16:EI18" si="76">SUM(EB16:EE16)</f>
        <v>0</v>
      </c>
      <c r="EO16" s="49"/>
    </row>
    <row r="17" spans="2:145" ht="15.75" thickBot="1" x14ac:dyDescent="0.3">
      <c r="B17" s="1620" t="s">
        <v>253</v>
      </c>
      <c r="C17" s="1621"/>
      <c r="D17" s="1621"/>
      <c r="E17" s="1621"/>
      <c r="F17" s="426" t="s">
        <v>61</v>
      </c>
      <c r="H17" s="1517"/>
      <c r="I17" s="1518"/>
      <c r="J17" s="527">
        <f t="shared" si="75"/>
        <v>4</v>
      </c>
      <c r="K17" s="322" t="s">
        <v>189</v>
      </c>
      <c r="L17" s="747">
        <v>1</v>
      </c>
      <c r="M17" s="747" t="s">
        <v>927</v>
      </c>
      <c r="N17" s="748">
        <f>IF((M17=X14),Z14,(IF((M17=X15),Z15,(IF((M17=X16),Z16,(IF((M17=X17),Z17,(IF((M17=X18),Z18,(IF((M17=X19),Z19,(IF((M17=X20),Z20)))))))))))))</f>
        <v>7.9</v>
      </c>
      <c r="O17" s="749">
        <f>IF((M17=X14),AA14,(IF((M17=X15),AA15,(IF((M17=X16),AA16,(IF((M17=X17),AA17,(IF((M17=X18),AA18,(IF((M17=X19),AA19,(IF((M17=X20),AA20)))))))))))))</f>
        <v>140</v>
      </c>
      <c r="P17" s="750">
        <f>P15</f>
        <v>34.4</v>
      </c>
      <c r="Q17" s="750">
        <f>Q15</f>
        <v>58.3</v>
      </c>
      <c r="R17" s="751">
        <f>IF(R19&lt;(M19*L17), INT(R19),(M19*L17))</f>
        <v>2</v>
      </c>
      <c r="S17" s="752">
        <f>IF(K17="SIM",(N17*L17*(P17/100)/R17)*L19,0)</f>
        <v>0</v>
      </c>
      <c r="T17" s="390">
        <f>R19*L19</f>
        <v>0</v>
      </c>
      <c r="W17">
        <v>4</v>
      </c>
      <c r="X17" s="458" t="str">
        <f>'NOME + Nº'!B25</f>
        <v>Couro</v>
      </c>
      <c r="Y17" s="458" t="str">
        <f>'NOME + Nº'!D38</f>
        <v>Couro Legítimo Fly</v>
      </c>
      <c r="Z17" s="459">
        <f>'NOME + Nº'!H38</f>
        <v>74.900000000000006</v>
      </c>
      <c r="AA17" s="477">
        <f>'NOME + Nº'!J38</f>
        <v>100</v>
      </c>
      <c r="AB17" s="734">
        <f>IF((M11=X17), S11, 0)</f>
        <v>0</v>
      </c>
      <c r="AC17" s="720">
        <f>IF((M13=X17), S13, 0)</f>
        <v>0</v>
      </c>
      <c r="AD17" s="720">
        <f>IF((M15=X17), S15, 0)</f>
        <v>0</v>
      </c>
      <c r="AE17" s="735">
        <f>IF((M17=X17), S17, 0)</f>
        <v>0</v>
      </c>
      <c r="AF17" s="734">
        <f>IF((M20=X17), S20, 0)</f>
        <v>0</v>
      </c>
      <c r="AG17" s="720">
        <f>IF((M22=X17), S22, 0)</f>
        <v>0</v>
      </c>
      <c r="AH17" s="720">
        <f>IF((M24=X17), S24, 0)</f>
        <v>0</v>
      </c>
      <c r="AI17" s="735">
        <f>IF((M26=X17), S26, 0)</f>
        <v>0</v>
      </c>
      <c r="AJ17" s="734">
        <f>IF((M29=X17), S29, 0)</f>
        <v>0</v>
      </c>
      <c r="AK17" s="720">
        <f>IF((M31=X17), S31, 0)</f>
        <v>0</v>
      </c>
      <c r="AL17" s="720">
        <f>IF((M33=X17), S33, 0)</f>
        <v>0</v>
      </c>
      <c r="AM17" s="735">
        <f>IF((M35=X17), S35, 0)</f>
        <v>0</v>
      </c>
      <c r="AN17" s="734">
        <f>IF((M38=X17), S38, 0)</f>
        <v>0</v>
      </c>
      <c r="AO17" s="720">
        <f>IF((M40=X17), S40, 0)</f>
        <v>0</v>
      </c>
      <c r="AP17" s="720">
        <f>IF((M42=X17), S42, 0)</f>
        <v>0</v>
      </c>
      <c r="AQ17" s="735">
        <f>IF((M44=X17), S44, 0)</f>
        <v>0</v>
      </c>
      <c r="AR17" s="734">
        <f>IF((M47=X17), S47, 0)</f>
        <v>0</v>
      </c>
      <c r="AS17" s="720">
        <f>IF((M49=X17), S49, 0)</f>
        <v>0</v>
      </c>
      <c r="AT17" s="720">
        <f>IF((M51=X17), S51, 0)</f>
        <v>0</v>
      </c>
      <c r="AU17" s="735">
        <f>IF((M53=X17), S53, 0)</f>
        <v>0</v>
      </c>
      <c r="AV17" s="727">
        <f>IF((M56=X17), S56, 0)</f>
        <v>0</v>
      </c>
      <c r="AW17" s="721">
        <f>IF((M58=X17), S58, 0)</f>
        <v>0</v>
      </c>
      <c r="AX17" s="721">
        <f>IF((M60=X17), S60, 0)</f>
        <v>0</v>
      </c>
      <c r="AY17" s="728">
        <f>IF((M62=X17), S62, 0)</f>
        <v>0</v>
      </c>
      <c r="AZ17" s="727">
        <f>IF((M65=X17), S65, 0)</f>
        <v>0</v>
      </c>
      <c r="BA17" s="721">
        <f>IF((M67=X17), S67, 0)</f>
        <v>0</v>
      </c>
      <c r="BB17" s="721">
        <f>IF((M69=X17), S69, 0)</f>
        <v>0</v>
      </c>
      <c r="BC17" s="728">
        <f>IF((M71=X17), S71, 0)</f>
        <v>0</v>
      </c>
      <c r="BD17" s="727">
        <f>IF((M74=X17), S74, 0)</f>
        <v>0</v>
      </c>
      <c r="BE17" s="721">
        <f>IF((M76=X17), S76, 0)</f>
        <v>0</v>
      </c>
      <c r="BF17" s="721">
        <f>IF((M78=X17), S78, 0)</f>
        <v>0</v>
      </c>
      <c r="BG17" s="728">
        <f>IF((M80=X17), S80, 0)</f>
        <v>0</v>
      </c>
      <c r="BH17" s="727">
        <f>IF((M83=X17), S83, 0)</f>
        <v>0</v>
      </c>
      <c r="BI17" s="721">
        <f>IF((M85=X17), S85, 0)</f>
        <v>0</v>
      </c>
      <c r="BJ17" s="721">
        <f>IF((M87=X17), S87, 0)</f>
        <v>0</v>
      </c>
      <c r="BK17" s="728">
        <f>IF((M89=X17), S89, 0)</f>
        <v>0</v>
      </c>
      <c r="BL17" s="727">
        <f>IF((M92=X17), S92, 0)</f>
        <v>0</v>
      </c>
      <c r="BM17" s="721">
        <f>IF((M94=X17), S94, 0)</f>
        <v>0</v>
      </c>
      <c r="BN17" s="721">
        <f>IF((M96=X17), S96, 0)</f>
        <v>0</v>
      </c>
      <c r="BO17" s="728">
        <f>IF((M98=X17), S98, 0)</f>
        <v>0</v>
      </c>
      <c r="BP17" s="727">
        <f>IF((M101=X17), S101, 0)</f>
        <v>0</v>
      </c>
      <c r="BQ17" s="721">
        <f>IF((M103=X17), S103, 0)</f>
        <v>0</v>
      </c>
      <c r="BR17" s="721">
        <f>IF((M105=X17), S105, 0)</f>
        <v>0</v>
      </c>
      <c r="BS17" s="728">
        <f>IF((M107=X17), S107, 0)</f>
        <v>0</v>
      </c>
      <c r="BT17" s="727">
        <f>IF((M110=X17), S110, 0)</f>
        <v>0</v>
      </c>
      <c r="BU17" s="721">
        <f>IF((M112=X17), S112, 0)</f>
        <v>0</v>
      </c>
      <c r="BV17" s="721">
        <f>IF((M114=X17), S114, 0)</f>
        <v>0</v>
      </c>
      <c r="BW17" s="728">
        <f>IF((M116=X17), S116, 0)</f>
        <v>0</v>
      </c>
      <c r="BX17" s="727">
        <f>IF((M119=X17), S119, 0)</f>
        <v>0</v>
      </c>
      <c r="BY17" s="721">
        <f>IF((M121=X17), S121, 0)</f>
        <v>0</v>
      </c>
      <c r="BZ17" s="721">
        <f>IF((M123=X17), S123, 0)</f>
        <v>0</v>
      </c>
      <c r="CA17" s="728">
        <f>IF((M125=X17), S125, 0)</f>
        <v>0</v>
      </c>
      <c r="CB17" s="734">
        <f>IF((M128=X17), S128, 0)</f>
        <v>0</v>
      </c>
      <c r="CC17" s="720">
        <f>IF((M130=X17), S130, 0)</f>
        <v>0</v>
      </c>
      <c r="CD17" s="720">
        <f>IF((M132=X17), S132, 0)</f>
        <v>0</v>
      </c>
      <c r="CE17" s="735">
        <f>IF((M134=X17), S134, 0)</f>
        <v>0</v>
      </c>
      <c r="CF17" s="734">
        <f>IF((M137=X17), S137, 0)</f>
        <v>0</v>
      </c>
      <c r="CG17" s="720">
        <f>IF((M139=X17), S139, 0)</f>
        <v>0</v>
      </c>
      <c r="CH17" s="720">
        <f>IF((M141=X17), S141, 0)</f>
        <v>0</v>
      </c>
      <c r="CI17" s="735">
        <f>IF((M143=X17), S143, 0)</f>
        <v>0</v>
      </c>
      <c r="CJ17" s="734">
        <f>IF((M146=X17), S146, 0)</f>
        <v>0</v>
      </c>
      <c r="CK17" s="720">
        <f>IF((M148=X17), S148, 0)</f>
        <v>0</v>
      </c>
      <c r="CL17" s="720">
        <f>IF((M150=X17), S150, 0)</f>
        <v>0</v>
      </c>
      <c r="CM17" s="735">
        <f>IF((M152=X17), S152, 0)</f>
        <v>0</v>
      </c>
      <c r="CN17" s="734">
        <f>IF((M155=X17), S155, 0)</f>
        <v>0</v>
      </c>
      <c r="CO17" s="720">
        <f>IF((M157=X17), S157, 0)</f>
        <v>0</v>
      </c>
      <c r="CP17" s="720">
        <f>IF((M159=X17), S159, 0)</f>
        <v>0</v>
      </c>
      <c r="CQ17" s="735">
        <f>IF((M161=X17), S161, 0)</f>
        <v>0</v>
      </c>
      <c r="CR17" s="734">
        <f>IF((M164=X17), S164, 0)</f>
        <v>0</v>
      </c>
      <c r="CS17" s="720">
        <f>IF((M166=X17), S166, 0)</f>
        <v>0</v>
      </c>
      <c r="CT17" s="720">
        <f>IF((M168=X17), S168, 0)</f>
        <v>0</v>
      </c>
      <c r="CU17" s="735">
        <f>IF((M170=X17), S170, 0)</f>
        <v>0</v>
      </c>
      <c r="CV17" s="727">
        <f>IF((M173=X17), S173, 0)</f>
        <v>0</v>
      </c>
      <c r="CW17" s="721">
        <f>IF((M175=X17), S175, 0)</f>
        <v>0</v>
      </c>
      <c r="CX17" s="721">
        <f>IF((M177=X17), S177, 0)</f>
        <v>0</v>
      </c>
      <c r="CY17" s="728">
        <f>IF((M179=X17), S179, 0)</f>
        <v>0</v>
      </c>
      <c r="CZ17" s="727">
        <f>IF((M182=X17), S182, 0)</f>
        <v>0</v>
      </c>
      <c r="DA17" s="721">
        <f>IF((M184=X17), S184, 0)</f>
        <v>0</v>
      </c>
      <c r="DB17" s="721">
        <f>IF((M186=X17), S186, 0)</f>
        <v>0</v>
      </c>
      <c r="DC17" s="728">
        <f>IF((M188=X17), S188, 0)</f>
        <v>0</v>
      </c>
      <c r="DD17" s="727">
        <f>IF((M191=X17), S191, 0)</f>
        <v>0</v>
      </c>
      <c r="DE17" s="721">
        <f>IF((M193=X17), S193, 0)</f>
        <v>0</v>
      </c>
      <c r="DF17" s="721">
        <f>IF((M195=X17), S195, 0)</f>
        <v>0</v>
      </c>
      <c r="DG17" s="728">
        <f>IF((M197=X17), S197, 0)</f>
        <v>0</v>
      </c>
      <c r="DH17" s="727">
        <f>IF((M200=X17), S200, 0)</f>
        <v>0</v>
      </c>
      <c r="DI17" s="721">
        <f>IF((M202=X17), S202, 0)</f>
        <v>0</v>
      </c>
      <c r="DJ17" s="721">
        <f>IF((M204=X17), S204, 0)</f>
        <v>0</v>
      </c>
      <c r="DK17" s="728">
        <f>IF((M206=X17), S206, 0)</f>
        <v>0</v>
      </c>
      <c r="DL17" s="727">
        <f>IF((M209=X17), S209, 0)</f>
        <v>0</v>
      </c>
      <c r="DM17" s="721">
        <f>IF((M211=X17), S211, 0)</f>
        <v>0</v>
      </c>
      <c r="DN17" s="721">
        <f>IF((M213=X17), S213, 0)</f>
        <v>0</v>
      </c>
      <c r="DO17" s="728">
        <f>IF((M215=X17), S215, 0)</f>
        <v>0</v>
      </c>
      <c r="DP17" s="727">
        <f>IF((M218=X17), S218, 0)</f>
        <v>0</v>
      </c>
      <c r="DQ17" s="721">
        <f>IF((M220=X17), S220, 0)</f>
        <v>0</v>
      </c>
      <c r="DR17" s="721">
        <f>IF((M222=X17), S222, 0)</f>
        <v>0</v>
      </c>
      <c r="DS17" s="728">
        <f>IF((M224=X17), S224, 0)</f>
        <v>0</v>
      </c>
      <c r="DT17" s="727">
        <f>IF((M227=X17), S227, 0)</f>
        <v>0</v>
      </c>
      <c r="DU17" s="721">
        <f>IF((M229=X17), S229, 0)</f>
        <v>0</v>
      </c>
      <c r="DV17" s="721">
        <f>IF((M231=X17), S231, 0)</f>
        <v>0</v>
      </c>
      <c r="DW17" s="728">
        <f>IF((M233=X17), S233, 0)</f>
        <v>0</v>
      </c>
      <c r="DX17" s="727">
        <f>IF((M236=X17), S236, 0)</f>
        <v>0</v>
      </c>
      <c r="DY17" s="721">
        <f>IF((M238=X17), S238, 0)</f>
        <v>0</v>
      </c>
      <c r="DZ17" s="721">
        <f>IF((M240=X17), S240, 0)</f>
        <v>0</v>
      </c>
      <c r="EA17" s="728">
        <f>IF((M242=X17), S242, 0)</f>
        <v>0</v>
      </c>
      <c r="EB17" s="469">
        <f>IF('NOME + Nº'!E62="SIM",0,IF((M259=X17),V259+IF(H259="SIM",IF((P259=X17),SUM(V260:V263), 0)), IF(H259="SIM",IF((P259=X17),SUM(V260:V263), 0))))</f>
        <v>0</v>
      </c>
      <c r="EC17" s="417">
        <f>IF('NOME + Nº'!E62="SIM",0,IF((M266=X17), V266+IF(H259="SIM",IF((P266=X17),SUM(V267:V270), 0)), IF(H259="SIM",IF((P266=X17),SUM(V267:V270), 0))))</f>
        <v>0</v>
      </c>
      <c r="ED17" s="417">
        <f>IF('NOME + Nº'!E62="SIM",0,IF((M273=X17), V273+IF(H259="SIM",IF((P273=X17),SUM(V274:V277), 0)), IF(H259="SIM",IF((P273=X17),SUM(V274:V277), 0))))</f>
        <v>0</v>
      </c>
      <c r="EE17" s="470">
        <f>IF('NOME + Nº'!E62="SIM",0,IF((M280=X17), V280+IF(H259="SIM",IF((P280=X17),SUM(V281:V284), 0)), IF(H259="SIM",IF((P280=X17),SUM(V281:V284), 0))))</f>
        <v>0</v>
      </c>
      <c r="EF17" s="466">
        <f>IF(AE33=X17,AE49,0)</f>
        <v>0</v>
      </c>
      <c r="EG17" s="478">
        <f>IF('NOME + Nº'!D25="SIM",SUM(AB17:EF17),0)</f>
        <v>0</v>
      </c>
      <c r="EI17" s="402">
        <f>SUM(EB17:EE17)</f>
        <v>0</v>
      </c>
      <c r="EO17" s="49"/>
    </row>
    <row r="18" spans="2:145" x14ac:dyDescent="0.25">
      <c r="B18" s="1620"/>
      <c r="C18" s="1621"/>
      <c r="D18" s="1621"/>
      <c r="E18" s="1621"/>
      <c r="F18" s="426" t="s">
        <v>189</v>
      </c>
      <c r="H18" s="753" t="s">
        <v>724</v>
      </c>
      <c r="I18" s="1508"/>
      <c r="J18" s="1519"/>
      <c r="K18" s="1519"/>
      <c r="L18" s="1519"/>
      <c r="M18" s="1519"/>
      <c r="N18" s="1519"/>
      <c r="O18" s="1519"/>
      <c r="P18" s="1519"/>
      <c r="Q18" s="1519"/>
      <c r="R18" s="1519"/>
      <c r="S18" s="1519"/>
      <c r="T18" s="1520"/>
      <c r="W18">
        <v>5</v>
      </c>
      <c r="X18" s="398" t="str">
        <f>'NOME + Nº'!B26</f>
        <v>Tec. Vivo</v>
      </c>
      <c r="Y18" s="398" t="str">
        <f>'NOME + Nº'!D39</f>
        <v>Aquablock</v>
      </c>
      <c r="Z18" s="399">
        <f>'NOME + Nº'!H39</f>
        <v>49.9</v>
      </c>
      <c r="AA18" s="1018">
        <f>'NOME + Nº'!J39</f>
        <v>140</v>
      </c>
      <c r="AB18" s="725">
        <f>IF((M11=X18), S11, 0)</f>
        <v>0</v>
      </c>
      <c r="AC18" s="719">
        <f>IF((M13=X18), S13, 0)</f>
        <v>0</v>
      </c>
      <c r="AD18" s="719">
        <f>IF((M15=X18), S15, 0)</f>
        <v>0</v>
      </c>
      <c r="AE18" s="726">
        <f>IF((M17=X18), S17, 0)</f>
        <v>0</v>
      </c>
      <c r="AF18" s="725">
        <f>IF((M20=X18), S20, 0)</f>
        <v>0</v>
      </c>
      <c r="AG18" s="719">
        <f>IF((M22=X18), S22, 0)</f>
        <v>0</v>
      </c>
      <c r="AH18" s="722">
        <f>IF((M24=X18), S24, 0)</f>
        <v>0</v>
      </c>
      <c r="AI18" s="743">
        <f>IF((M26=X18), S26, 0)</f>
        <v>0</v>
      </c>
      <c r="AJ18" s="725">
        <f>IF((M29=X18), S29, 0)</f>
        <v>0</v>
      </c>
      <c r="AK18" s="719">
        <f>IF((M31=X18), S31, 0)</f>
        <v>0</v>
      </c>
      <c r="AL18" s="719">
        <f>IF((M33=X18), S33, 0)</f>
        <v>0</v>
      </c>
      <c r="AM18" s="726">
        <f>IF((M35=X18), S35, 0)</f>
        <v>0</v>
      </c>
      <c r="AN18" s="725">
        <f>IF((M38=X18), S38, 0)</f>
        <v>0</v>
      </c>
      <c r="AO18" s="719">
        <f>IF((M40=X18), S40, 0)</f>
        <v>0</v>
      </c>
      <c r="AP18" s="719">
        <f>IF((M42=X18), S42, 0)</f>
        <v>0</v>
      </c>
      <c r="AQ18" s="726">
        <f>IF((M44=X18), S44, 0)</f>
        <v>0</v>
      </c>
      <c r="AR18" s="725">
        <f>IF((M47=X18), S47, 0)</f>
        <v>0</v>
      </c>
      <c r="AS18" s="719">
        <f>IF((M49=X18), S49, 0)</f>
        <v>0</v>
      </c>
      <c r="AT18" s="719">
        <f>IF((M51=X18), S51, 0)</f>
        <v>0</v>
      </c>
      <c r="AU18" s="726">
        <f>IF((M53=X18), S53, 0)</f>
        <v>0</v>
      </c>
      <c r="AV18" s="725">
        <f>IF((M56=X18), S56, 0)</f>
        <v>0</v>
      </c>
      <c r="AW18" s="719">
        <f>IF((M58=X18), S58, 0)</f>
        <v>0</v>
      </c>
      <c r="AX18" s="719">
        <f>IF((M60=X18), S60, 0)</f>
        <v>0</v>
      </c>
      <c r="AY18" s="726">
        <f>IF((M62=X18), S62, 0)</f>
        <v>0</v>
      </c>
      <c r="AZ18" s="725">
        <f>IF((M65=X18), S65, 0)</f>
        <v>0</v>
      </c>
      <c r="BA18" s="719">
        <f>IF((M67=X18), S67, 0)</f>
        <v>0</v>
      </c>
      <c r="BB18" s="719">
        <f>IF((M69=X18), S69, 0)</f>
        <v>0</v>
      </c>
      <c r="BC18" s="726">
        <f>IF((M71=X18), S71, 0)</f>
        <v>0</v>
      </c>
      <c r="BD18" s="725">
        <f>IF((M74=X18), S74, 0)</f>
        <v>0</v>
      </c>
      <c r="BE18" s="719">
        <f>IF((M76=X18), S76, 0)</f>
        <v>0</v>
      </c>
      <c r="BF18" s="719">
        <f>IF((M78=X18), S78, 0)</f>
        <v>0</v>
      </c>
      <c r="BG18" s="726">
        <f>IF((M80=X18), S80, 0)</f>
        <v>0</v>
      </c>
      <c r="BH18" s="725">
        <f>IF((M83=X18), S83, 0)</f>
        <v>0</v>
      </c>
      <c r="BI18" s="719">
        <f>IF((M85=X18), S85, 0)</f>
        <v>0</v>
      </c>
      <c r="BJ18" s="719">
        <f>IF((M87=X18), S87, 0)</f>
        <v>0</v>
      </c>
      <c r="BK18" s="726">
        <f>IF((M89=X18), S89, 0)</f>
        <v>0</v>
      </c>
      <c r="BL18" s="725">
        <f>IF((M92=X18), S92, 0)</f>
        <v>0</v>
      </c>
      <c r="BM18" s="719">
        <f>IF((M94=X18), S94, 0)</f>
        <v>0</v>
      </c>
      <c r="BN18" s="719">
        <f>IF((M96=X18), S96, 0)</f>
        <v>0</v>
      </c>
      <c r="BO18" s="726">
        <f>IF((M98=X18), S98, 0)</f>
        <v>0</v>
      </c>
      <c r="BP18" s="725">
        <f>IF((M101=X18), S101, 0)</f>
        <v>0</v>
      </c>
      <c r="BQ18" s="719">
        <f>IF((M103=X18), S103, 0)</f>
        <v>0</v>
      </c>
      <c r="BR18" s="719">
        <f>IF((M105=X18), S105, 0)</f>
        <v>0</v>
      </c>
      <c r="BS18" s="726">
        <f>IF((M107=X18), S107, 0)</f>
        <v>0</v>
      </c>
      <c r="BT18" s="725">
        <f>IF((M110=X18), S110, 0)</f>
        <v>0</v>
      </c>
      <c r="BU18" s="719">
        <f>IF((M112=X18), S112, 0)</f>
        <v>0</v>
      </c>
      <c r="BV18" s="719">
        <f>IF((M114=X18), S114, 0)</f>
        <v>0</v>
      </c>
      <c r="BW18" s="726">
        <f>IF((M116=X18), S116, 0)</f>
        <v>0</v>
      </c>
      <c r="BX18" s="725">
        <f>IF((M119=X18), S119, 0)</f>
        <v>0</v>
      </c>
      <c r="BY18" s="719">
        <f>IF((M121=X18), S121, 0)</f>
        <v>0</v>
      </c>
      <c r="BZ18" s="719">
        <f>IF((M123=X18), S123, 0)</f>
        <v>0</v>
      </c>
      <c r="CA18" s="726">
        <f>IF((M125=X18), S125, 0)</f>
        <v>0</v>
      </c>
      <c r="CB18" s="725">
        <f>IF((M128=X18), S128, 0)</f>
        <v>0</v>
      </c>
      <c r="CC18" s="719">
        <f>IF((M130=X18), S130, 0)</f>
        <v>0</v>
      </c>
      <c r="CD18" s="719">
        <f>IF((M132=X18), S132, 0)</f>
        <v>0</v>
      </c>
      <c r="CE18" s="726">
        <f>IF((M134=X18), S134, 0)</f>
        <v>0</v>
      </c>
      <c r="CF18" s="725">
        <f>IF((M137=X18), S137, 0)</f>
        <v>0</v>
      </c>
      <c r="CG18" s="719">
        <f>IF((M139=X18), S139, 0)</f>
        <v>0</v>
      </c>
      <c r="CH18" s="719">
        <f>IF((M141=X18), S141, 0)</f>
        <v>0</v>
      </c>
      <c r="CI18" s="719">
        <f>IF((M143=X18), S143, 0)</f>
        <v>0</v>
      </c>
      <c r="CJ18" s="725">
        <f>IF((M146=X18), S146, 0)</f>
        <v>0</v>
      </c>
      <c r="CK18" s="719">
        <f>IF((M148=X18), S148, 0)</f>
        <v>0</v>
      </c>
      <c r="CL18" s="719">
        <f>IF((M150=X18), S150, 0)</f>
        <v>0</v>
      </c>
      <c r="CM18" s="726">
        <f>IF((M152=X18), S152, 0)</f>
        <v>0</v>
      </c>
      <c r="CN18" s="725">
        <f>IF((M155=X18), S155, 0)</f>
        <v>0</v>
      </c>
      <c r="CO18" s="719">
        <f>IF((M157=X18), S157, 0)</f>
        <v>0</v>
      </c>
      <c r="CP18" s="719">
        <f>IF((M159=X18), S159, 0)</f>
        <v>0</v>
      </c>
      <c r="CQ18" s="726">
        <f>IF((M161=X18), S161, 0)</f>
        <v>0</v>
      </c>
      <c r="CR18" s="725">
        <f>IF((M164=X18), S164, 0)</f>
        <v>0</v>
      </c>
      <c r="CS18" s="719">
        <f>IF((M166=X18), S166, 0)</f>
        <v>0</v>
      </c>
      <c r="CT18" s="719">
        <f>IF((M168=X18), S168, 0)</f>
        <v>0</v>
      </c>
      <c r="CU18" s="726">
        <f>IF((M170=X18), S170, 0)</f>
        <v>0</v>
      </c>
      <c r="CV18" s="725">
        <f>IF((M173=X18), S173, 0)</f>
        <v>0</v>
      </c>
      <c r="CW18" s="719">
        <f>IF((M175=X18), S175, 0)</f>
        <v>0</v>
      </c>
      <c r="CX18" s="719">
        <f>IF((M177=X18), S177, 0)</f>
        <v>0</v>
      </c>
      <c r="CY18" s="726">
        <f>IF((M179=X18), S179, 0)</f>
        <v>0</v>
      </c>
      <c r="CZ18" s="725">
        <f>IF((M182=X18), S182, 0)</f>
        <v>0</v>
      </c>
      <c r="DA18" s="719">
        <f>IF((M184=X18), S184, 0)</f>
        <v>0</v>
      </c>
      <c r="DB18" s="719">
        <f>IF((M186=X18), S186, 0)</f>
        <v>0</v>
      </c>
      <c r="DC18" s="726">
        <f>IF((M188=X18), S188, 0)</f>
        <v>0</v>
      </c>
      <c r="DD18" s="725">
        <f>IF((M191=X18), S191, 0)</f>
        <v>0</v>
      </c>
      <c r="DE18" s="719">
        <f>IF((M193=X18), S193, 0)</f>
        <v>0</v>
      </c>
      <c r="DF18" s="719">
        <f>IF((M195=X18), S195, 0)</f>
        <v>0</v>
      </c>
      <c r="DG18" s="726">
        <f>IF((M197=X18), S197, 0)</f>
        <v>0</v>
      </c>
      <c r="DH18" s="725">
        <f>IF((M200=X18), S200, 0)</f>
        <v>0</v>
      </c>
      <c r="DI18" s="719">
        <f>IF((M202=X18), S202, 0)</f>
        <v>0</v>
      </c>
      <c r="DJ18" s="719">
        <f>IF((M204=X18), S204, 0)</f>
        <v>0</v>
      </c>
      <c r="DK18" s="726">
        <f>IF((M206=X18), S206, 0)</f>
        <v>0</v>
      </c>
      <c r="DL18" s="725">
        <f>IF((M209=X18), S209, 0)</f>
        <v>0</v>
      </c>
      <c r="DM18" s="719">
        <f>IF((M211=X18), S211, 0)</f>
        <v>0</v>
      </c>
      <c r="DN18" s="719">
        <f>IF((M213=X18), S213, 0)</f>
        <v>0</v>
      </c>
      <c r="DO18" s="726">
        <f>IF((M215=X18), S215, 0)</f>
        <v>0</v>
      </c>
      <c r="DP18" s="725">
        <f>IF((M218=X18), S218, 0)</f>
        <v>0</v>
      </c>
      <c r="DQ18" s="719">
        <f>IF((M220=X18), S220, 0)</f>
        <v>0</v>
      </c>
      <c r="DR18" s="719">
        <f>IF((M222=X18), S222, 0)</f>
        <v>0</v>
      </c>
      <c r="DS18" s="726">
        <f>IF((M224=X18), S224, 0)</f>
        <v>0</v>
      </c>
      <c r="DT18" s="725">
        <f>IF((M227=X18), S227, 0)</f>
        <v>0</v>
      </c>
      <c r="DU18" s="719">
        <f>IF((M229=X18), S229, 0)</f>
        <v>0</v>
      </c>
      <c r="DV18" s="719">
        <f>IF((M231=X18), S231, 0)</f>
        <v>0</v>
      </c>
      <c r="DW18" s="726">
        <f>IF((M233=X18), S233, 0)</f>
        <v>0</v>
      </c>
      <c r="DX18" s="725">
        <f>IF((M236=X18), S236, 0)</f>
        <v>0</v>
      </c>
      <c r="DY18" s="719">
        <f>IF((M238=X18), S238, 0)</f>
        <v>0</v>
      </c>
      <c r="DZ18" s="719">
        <f>IF((M240=X18), S240, 0)</f>
        <v>0</v>
      </c>
      <c r="EA18" s="726">
        <f>IF((M242=X18), S242, 0)</f>
        <v>0</v>
      </c>
      <c r="EB18" s="467">
        <f>IF('NOME + Nº'!E62="SIM",0,IF((M259=X18),V259+IF(H259="SIM",IF((P259=X18),SUM(V260:V263), 0)), IF(H259="SIM",IF((P259=X18),SUM(V260:V263), 0))))</f>
        <v>0</v>
      </c>
      <c r="EC18" s="416">
        <f>IF('NOME + Nº'!E62="SIM",0,IF((M266=X18), V266+IF(H259="SIM",IF((P266=X18),SUM(V267:V270), 0)), IF(H259="SIM",IF((P266=X18),SUM(V267:V270), 0))))</f>
        <v>0</v>
      </c>
      <c r="ED18" s="416">
        <f>IF('NOME + Nº'!E62="SIM",0,IF((M273=X18), V273+IF(H259="SIM",IF((P273=X18),SUM(V274:V277), 0)), IF(H259="SIM",IF((P273=X18),SUM(V274:V277), 0))))</f>
        <v>0</v>
      </c>
      <c r="EE18" s="468">
        <f>IF('NOME + Nº'!E62="SIM",0,IF((M280=X18), V280+IF(H259="SIM",IF((P280=X18),SUM(V281:V284), 0)), IF(H259="SIM",IF((P280=X18),SUM(V281:V284), 0))))</f>
        <v>0</v>
      </c>
      <c r="EF18" s="418">
        <f>IF(AE33=X18,AE49,0)</f>
        <v>0</v>
      </c>
      <c r="EG18" s="478">
        <f>IF('NOME + Nº'!D26="SIM",SUM(AB18:EF18),0)</f>
        <v>0</v>
      </c>
      <c r="EI18" s="402">
        <f t="shared" si="76"/>
        <v>0</v>
      </c>
      <c r="EO18" s="49"/>
    </row>
    <row r="19" spans="2:145" ht="18" thickBot="1" x14ac:dyDescent="0.35">
      <c r="B19" s="1620" t="s">
        <v>254</v>
      </c>
      <c r="C19" s="1621"/>
      <c r="D19" s="1621"/>
      <c r="E19" s="1621"/>
      <c r="F19" s="1622"/>
      <c r="K19" s="20"/>
      <c r="L19" s="10" t="str">
        <f>IF(K17="SIM","1","0")</f>
        <v>0</v>
      </c>
      <c r="M19" s="10">
        <f>M16</f>
        <v>20</v>
      </c>
      <c r="N19" s="22"/>
      <c r="O19" s="22"/>
      <c r="R19" s="9">
        <f>O17/(Q17)</f>
        <v>2.4013722126929675</v>
      </c>
      <c r="S19" s="528"/>
      <c r="W19">
        <v>6</v>
      </c>
      <c r="X19" s="400" t="str">
        <f>'NOME + Nº'!B27</f>
        <v>Estrutura</v>
      </c>
      <c r="Y19" s="400" t="str">
        <f>'NOME + Nº'!D40</f>
        <v>Placa Plástica</v>
      </c>
      <c r="Z19" s="1019">
        <f>'NOME + Nº'!H40</f>
        <v>20.12</v>
      </c>
      <c r="AA19" s="1020">
        <f>'NOME + Nº'!J40</f>
        <v>28</v>
      </c>
      <c r="AB19" s="1003">
        <f>IF((M11=X19), S11, 0)</f>
        <v>0</v>
      </c>
      <c r="AC19" s="1004">
        <f>IF((M13=X19), S13, 0)</f>
        <v>0</v>
      </c>
      <c r="AD19" s="1004">
        <f>IF((M15=X19), S15, 0)</f>
        <v>0</v>
      </c>
      <c r="AE19" s="1005">
        <f>IF((M17=X19), S17, 0)</f>
        <v>0</v>
      </c>
      <c r="AF19" s="1003">
        <f>IF((M20=X19), S20, 0)</f>
        <v>0</v>
      </c>
      <c r="AG19" s="1004">
        <f>IF((M22=X19), S22, 0)</f>
        <v>0</v>
      </c>
      <c r="AH19" s="1004">
        <f>IF((M24=X19), S24, 0)</f>
        <v>0</v>
      </c>
      <c r="AI19" s="1005">
        <f>IF((M26=X19), S26, 0)</f>
        <v>0</v>
      </c>
      <c r="AJ19" s="1003">
        <f>IF((M29=X19), S29, 0)</f>
        <v>0</v>
      </c>
      <c r="AK19" s="1004">
        <f>IF((M31=X19), S31, 0)</f>
        <v>0</v>
      </c>
      <c r="AL19" s="1004">
        <f>IF((M33=X19), S33, 0)</f>
        <v>0</v>
      </c>
      <c r="AM19" s="1005">
        <f>IF((M35=X19), S35, 0)</f>
        <v>0</v>
      </c>
      <c r="AN19" s="1003">
        <f>IF((M38=X19), S38, 0)</f>
        <v>0</v>
      </c>
      <c r="AO19" s="1006">
        <f>IF((M40=X19), S40, 0)</f>
        <v>0</v>
      </c>
      <c r="AP19" s="1004">
        <f>IF((M42=X19), S42, 0)</f>
        <v>0</v>
      </c>
      <c r="AQ19" s="1005">
        <f>IF((M44=X19), S44, 0)</f>
        <v>0</v>
      </c>
      <c r="AR19" s="1007">
        <f>IF((M47=X19), S47, 0)</f>
        <v>0</v>
      </c>
      <c r="AS19" s="1004">
        <f>IF((M49=X19), S49, 0)</f>
        <v>0</v>
      </c>
      <c r="AT19" s="1004">
        <f>IF((M51=X19), S51, 0)</f>
        <v>0</v>
      </c>
      <c r="AU19" s="1005">
        <f>IF((M53=X19), S53, 0)</f>
        <v>0</v>
      </c>
      <c r="AV19" s="1008">
        <f>IF((M56=X19), S56, 0)</f>
        <v>0</v>
      </c>
      <c r="AW19" s="1009">
        <f>IF((M58=X19), S58, 0)</f>
        <v>0</v>
      </c>
      <c r="AX19" s="1009">
        <f>IF((M60=X19), S60, 0)</f>
        <v>0</v>
      </c>
      <c r="AY19" s="1010">
        <f>IF((M62=X19), S62, 0)</f>
        <v>0</v>
      </c>
      <c r="AZ19" s="1008">
        <f>IF((M65=X19), S65, 0)</f>
        <v>0</v>
      </c>
      <c r="BA19" s="1009">
        <f>IF((M67=X19), S67, 0)</f>
        <v>0</v>
      </c>
      <c r="BB19" s="1009">
        <f>IF((M69=X19), S69, 0)</f>
        <v>0</v>
      </c>
      <c r="BC19" s="1010">
        <f>IF((M71=X19), S71, 0)</f>
        <v>0</v>
      </c>
      <c r="BD19" s="1008">
        <f>IF((M74=X19), S74, 0)</f>
        <v>0</v>
      </c>
      <c r="BE19" s="1009">
        <f>IF((M76=X19), S76, 0)</f>
        <v>0</v>
      </c>
      <c r="BF19" s="1009">
        <f>IF((M78=X19), S78, 0)</f>
        <v>0</v>
      </c>
      <c r="BG19" s="1010">
        <f>IF((M80=X19), S80, 0)</f>
        <v>0</v>
      </c>
      <c r="BH19" s="1008">
        <f>IF((M83=X19), S83, 0)</f>
        <v>0</v>
      </c>
      <c r="BI19" s="1009">
        <f>IF((M85=X19), S85, 0)</f>
        <v>0</v>
      </c>
      <c r="BJ19" s="1009">
        <f>IF((M87=X19), S87, 0)</f>
        <v>0</v>
      </c>
      <c r="BK19" s="1010">
        <f>IF((M89=X19), S89, 0)</f>
        <v>0</v>
      </c>
      <c r="BL19" s="1008">
        <f>IF((M92=X19), S92, 0)</f>
        <v>0</v>
      </c>
      <c r="BM19" s="1009">
        <f>IF((M94=X19), S94, 0)</f>
        <v>0</v>
      </c>
      <c r="BN19" s="1009">
        <f>IF((M96=X19), S96, 0)</f>
        <v>0</v>
      </c>
      <c r="BO19" s="1010">
        <f>IF((M98=X19), S98, 0)</f>
        <v>0</v>
      </c>
      <c r="BP19" s="1008">
        <f>IF((M101=X19), S101, 0)</f>
        <v>0</v>
      </c>
      <c r="BQ19" s="1009">
        <f>IF((M103=X19), S103, 0)</f>
        <v>0</v>
      </c>
      <c r="BR19" s="1009">
        <f>IF((M105=X19), S105, 0)</f>
        <v>0</v>
      </c>
      <c r="BS19" s="1010">
        <f>IF((M107=X19), S107, 0)</f>
        <v>0</v>
      </c>
      <c r="BT19" s="1008">
        <f>IF((M110=X19), S110, 0)</f>
        <v>0</v>
      </c>
      <c r="BU19" s="1009">
        <f>IF((M112=X19), S112, 0)</f>
        <v>0</v>
      </c>
      <c r="BV19" s="1009">
        <f>IF((M114=X19), S114, 0)</f>
        <v>0</v>
      </c>
      <c r="BW19" s="1010">
        <f>IF((M116=X19), S116, 0)</f>
        <v>0</v>
      </c>
      <c r="BX19" s="1008">
        <f>IF((M119=X19), S119, 0)</f>
        <v>0</v>
      </c>
      <c r="BY19" s="1009">
        <f>IF((M121=X19), S121, 0)</f>
        <v>0</v>
      </c>
      <c r="BZ19" s="1009">
        <f>IF((M123=X19), S123, 0)</f>
        <v>0</v>
      </c>
      <c r="CA19" s="1010">
        <f>IF((M125=X19), S125, 0)</f>
        <v>0</v>
      </c>
      <c r="CB19" s="1003">
        <f>IF((M128=X19),S128, 0)</f>
        <v>0</v>
      </c>
      <c r="CC19" s="1004">
        <f>IF((M130=X19), S130, 0)</f>
        <v>0</v>
      </c>
      <c r="CD19" s="1004">
        <f>IF((M132=X19), S132, 0)</f>
        <v>0</v>
      </c>
      <c r="CE19" s="1005">
        <f>IF((M134=X19), S134, 0)</f>
        <v>0</v>
      </c>
      <c r="CF19" s="1003">
        <f>IF((M137=X19), S137, 0)</f>
        <v>0</v>
      </c>
      <c r="CG19" s="1004">
        <f>IF((M139=X19), S139, 0)</f>
        <v>0</v>
      </c>
      <c r="CH19" s="1004">
        <f>IF((M141=X19), S141, 0)</f>
        <v>0</v>
      </c>
      <c r="CI19" s="1005">
        <f>IF((M143=X19), S143, 0)</f>
        <v>0</v>
      </c>
      <c r="CJ19" s="1003">
        <f>IF((M146=X19), S146, 0)</f>
        <v>0</v>
      </c>
      <c r="CK19" s="1004">
        <f>IF((M148=X19), S148, 0)</f>
        <v>0</v>
      </c>
      <c r="CL19" s="1004">
        <f>IF((M150=X19), S150, 0)</f>
        <v>0</v>
      </c>
      <c r="CM19" s="1005">
        <f>IF((M152=X19), S152, 0)</f>
        <v>0</v>
      </c>
      <c r="CN19" s="1003">
        <f>IF((M155=X19), S155, 0)</f>
        <v>0</v>
      </c>
      <c r="CO19" s="1004">
        <f>IF((M157=X19), S157, 0)</f>
        <v>0</v>
      </c>
      <c r="CP19" s="1004">
        <f>IF((M159=X19), S159, 0)</f>
        <v>0</v>
      </c>
      <c r="CQ19" s="1005">
        <f>IF((M161=X19), S161, 0)</f>
        <v>0</v>
      </c>
      <c r="CR19" s="1004">
        <f>IF((M164=X19), S164, 0)</f>
        <v>0</v>
      </c>
      <c r="CS19" s="1004">
        <f>IF((M166=X19), S166, 0)</f>
        <v>0</v>
      </c>
      <c r="CT19" s="1004">
        <f>IF((M168=X19), S168, 0)</f>
        <v>0</v>
      </c>
      <c r="CU19" s="1005">
        <f>IF((M170=X19), S170, 0)</f>
        <v>0</v>
      </c>
      <c r="CV19" s="1008">
        <f>IF((M173=X19), S173, 0)</f>
        <v>0</v>
      </c>
      <c r="CW19" s="1009">
        <f>IF((M175=X19), S175, 0)</f>
        <v>0</v>
      </c>
      <c r="CX19" s="1009">
        <f>IF((M177=X19), S177, 0)</f>
        <v>0</v>
      </c>
      <c r="CY19" s="1010">
        <f>IF((M179=X19), S179, 0)</f>
        <v>0</v>
      </c>
      <c r="CZ19" s="1008">
        <f>IF((M182=X19), S182, 0)</f>
        <v>0</v>
      </c>
      <c r="DA19" s="1009">
        <f>IF((M184=X19), S184, 0)</f>
        <v>0</v>
      </c>
      <c r="DB19" s="1009">
        <f>IF((M186=X19), S186, 0)</f>
        <v>0</v>
      </c>
      <c r="DC19" s="1010">
        <f>IF((M188=X19), S188, 0)</f>
        <v>0</v>
      </c>
      <c r="DD19" s="1008">
        <f>IF((M191=X19), S191, 0)</f>
        <v>0</v>
      </c>
      <c r="DE19" s="1009">
        <f>IF((M193=X19), S193, 0)</f>
        <v>0</v>
      </c>
      <c r="DF19" s="1009">
        <f>IF((M195=X19), S195, 0)</f>
        <v>0</v>
      </c>
      <c r="DG19" s="1010">
        <f>IF((M197=X19), S197, 0)</f>
        <v>0</v>
      </c>
      <c r="DH19" s="1008">
        <f>IF((M200=X19), S200, 0)</f>
        <v>0</v>
      </c>
      <c r="DI19" s="1009">
        <f>IF((M202=X19), S202, 0)</f>
        <v>0</v>
      </c>
      <c r="DJ19" s="1009">
        <f>IF((M204=X19), S204, 0)</f>
        <v>0</v>
      </c>
      <c r="DK19" s="1010">
        <f>IF((M206=X19), S206, 0)</f>
        <v>0</v>
      </c>
      <c r="DL19" s="1008">
        <f>IF((M209=X19), S209, 0)</f>
        <v>0</v>
      </c>
      <c r="DM19" s="1009">
        <f>IF((M211=X19), S211, 0)</f>
        <v>0</v>
      </c>
      <c r="DN19" s="1009">
        <f>IF((M213=X19), S213, 0)</f>
        <v>0</v>
      </c>
      <c r="DO19" s="1010">
        <f>IF((M215=X19), S215, 0)</f>
        <v>0</v>
      </c>
      <c r="DP19" s="1008">
        <f>IF((M218=X19), S218, 0)</f>
        <v>0</v>
      </c>
      <c r="DQ19" s="1009">
        <f>IF((M220=X19), S220, 0)</f>
        <v>0</v>
      </c>
      <c r="DR19" s="1009">
        <f>IF((M222=X19), S222, 0)</f>
        <v>0</v>
      </c>
      <c r="DS19" s="1010">
        <f>IF((M224=X19), S224, 0)</f>
        <v>0</v>
      </c>
      <c r="DT19" s="1008">
        <f>IF((M227=X19), S227, 0)</f>
        <v>0</v>
      </c>
      <c r="DU19" s="1009">
        <f>IF((M229=X19), S229, 0)</f>
        <v>0</v>
      </c>
      <c r="DV19" s="1009">
        <f>IF((M231=X19), S231, 0)</f>
        <v>0</v>
      </c>
      <c r="DW19" s="1010">
        <f>IF((M233=X19), S233, 0)</f>
        <v>0</v>
      </c>
      <c r="DX19" s="1008">
        <f>IF((M236=X19), S236, 0)</f>
        <v>0</v>
      </c>
      <c r="DY19" s="1009">
        <f>IF((M238=X19), S238, 0)</f>
        <v>0</v>
      </c>
      <c r="DZ19" s="1009">
        <f>IF((M240=X19), S240, 0)</f>
        <v>0</v>
      </c>
      <c r="EA19" s="1010">
        <f>IF((M242=X19), S242, 0)</f>
        <v>0</v>
      </c>
      <c r="EB19" s="1011">
        <f>IF('NOME + Nº'!E62="SIM",0,IF((M259=X19),V259+IF(H259="SIM",IF((P259=X19),SUM(V260:V263), 0)), IF(H259="SIM",IF((P259=X19),SUM(V260:V263), 0))))</f>
        <v>0</v>
      </c>
      <c r="EC19" s="247">
        <f>IF('NOME + Nº'!E62="SIM",0,IF((M266=X19), V266+IF(H259="SIM",IF((P266=X19),SUM(V267:V270), 0)), IF(H259="SIM",IF((P266=X19),SUM(V267:V270), 0))))</f>
        <v>0</v>
      </c>
      <c r="ED19" s="247">
        <f>IF('NOME + Nº'!E62="SIM",0,IF((M273=X19), V273+IF(H259="SIM",IF((P273=X19),SUM(V274:V277), 0)), IF(H259="SIM",IF((P273=X19),SUM(V274:V277), 0))))</f>
        <v>0</v>
      </c>
      <c r="EE19" s="1012">
        <f>IF('NOME + Nº'!E62="SIM",0,IF((M280=X19), V280+IF(H259="SIM",IF((P280=X19),SUM(V281:V284), 0)), IF(H259="SIM",IF((P280=X19),SUM(V281:V284), 0))))</f>
        <v>0</v>
      </c>
      <c r="EF19" s="1013">
        <f>IF(AE33=X19,AE49,0)</f>
        <v>0</v>
      </c>
      <c r="EG19" s="479">
        <f>IF('NOME + Nº'!D27="SIM",SUM(AB19:EF19),0)</f>
        <v>0</v>
      </c>
      <c r="EI19" s="403">
        <f>SUM(EB19:EE19)</f>
        <v>0</v>
      </c>
      <c r="EO19" s="49"/>
    </row>
    <row r="20" spans="2:145" ht="15.75" thickBot="1" x14ac:dyDescent="0.3">
      <c r="B20" s="1620"/>
      <c r="C20" s="1621"/>
      <c r="D20" s="1621"/>
      <c r="E20" s="1621"/>
      <c r="F20" s="1622"/>
      <c r="G20">
        <f>G11+1</f>
        <v>2</v>
      </c>
      <c r="H20" s="1521" t="str">
        <f>CONCATENATE("MOLDE ",G20)</f>
        <v>MOLDE 2</v>
      </c>
      <c r="I20" s="1522"/>
      <c r="J20" s="527">
        <f>J17+1</f>
        <v>5</v>
      </c>
      <c r="K20" s="322" t="s">
        <v>189</v>
      </c>
      <c r="L20" s="747">
        <v>1</v>
      </c>
      <c r="M20" s="747" t="s">
        <v>722</v>
      </c>
      <c r="N20" s="748">
        <f>IF((M20=X14),Z14,(IF((M20=X15),Z15,(IF((M20=X16),Z16,(IF((M20=X17),Z17,(IF((M20=X18),Z18,(IF((M20=X19),Z19,(IF((M20=X20),Z20)))))))))))))</f>
        <v>49.9</v>
      </c>
      <c r="O20" s="749">
        <f>IF((M20=X14),AA14,(IF((M20=X15),AA15,(IF((M20=X16),AA16,(IF((M20=X17),AA17,(IF((M20=X18),AA18,(IF((M20=X19),AA19,(IF((M20=X20),AA20)))))))))))))</f>
        <v>140</v>
      </c>
      <c r="P20" s="713">
        <f>2*Z34+Z33+2*Z38</f>
        <v>21.4</v>
      </c>
      <c r="Q20" s="713">
        <f>(Z32-1)+1.5*Z37</f>
        <v>15.5</v>
      </c>
      <c r="R20" s="751">
        <f>IF(R21&lt;(M21*L20), INT(R21),(M21*L20))</f>
        <v>9</v>
      </c>
      <c r="S20" s="752">
        <f>IF(K20="SIM",(N20*L20*(P20/100)/R20)*L21,0)</f>
        <v>0</v>
      </c>
      <c r="T20" s="390">
        <f>R21*L21</f>
        <v>0</v>
      </c>
      <c r="U20" s="400">
        <f>IF(K20="SIM",1,IF(K22="SIM",1,IF(K24="SIM",1,IF(K26="SIM",1,0))))</f>
        <v>0</v>
      </c>
      <c r="W20" s="946" t="s">
        <v>910</v>
      </c>
      <c r="X20" s="398" t="str">
        <f>'NOME + Nº'!B28</f>
        <v>Reforço</v>
      </c>
      <c r="Y20" s="398" t="str">
        <f>'NOME + Nº'!D41</f>
        <v>TNT 120</v>
      </c>
      <c r="Z20" s="399">
        <f>'NOME + Nº'!H41</f>
        <v>7.9</v>
      </c>
      <c r="AA20" s="1018">
        <f>'NOME + Nº'!J41</f>
        <v>140</v>
      </c>
      <c r="AB20" s="1014">
        <f>IF((M11=X20), S11, 0)</f>
        <v>0</v>
      </c>
      <c r="AC20" s="1015">
        <f>IF((M13=X20), S13, 0)</f>
        <v>1.3588</v>
      </c>
      <c r="AD20" s="1015">
        <f>IF((M15=X20), S15, 0)</f>
        <v>1.3588</v>
      </c>
      <c r="AE20" s="1016">
        <f>IF((M17=X20), S17, 0)</f>
        <v>0</v>
      </c>
      <c r="AF20" s="1014">
        <f>IF((M20=X20), S20, 0)</f>
        <v>0</v>
      </c>
      <c r="AG20" s="1015">
        <f>IF((M22=X20), S22, 0)</f>
        <v>0</v>
      </c>
      <c r="AH20" s="1015">
        <f>IF((M24=X20), S24, 0)</f>
        <v>0</v>
      </c>
      <c r="AI20" s="1016">
        <f>IF((M26=X20), S26, 0)</f>
        <v>0</v>
      </c>
      <c r="AJ20" s="1014">
        <f>IF((M29=X20), S29, 0)</f>
        <v>0</v>
      </c>
      <c r="AK20" s="1015">
        <f>IF((M31=X20), S31, 0)</f>
        <v>0</v>
      </c>
      <c r="AL20" s="1015">
        <f>IF((M33=X20), S33, 0)</f>
        <v>0</v>
      </c>
      <c r="AM20" s="1016">
        <f>IF((M35=X20), S35, 0)</f>
        <v>0</v>
      </c>
      <c r="AN20" s="1014">
        <f>IF((M38=X20), S38, 0)</f>
        <v>0</v>
      </c>
      <c r="AO20" s="1015">
        <f>IF((M40=X20), S40, 0)</f>
        <v>0</v>
      </c>
      <c r="AP20" s="1015">
        <f>IF((M42=X20), S42, 0)</f>
        <v>0</v>
      </c>
      <c r="AQ20" s="1016">
        <f>IF((M44=X20), S44, 0)</f>
        <v>0</v>
      </c>
      <c r="AR20" s="1014">
        <f>IF((M47=X20), S47, 0)</f>
        <v>0</v>
      </c>
      <c r="AS20" s="1015">
        <f>IF((M49=X20), S49, 0)</f>
        <v>0</v>
      </c>
      <c r="AT20" s="1015">
        <f>IF((M51=X20), S51, 0)</f>
        <v>0</v>
      </c>
      <c r="AU20" s="1016">
        <f>IF((M53=X20), S53, 0)</f>
        <v>0</v>
      </c>
      <c r="AV20" s="1014">
        <f>IF((M56=X20), S56, 0)</f>
        <v>0</v>
      </c>
      <c r="AW20" s="1015">
        <f>IF((M58=X20), S58, 0)</f>
        <v>0</v>
      </c>
      <c r="AX20" s="1015">
        <f>IF((M60=X20), S60, 0)</f>
        <v>0</v>
      </c>
      <c r="AY20" s="1016">
        <f>IF((M62=X20), S62, 0)</f>
        <v>0</v>
      </c>
      <c r="AZ20" s="1014">
        <f>IF((M65=X20), S65, 0)</f>
        <v>0</v>
      </c>
      <c r="BA20" s="1015">
        <f>IF((M67=X20), S67, 0)</f>
        <v>0</v>
      </c>
      <c r="BB20" s="1015">
        <f>IF((M69=X20), S69, 0)</f>
        <v>0</v>
      </c>
      <c r="BC20" s="1016">
        <f>IF((M71=X20), S71, 0)</f>
        <v>0</v>
      </c>
      <c r="BD20" s="1014">
        <f>IF((M74=X20), S74, 0)</f>
        <v>0</v>
      </c>
      <c r="BE20" s="1015">
        <f>IF((M76=X20), S76, 0)</f>
        <v>0</v>
      </c>
      <c r="BF20" s="1015">
        <f>IF((M78=X20), S78, 0)</f>
        <v>0</v>
      </c>
      <c r="BG20" s="1016">
        <f>IF((M80=X20), S80, 0)</f>
        <v>0</v>
      </c>
      <c r="BH20" s="1014">
        <f>IF((M83=X20), S83, 0)</f>
        <v>0</v>
      </c>
      <c r="BI20" s="1015">
        <f>IF((M85=X20), S85, 0)</f>
        <v>0</v>
      </c>
      <c r="BJ20" s="1015">
        <f>IF((M87=X20), S87, 0)</f>
        <v>0</v>
      </c>
      <c r="BK20" s="1016">
        <f>IF((M89=X20), S89, 0)</f>
        <v>0</v>
      </c>
      <c r="BL20" s="1014">
        <f>IF((M92=X20), S92, 0)</f>
        <v>0</v>
      </c>
      <c r="BM20" s="1015">
        <f>IF((M94=X20), S94, 0)</f>
        <v>0</v>
      </c>
      <c r="BN20" s="1015">
        <f>IF((M96=X20), S96, 0)</f>
        <v>0</v>
      </c>
      <c r="BO20" s="1016">
        <f>IF((M98=X20), S98, 0)</f>
        <v>0</v>
      </c>
      <c r="BP20" s="1014">
        <f>IF((M101=X20), S101, 0)</f>
        <v>0</v>
      </c>
      <c r="BQ20" s="1015">
        <f>IF((M103=X20), S103, 0)</f>
        <v>0</v>
      </c>
      <c r="BR20" s="1015">
        <f>IF((M105=X20), S105, 0)</f>
        <v>0</v>
      </c>
      <c r="BS20" s="1016">
        <f>IF((M107=X20), S107, 0)</f>
        <v>0</v>
      </c>
      <c r="BT20" s="1014">
        <f>IF((M110=X20), S110, 0)</f>
        <v>0</v>
      </c>
      <c r="BU20" s="1015">
        <f>IF((M112=X20), S112, 0)</f>
        <v>0</v>
      </c>
      <c r="BV20" s="1015">
        <f>IF((M114=X20), S114, 0)</f>
        <v>0</v>
      </c>
      <c r="BW20" s="1016">
        <f>IF((M116=X20), S116, 0)</f>
        <v>0</v>
      </c>
      <c r="BX20" s="1014">
        <f>IF((M119=X20), S119, 0)</f>
        <v>0</v>
      </c>
      <c r="BY20" s="1015">
        <f>IF((M121=X20), S121, 0)</f>
        <v>0</v>
      </c>
      <c r="BZ20" s="1015">
        <f>IF((M123=X20), S123, 0)</f>
        <v>0</v>
      </c>
      <c r="CA20" s="1016">
        <f>IF((M125=X20), S125, 0)</f>
        <v>0</v>
      </c>
      <c r="CB20" s="1014">
        <f>IF((M128=X20),S128, 0)</f>
        <v>0</v>
      </c>
      <c r="CC20" s="1015">
        <f>IF((M130=X20), S130, 0)</f>
        <v>0</v>
      </c>
      <c r="CD20" s="1015">
        <f>IF((M132=X20), S132, 0)</f>
        <v>0</v>
      </c>
      <c r="CE20" s="1016">
        <f>IF((M134=X20), S134, 0)</f>
        <v>0</v>
      </c>
      <c r="CF20" s="1014">
        <f>IF((M137=X20), S137, 0)</f>
        <v>0</v>
      </c>
      <c r="CG20" s="1015">
        <f>IF((M139=X20), S139, 0)</f>
        <v>0</v>
      </c>
      <c r="CH20" s="1015">
        <f>IF((M141=X20), S141, 0)</f>
        <v>0</v>
      </c>
      <c r="CI20" s="1016">
        <f>IF((M143=X20), S143, 0)</f>
        <v>0</v>
      </c>
      <c r="CJ20" s="1014">
        <f>IF((M146=X20), S146, 0)</f>
        <v>0</v>
      </c>
      <c r="CK20" s="1015">
        <f>IF((M148=X20), S148, 0)</f>
        <v>0</v>
      </c>
      <c r="CL20" s="1015">
        <f>IF((M150=X20), S150, 0)</f>
        <v>0</v>
      </c>
      <c r="CM20" s="1016">
        <f>IF((M152=X20), S152, 0)</f>
        <v>0</v>
      </c>
      <c r="CN20" s="1014">
        <f>IF((M155=X20), S155, 0)</f>
        <v>0</v>
      </c>
      <c r="CO20" s="1015">
        <f>IF((M157=X20), S157, 0)</f>
        <v>0</v>
      </c>
      <c r="CP20" s="1015">
        <f>IF((M159=X20), S159, 0)</f>
        <v>0</v>
      </c>
      <c r="CQ20" s="1016">
        <f>IF((M161=X20), S161, 0)</f>
        <v>0</v>
      </c>
      <c r="CR20" s="1015">
        <f>IF((M164=X20), S164, 0)</f>
        <v>0</v>
      </c>
      <c r="CS20" s="1015">
        <f>IF((M166=X20), S166, 0)</f>
        <v>0</v>
      </c>
      <c r="CT20" s="1015">
        <f>IF((M168=X20), S168, 0)</f>
        <v>0</v>
      </c>
      <c r="CU20" s="1016">
        <f>IF((M170=X20), S170, 0)</f>
        <v>0</v>
      </c>
      <c r="CV20" s="1014">
        <f>IF((M173=X20), S173, 0)</f>
        <v>0</v>
      </c>
      <c r="CW20" s="1015">
        <f>IF((M175=X20), S175, 0)</f>
        <v>0</v>
      </c>
      <c r="CX20" s="1015">
        <f>IF((M177=X20), S177, 0)</f>
        <v>0</v>
      </c>
      <c r="CY20" s="1016">
        <f>IF((M179=X20), S179, 0)</f>
        <v>0</v>
      </c>
      <c r="CZ20" s="1014">
        <f>IF((M182=X20), S182, 0)</f>
        <v>0</v>
      </c>
      <c r="DA20" s="1015">
        <f>IF((M184=X20), S184, 0)</f>
        <v>0</v>
      </c>
      <c r="DB20" s="1015">
        <f>IF((M186=X20), S186, 0)</f>
        <v>0</v>
      </c>
      <c r="DC20" s="1016">
        <f>IF((M188=X20), S188, 0)</f>
        <v>0</v>
      </c>
      <c r="DD20" s="1014">
        <f>IF((M191=X20), S191, 0)</f>
        <v>0</v>
      </c>
      <c r="DE20" s="1015">
        <f>IF((M193=X20), S193, 0)</f>
        <v>0</v>
      </c>
      <c r="DF20" s="1015">
        <f>IF((M195=X20), S195, 0)</f>
        <v>0</v>
      </c>
      <c r="DG20" s="1016">
        <f>IF((M197=X20), S197, 0)</f>
        <v>0</v>
      </c>
      <c r="DH20" s="1014">
        <f>IF((M200=X20), S200, 0)</f>
        <v>0</v>
      </c>
      <c r="DI20" s="1015">
        <f>IF((M202=X20), S202, 0)</f>
        <v>0</v>
      </c>
      <c r="DJ20" s="1015">
        <f>IF((M204=X20), S204, 0)</f>
        <v>0</v>
      </c>
      <c r="DK20" s="1016">
        <f>IF((M206=X20), S206, 0)</f>
        <v>0</v>
      </c>
      <c r="DL20" s="1014">
        <f>IF((M209=X20), S209, 0)</f>
        <v>0</v>
      </c>
      <c r="DM20" s="1015">
        <f>IF((M211=X20), S211, 0)</f>
        <v>0</v>
      </c>
      <c r="DN20" s="1015">
        <f>IF((M213=X20), S213, 0)</f>
        <v>0</v>
      </c>
      <c r="DO20" s="1016">
        <f>IF((M215=X20), S215, 0)</f>
        <v>0</v>
      </c>
      <c r="DP20" s="1014">
        <f>IF((M218=X20), S218, 0)</f>
        <v>0</v>
      </c>
      <c r="DQ20" s="1015">
        <f>IF((M220=X20), S220, 0)</f>
        <v>0</v>
      </c>
      <c r="DR20" s="1015">
        <f>IF((M222=X20), S222, 0)</f>
        <v>0</v>
      </c>
      <c r="DS20" s="1016">
        <f>IF((M224=X20), S224, 0)</f>
        <v>0</v>
      </c>
      <c r="DT20" s="1014">
        <f>IF((M227=X20), S227, 0)</f>
        <v>0</v>
      </c>
      <c r="DU20" s="1015">
        <f>IF((M229=X20), S229, 0)</f>
        <v>0</v>
      </c>
      <c r="DV20" s="1015">
        <f>IF((M231=X20), S231, 0)</f>
        <v>0</v>
      </c>
      <c r="DW20" s="1016">
        <f>IF((M233=X20), S233, 0)</f>
        <v>0</v>
      </c>
      <c r="DX20" s="1014">
        <f>IF((M236=X20), S236, 0)</f>
        <v>0</v>
      </c>
      <c r="DY20" s="1015">
        <f>IF((M238=X20), S238, 0)</f>
        <v>0</v>
      </c>
      <c r="DZ20" s="1015">
        <f>IF((M240=X20), S240, 0)</f>
        <v>0</v>
      </c>
      <c r="EA20" s="1016">
        <f>IF((M242=X20), S242, 0)</f>
        <v>0</v>
      </c>
      <c r="EB20" s="1014">
        <f>IF('NOME + Nº'!E62="SIM",0,IF((M259=X20),V259+IF(H259="SIM",IF((P259=X20),SUM(V260:V263), 0)), IF(H259="SIM",IF((P259=X20),SUM(V260:V263), 0))))</f>
        <v>0</v>
      </c>
      <c r="EC20" s="1015">
        <f>IF('NOME + Nº'!E62="SIM",0,IF((M266=X20), V266+IF(H259="SIM",IF((P266=X20),SUM(V267:V270), 0)), IF(H259="SIM",IF((P266=X20),SUM(V267:V270), 0))))</f>
        <v>0</v>
      </c>
      <c r="ED20" s="1015">
        <f>IF('NOME + Nº'!E62="SIM",0,IF((M273=X14), V273+IF(H259="SIM",IF((P273=X20),SUM(V274:V277), 0)), IF(H259="SIM",IF((P273=X20),SUM(V274:V277), 0))))</f>
        <v>0</v>
      </c>
      <c r="EE20" s="1016">
        <f>IF('NOME + Nº'!E62="SIM",0,IF((M280=X20), V280+IF(H259="SIM",IF((P280=X20),SUM(V281:V284), 0)), IF(H259="SIM",IF((P280=X20),SUM(V281:V284), 0))))</f>
        <v>0</v>
      </c>
      <c r="EF20" s="1017">
        <f>IF(AE33=X20,AE49,0)</f>
        <v>0</v>
      </c>
      <c r="EG20" s="479">
        <f>IF('NOME + Nº'!D28="SIM",SUM(AB20:EF20),0)</f>
        <v>0</v>
      </c>
      <c r="EI20" s="403">
        <f>SUM(EB20:EE20)</f>
        <v>0</v>
      </c>
    </row>
    <row r="21" spans="2:145" ht="18" thickBot="1" x14ac:dyDescent="0.35">
      <c r="B21" s="1620"/>
      <c r="C21" s="1621"/>
      <c r="D21" s="1621"/>
      <c r="E21" s="1621"/>
      <c r="F21" s="1622"/>
      <c r="H21" s="1515" t="s">
        <v>331</v>
      </c>
      <c r="I21" s="1516"/>
      <c r="L21" s="10" t="str">
        <f>IF(K20="SIM","1","0")</f>
        <v>0</v>
      </c>
      <c r="M21" s="10">
        <f>M16</f>
        <v>20</v>
      </c>
      <c r="N21" s="22"/>
      <c r="O21" s="22"/>
      <c r="P21" s="34"/>
      <c r="Q21" s="34"/>
      <c r="R21" s="9">
        <f>O20/(Q20)</f>
        <v>9.0322580645161299</v>
      </c>
      <c r="S21" s="528"/>
      <c r="U21" s="34"/>
      <c r="W21">
        <v>8</v>
      </c>
      <c r="X21" s="961" t="s">
        <v>408</v>
      </c>
      <c r="Y21" s="415" t="str">
        <f>'NOME + Nº'!C66</f>
        <v>Alça ANNA B 30mm</v>
      </c>
      <c r="Z21" s="962" t="e">
        <f>IF(Y21&lt;&gt;0,LOOKUP(Y21,ListaDeEstoque[DESCRIÇÃO],ListaDeEstoque[Preço unitário]),0)</f>
        <v>#N/A</v>
      </c>
      <c r="AA21" s="329" t="e">
        <f>IF(Y21&lt;&gt;0,LOOKUP(Y21,ListaDeEstoque[DESCRIÇÃO],ListaDeEstoque[Largura e Dimensões]),0)</f>
        <v>#N/A</v>
      </c>
      <c r="AB21" s="959">
        <f>IF((K259=Y21), V259, 0)</f>
        <v>0.36397647058823529</v>
      </c>
      <c r="AC21" s="960" t="s">
        <v>267</v>
      </c>
      <c r="AD21" s="960" t="s">
        <v>267</v>
      </c>
      <c r="AE21" s="960" t="s">
        <v>267</v>
      </c>
      <c r="AF21" s="466">
        <f t="shared" ref="AF21:AF26" si="77">SUM(AB21:AE21)</f>
        <v>0.36397647058823529</v>
      </c>
      <c r="BX21"/>
      <c r="CA21" s="454"/>
      <c r="CD21" s="49"/>
      <c r="EB21" s="18"/>
    </row>
    <row r="22" spans="2:145" ht="15.75" thickBot="1" x14ac:dyDescent="0.3">
      <c r="B22" s="1620" t="s">
        <v>255</v>
      </c>
      <c r="C22" s="1621"/>
      <c r="D22" s="1621"/>
      <c r="E22" s="1621"/>
      <c r="F22" s="1622"/>
      <c r="H22" s="1515"/>
      <c r="I22" s="1516"/>
      <c r="J22" s="527">
        <f t="shared" ref="J22" si="78">J20+1</f>
        <v>6</v>
      </c>
      <c r="K22" s="322" t="s">
        <v>189</v>
      </c>
      <c r="L22" s="747">
        <v>1</v>
      </c>
      <c r="M22" s="747" t="s">
        <v>188</v>
      </c>
      <c r="N22" s="748">
        <f>IF((M22=X14),Z14,(IF((M22=X15),Z15,(IF((M22=X16),Z16,(IF((M22=X17),Z17,(IF((M22=X18),Z18,(IF((M22=X19),Z19,(IF((M22=X20),Z20)))))))))))))</f>
        <v>16</v>
      </c>
      <c r="O22" s="749">
        <f>IF((M22=X14),AA14,(IF((M22=X15),AA15,(IF((M22=X16),AA16,(IF((M22=X17),AA17,(IF((M22=X18),AA18,(IF((M22=X19),AA19,(IF((M22=X20),AA20)))))))))))))</f>
        <v>75</v>
      </c>
      <c r="P22" s="750">
        <f>P20</f>
        <v>21.4</v>
      </c>
      <c r="Q22" s="750">
        <f>Q20</f>
        <v>15.5</v>
      </c>
      <c r="R22" s="751">
        <f>IF(R23&lt;(M23*L22), INT(R23),(M23*L22))</f>
        <v>4</v>
      </c>
      <c r="S22" s="752">
        <f>IF(K22="SIM",(N22*L22*(P22/100)/R22)*L23,0)</f>
        <v>0</v>
      </c>
      <c r="T22" s="390">
        <f>R23*L23</f>
        <v>0</v>
      </c>
      <c r="U22" s="34"/>
      <c r="W22">
        <v>9</v>
      </c>
      <c r="X22" s="963" t="s">
        <v>408</v>
      </c>
      <c r="Y22" s="964">
        <f>'NOME + Nº'!C67</f>
        <v>0</v>
      </c>
      <c r="Z22" s="965">
        <f>IF(Y22&lt;&gt;0,LOOKUP(Y22,ListaDeEstoque[DESCRIÇÃO],ListaDeEstoque[Preço unitário]),0)</f>
        <v>0</v>
      </c>
      <c r="AA22" s="966">
        <f>IF(Y22&lt;&gt;0,LOOKUP(Y22,ListaDeEstoque[DESCRIÇÃO],ListaDeEstoque[Largura e Dimensões]),0)</f>
        <v>0</v>
      </c>
      <c r="AB22" s="967" t="s">
        <v>267</v>
      </c>
      <c r="AC22" s="968">
        <f>IF((K266=Y22), V266, 0)</f>
        <v>0</v>
      </c>
      <c r="AD22" s="968" t="s">
        <v>267</v>
      </c>
      <c r="AE22" s="968" t="s">
        <v>267</v>
      </c>
      <c r="AF22" s="418">
        <f t="shared" si="77"/>
        <v>0</v>
      </c>
      <c r="BX22"/>
      <c r="BZ22" s="49"/>
      <c r="EB22" s="18"/>
      <c r="EE22" s="1549" t="s">
        <v>256</v>
      </c>
      <c r="EF22" s="1550"/>
      <c r="EG22" s="408">
        <f>SUM(EG14:EG20)</f>
        <v>8.9467764705882349</v>
      </c>
      <c r="EI22" s="404">
        <f>SUM(EI14:EI20)</f>
        <v>0.7310875816993464</v>
      </c>
    </row>
    <row r="23" spans="2:145" ht="15" customHeight="1" x14ac:dyDescent="0.3">
      <c r="B23" s="1620"/>
      <c r="C23" s="1621"/>
      <c r="D23" s="1621"/>
      <c r="E23" s="1621"/>
      <c r="F23" s="1622"/>
      <c r="H23" s="1515"/>
      <c r="I23" s="1516"/>
      <c r="L23" s="10" t="str">
        <f>IF(K22="SIM","1","0")</f>
        <v>0</v>
      </c>
      <c r="M23" s="10">
        <f>M21</f>
        <v>20</v>
      </c>
      <c r="N23" s="22"/>
      <c r="O23" s="22"/>
      <c r="P23" s="34"/>
      <c r="Q23" s="34"/>
      <c r="R23" s="9">
        <f>O22/(Q22)</f>
        <v>4.838709677419355</v>
      </c>
      <c r="S23" s="528"/>
      <c r="U23" s="34"/>
      <c r="W23">
        <v>10</v>
      </c>
      <c r="X23" s="961" t="s">
        <v>408</v>
      </c>
      <c r="Y23" s="415">
        <f>'NOME + Nº'!C68</f>
        <v>0</v>
      </c>
      <c r="Z23" s="962">
        <f>IF(Y23&lt;&gt;0,LOOKUP(Y23,ListaDeEstoque[DESCRIÇÃO],ListaDeEstoque[Preço unitário]),0)</f>
        <v>0</v>
      </c>
      <c r="AA23" s="329">
        <f>IF(Y23&lt;&gt;0,LOOKUP(Y23,ListaDeEstoque[DESCRIÇÃO],ListaDeEstoque[Largura e Dimensões]),0)</f>
        <v>0</v>
      </c>
      <c r="AB23" s="959" t="s">
        <v>267</v>
      </c>
      <c r="AC23" s="960" t="s">
        <v>267</v>
      </c>
      <c r="AD23" s="960">
        <f>IF((K273=Y23), V273, 0)</f>
        <v>0</v>
      </c>
      <c r="AE23" s="960" t="s">
        <v>267</v>
      </c>
      <c r="AF23" s="466">
        <f t="shared" si="77"/>
        <v>0</v>
      </c>
      <c r="BX23"/>
      <c r="EB23" s="18"/>
    </row>
    <row r="24" spans="2:145" ht="18" customHeight="1" thickBot="1" x14ac:dyDescent="0.3">
      <c r="B24" s="1626"/>
      <c r="C24" s="1627"/>
      <c r="D24" s="1627"/>
      <c r="E24" s="1627"/>
      <c r="F24" s="1628"/>
      <c r="H24" s="1515"/>
      <c r="I24" s="1516"/>
      <c r="J24" s="527">
        <f>J22+1</f>
        <v>7</v>
      </c>
      <c r="K24" s="322" t="s">
        <v>189</v>
      </c>
      <c r="L24" s="747">
        <v>1</v>
      </c>
      <c r="M24" s="747" t="s">
        <v>717</v>
      </c>
      <c r="N24" s="748">
        <f>IF((M24=X14),Z14,(IF((M24=X15),Z15,(IF((M24=X16),Z16,(IF((M24=X17),Z17,(IF((M24=X18),Z18,(IF((M24=X19),Z19,(IF((M24=X20),Z20)))))))))))))</f>
        <v>19.899999999999999</v>
      </c>
      <c r="O24" s="749">
        <f>IF((M24=X14),AA14,(IF((M24=X15),AA15,(IF((M24=X16),AA16,(IF((M24=X17),AA17,(IF((M24=X18),AA18,(IF((M24=X19),AA19,(IF((M24=X20),AA20)))))))))))))</f>
        <v>140</v>
      </c>
      <c r="P24" s="750">
        <f>P22</f>
        <v>21.4</v>
      </c>
      <c r="Q24" s="750">
        <f>Q22</f>
        <v>15.5</v>
      </c>
      <c r="R24" s="751">
        <f>IF(R25&lt;(M25*L24), INT(R25),(M25*L24))</f>
        <v>9</v>
      </c>
      <c r="S24" s="752">
        <f>IF(K24="SIM",(N24*L24*(P24/100)/R24)*L25,0)</f>
        <v>0</v>
      </c>
      <c r="T24" s="390">
        <f>R25*L25</f>
        <v>0</v>
      </c>
      <c r="W24">
        <v>11</v>
      </c>
      <c r="X24" s="963" t="s">
        <v>408</v>
      </c>
      <c r="Y24" s="964">
        <f>'NOME + Nº'!C69</f>
        <v>0</v>
      </c>
      <c r="Z24" s="965">
        <f>IF(Y24&lt;&gt;0,LOOKUP(Y24,ListaDeEstoque[DESCRIÇÃO],ListaDeEstoque[Preço unitário]),0)</f>
        <v>0</v>
      </c>
      <c r="AA24" s="966">
        <f>IF(Y24&lt;&gt;0,LOOKUP(Y24,ListaDeEstoque[DESCRIÇÃO],ListaDeEstoque[Largura e Dimensões]),0)</f>
        <v>0</v>
      </c>
      <c r="AB24" s="967" t="s">
        <v>267</v>
      </c>
      <c r="AC24" s="968" t="s">
        <v>267</v>
      </c>
      <c r="AD24" s="968" t="s">
        <v>267</v>
      </c>
      <c r="AE24" s="968">
        <f>IF((K280=Y24), V280, 0)</f>
        <v>0</v>
      </c>
      <c r="AF24" s="418">
        <f t="shared" si="77"/>
        <v>0</v>
      </c>
      <c r="AH24" s="21"/>
      <c r="AI24" s="21"/>
      <c r="AJ24" s="21"/>
      <c r="AK24" s="21"/>
      <c r="AL24" s="21"/>
      <c r="AM24" s="21"/>
      <c r="AN24" s="21"/>
      <c r="AO24" s="21"/>
      <c r="AP24" s="21"/>
      <c r="AQ24" s="247"/>
      <c r="AR24" s="247"/>
      <c r="AS24" s="247"/>
      <c r="AT24" s="247"/>
      <c r="AU24" s="247"/>
      <c r="AV24" s="247"/>
      <c r="AW24" s="247"/>
      <c r="AX24" s="247"/>
      <c r="AY24" s="247"/>
      <c r="AZ24" s="247"/>
      <c r="BA24" s="247"/>
      <c r="BB24" s="247"/>
      <c r="BC24" s="247"/>
      <c r="BD24" s="247"/>
      <c r="BE24" s="247"/>
      <c r="BF24" s="247"/>
      <c r="BG24" s="247"/>
      <c r="BH24" s="247"/>
      <c r="BI24" s="247"/>
      <c r="BJ24" s="247"/>
      <c r="BK24" s="247"/>
      <c r="BL24" s="247"/>
      <c r="BM24" s="247"/>
      <c r="BN24" s="247"/>
      <c r="BX24"/>
      <c r="EB24" s="18"/>
    </row>
    <row r="25" spans="2:145" ht="18" thickBot="1" x14ac:dyDescent="0.35">
      <c r="H25" s="1515"/>
      <c r="I25" s="1516"/>
      <c r="L25" s="10" t="str">
        <f>IF(K24="SIM","1","0")</f>
        <v>0</v>
      </c>
      <c r="M25" s="10">
        <f>M23</f>
        <v>20</v>
      </c>
      <c r="N25" s="22"/>
      <c r="O25" s="22"/>
      <c r="R25" s="9">
        <f>O24/(Q24)</f>
        <v>9.0322580645161299</v>
      </c>
      <c r="S25" s="528"/>
      <c r="W25">
        <v>12</v>
      </c>
      <c r="X25" s="699" t="s">
        <v>408</v>
      </c>
      <c r="Y25" s="700">
        <f>'NOME + Nº'!C70</f>
        <v>0</v>
      </c>
      <c r="Z25" s="701">
        <f>IF(Y25&lt;&gt;0,LOOKUP(Y25,ListaDeEstoque[DESCRIÇÃO],ListaDeEstoque[Preço unitário]),0)</f>
        <v>0</v>
      </c>
      <c r="AA25" s="702">
        <f>IF(Y25&lt;&gt;0,LOOKUP(Y25,ListaDeEstoque[DESCRIÇÃO],ListaDeEstoque[Largura e Dimensões]),0)</f>
        <v>0</v>
      </c>
      <c r="AB25" s="703">
        <f>IF((K259=Y25), V259, 0)</f>
        <v>0</v>
      </c>
      <c r="AC25" s="704">
        <f>IF((K266=Y25), V266, 0)</f>
        <v>0</v>
      </c>
      <c r="AD25" s="704">
        <f>IF((K273=Y25), V273, 0)</f>
        <v>0</v>
      </c>
      <c r="AE25" s="704">
        <f>IF((K280=Y25), V280, 0)</f>
        <v>0</v>
      </c>
      <c r="AF25" s="705">
        <f t="shared" si="77"/>
        <v>0</v>
      </c>
      <c r="AH25" s="21"/>
      <c r="AI25" s="21"/>
      <c r="AJ25" s="21"/>
      <c r="AK25" s="21"/>
      <c r="AL25" s="21"/>
      <c r="AM25" s="21"/>
      <c r="AN25" s="21"/>
      <c r="AO25" s="21"/>
      <c r="AP25" s="21"/>
      <c r="AQ25" s="247"/>
      <c r="AR25" s="247"/>
      <c r="AS25" s="247"/>
      <c r="AT25" s="247"/>
      <c r="AU25" s="247"/>
      <c r="AV25" s="247"/>
      <c r="AW25" s="247"/>
      <c r="AX25" s="247"/>
      <c r="AY25" s="247"/>
      <c r="AZ25" s="247"/>
      <c r="BA25" s="247"/>
      <c r="BB25" s="247"/>
      <c r="BC25" s="247"/>
      <c r="BD25" s="247"/>
      <c r="BE25" s="247"/>
      <c r="BF25" s="247"/>
      <c r="BG25" s="247"/>
      <c r="BH25" s="247"/>
      <c r="BI25" s="247"/>
      <c r="BJ25" s="247"/>
      <c r="BK25" s="247"/>
      <c r="BL25" s="247"/>
      <c r="BM25" s="247"/>
      <c r="BN25" s="247"/>
      <c r="BX25"/>
    </row>
    <row r="26" spans="2:145" ht="15.75" thickBot="1" x14ac:dyDescent="0.3">
      <c r="B26" s="1632" t="s">
        <v>260</v>
      </c>
      <c r="C26" s="1633"/>
      <c r="D26" s="1633"/>
      <c r="E26" s="1633"/>
      <c r="F26" s="1634"/>
      <c r="H26" s="1517"/>
      <c r="I26" s="1518"/>
      <c r="J26" s="527">
        <f t="shared" ref="J26" si="79">J24+1</f>
        <v>8</v>
      </c>
      <c r="K26" s="322" t="s">
        <v>189</v>
      </c>
      <c r="L26" s="747">
        <v>1</v>
      </c>
      <c r="M26" s="747" t="s">
        <v>717</v>
      </c>
      <c r="N26" s="748">
        <f>IF((M26=X14),Z14,(IF((M26=X15),Z15,(IF((M26=X16),Z16,(IF((M26=X17),Z17,(IF((M26=X18),Z18,(IF((M26=X19),Z19,(IF((M26=X20),Z20)))))))))))))</f>
        <v>19.899999999999999</v>
      </c>
      <c r="O26" s="749">
        <f>IF((M26=X14),AA14,(IF((M26=X15),AA15,(IF((M26=X16),AA16,(IF((M26=X17),AA17,(IF((M26=X18),AA18,(IF((M26=X19),AA19,(IF((M26=X20),AA20)))))))))))))</f>
        <v>140</v>
      </c>
      <c r="P26" s="750">
        <f>P24</f>
        <v>21.4</v>
      </c>
      <c r="Q26" s="750">
        <f>Q24</f>
        <v>15.5</v>
      </c>
      <c r="R26" s="751">
        <f>IF(R28&lt;(M28*L26), INT(R28),(M28*L26))</f>
        <v>9</v>
      </c>
      <c r="S26" s="752">
        <f>IF(K26="SIM",(N26*L26*(P26/100)/R26)*L28,0)</f>
        <v>0</v>
      </c>
      <c r="T26" s="390">
        <f>R28*L28</f>
        <v>0</v>
      </c>
      <c r="W26">
        <v>13</v>
      </c>
      <c r="X26" s="706" t="s">
        <v>408</v>
      </c>
      <c r="Y26" s="707">
        <f>'NOME + Nº'!C71</f>
        <v>0</v>
      </c>
      <c r="Z26" s="708">
        <f>IF(Y26&lt;&gt;0,LOOKUP(Y26,ListaDeEstoque[DESCRIÇÃO],ListaDeEstoque[Preço unitário]),0)</f>
        <v>0</v>
      </c>
      <c r="AA26" s="709">
        <f>IF(Y26&lt;&gt;0,LOOKUP(Y26,ListaDeEstoque[DESCRIÇÃO],ListaDeEstoque[Largura e Dimensões]),0)</f>
        <v>0</v>
      </c>
      <c r="AB26" s="710">
        <f>IF((K259=Y26), V259, 0)</f>
        <v>0</v>
      </c>
      <c r="AC26" s="711">
        <f>IF((K266=Y26), V266, 0)</f>
        <v>0</v>
      </c>
      <c r="AD26" s="711">
        <f>IF((K273=Y26), V273, 0)</f>
        <v>0</v>
      </c>
      <c r="AE26" s="711">
        <f>IF((K280=Y26), V280, 0)</f>
        <v>0</v>
      </c>
      <c r="AF26" s="712">
        <f t="shared" si="77"/>
        <v>0</v>
      </c>
      <c r="AH26" s="21"/>
      <c r="AI26" s="21"/>
      <c r="AJ26" s="21"/>
      <c r="AK26" s="21"/>
      <c r="AL26" s="21"/>
      <c r="AM26" s="21"/>
      <c r="AN26" s="21"/>
      <c r="AO26" s="21"/>
      <c r="AP26" s="21"/>
      <c r="AQ26" s="247"/>
      <c r="AR26" s="247"/>
      <c r="AS26" s="247"/>
      <c r="AT26" s="247"/>
      <c r="AU26" s="247"/>
      <c r="AV26" s="247"/>
      <c r="AW26" s="247"/>
      <c r="AX26" s="247"/>
      <c r="AY26" s="247"/>
      <c r="AZ26" s="247"/>
      <c r="BA26" s="247"/>
      <c r="BB26" s="247"/>
      <c r="BC26" s="247"/>
      <c r="BD26" s="247"/>
      <c r="BE26" s="247"/>
      <c r="BF26" s="247"/>
      <c r="BG26" s="247"/>
      <c r="BH26" s="247"/>
      <c r="BI26" s="247"/>
      <c r="BJ26" s="247"/>
      <c r="BK26" s="247"/>
      <c r="BL26" s="247"/>
      <c r="BM26" s="247"/>
      <c r="BN26" s="247"/>
      <c r="BX26"/>
      <c r="CF26" s="18" t="str">
        <f t="shared" ref="CF26:EA26" si="80">CONCATENATE("M",CF29)</f>
        <v>M137</v>
      </c>
      <c r="CG26" s="18" t="str">
        <f t="shared" si="80"/>
        <v>M139</v>
      </c>
      <c r="CH26" s="18" t="str">
        <f t="shared" si="80"/>
        <v>M141</v>
      </c>
      <c r="CI26" s="18" t="str">
        <f t="shared" si="80"/>
        <v>M143</v>
      </c>
      <c r="CJ26" s="18" t="str">
        <f t="shared" si="80"/>
        <v>M146</v>
      </c>
      <c r="CK26" s="18" t="str">
        <f t="shared" si="80"/>
        <v>M148</v>
      </c>
      <c r="CL26" s="18" t="str">
        <f t="shared" si="80"/>
        <v>M150</v>
      </c>
      <c r="CM26" s="18" t="str">
        <f t="shared" si="80"/>
        <v>M152</v>
      </c>
      <c r="CN26" s="18" t="str">
        <f t="shared" si="80"/>
        <v>M155</v>
      </c>
      <c r="CO26" s="18" t="str">
        <f t="shared" si="80"/>
        <v>M157</v>
      </c>
      <c r="CP26" s="18" t="str">
        <f t="shared" si="80"/>
        <v>M159</v>
      </c>
      <c r="CQ26" s="18" t="str">
        <f t="shared" si="80"/>
        <v>M161</v>
      </c>
      <c r="CR26" s="18" t="str">
        <f t="shared" si="80"/>
        <v>M164</v>
      </c>
      <c r="CS26" s="18" t="str">
        <f t="shared" si="80"/>
        <v>M166</v>
      </c>
      <c r="CT26" s="18" t="str">
        <f t="shared" si="80"/>
        <v>M168</v>
      </c>
      <c r="CU26" s="18" t="str">
        <f t="shared" si="80"/>
        <v>M170</v>
      </c>
      <c r="CV26" s="18" t="str">
        <f t="shared" si="80"/>
        <v>M173</v>
      </c>
      <c r="CW26" s="18" t="str">
        <f t="shared" si="80"/>
        <v>M175</v>
      </c>
      <c r="CX26" s="18" t="str">
        <f t="shared" si="80"/>
        <v>M177</v>
      </c>
      <c r="CY26" s="18" t="str">
        <f t="shared" si="80"/>
        <v>M179</v>
      </c>
      <c r="CZ26" s="18" t="str">
        <f t="shared" si="80"/>
        <v>M182</v>
      </c>
      <c r="DA26" s="18" t="str">
        <f t="shared" si="80"/>
        <v>M184</v>
      </c>
      <c r="DB26" s="18" t="str">
        <f t="shared" si="80"/>
        <v>M186</v>
      </c>
      <c r="DC26" s="18" t="str">
        <f t="shared" si="80"/>
        <v>M188</v>
      </c>
      <c r="DD26" s="18" t="str">
        <f t="shared" si="80"/>
        <v>M191</v>
      </c>
      <c r="DE26" s="18" t="str">
        <f t="shared" si="80"/>
        <v>M193</v>
      </c>
      <c r="DF26" s="18" t="str">
        <f t="shared" si="80"/>
        <v>M195</v>
      </c>
      <c r="DG26" s="18" t="str">
        <f t="shared" si="80"/>
        <v>M197</v>
      </c>
      <c r="DH26" s="18" t="str">
        <f t="shared" si="80"/>
        <v>M200</v>
      </c>
      <c r="DI26" s="18" t="str">
        <f t="shared" si="80"/>
        <v>M202</v>
      </c>
      <c r="DJ26" s="18" t="str">
        <f t="shared" si="80"/>
        <v>M204</v>
      </c>
      <c r="DK26" s="18" t="str">
        <f t="shared" si="80"/>
        <v>M206</v>
      </c>
      <c r="DL26" s="18" t="str">
        <f t="shared" si="80"/>
        <v>M209</v>
      </c>
      <c r="DM26" s="18" t="str">
        <f t="shared" si="80"/>
        <v>M211</v>
      </c>
      <c r="DN26" s="18" t="str">
        <f t="shared" si="80"/>
        <v>M213</v>
      </c>
      <c r="DO26" s="18" t="str">
        <f t="shared" si="80"/>
        <v>M215</v>
      </c>
      <c r="DP26" s="18" t="str">
        <f t="shared" si="80"/>
        <v>M218</v>
      </c>
      <c r="DQ26" s="18" t="str">
        <f t="shared" si="80"/>
        <v>M220</v>
      </c>
      <c r="DR26" s="18" t="str">
        <f t="shared" si="80"/>
        <v>M222</v>
      </c>
      <c r="DS26" s="18" t="str">
        <f t="shared" si="80"/>
        <v>M224</v>
      </c>
      <c r="DT26" s="18" t="str">
        <f t="shared" si="80"/>
        <v>M227</v>
      </c>
      <c r="DU26" s="18" t="str">
        <f>CONCATENATE("M",DU29)</f>
        <v>M229</v>
      </c>
      <c r="DV26" s="18" t="str">
        <f t="shared" si="80"/>
        <v>M231</v>
      </c>
      <c r="DW26" s="18" t="str">
        <f t="shared" si="80"/>
        <v>M233</v>
      </c>
      <c r="DX26" s="18" t="str">
        <f t="shared" si="80"/>
        <v>M236</v>
      </c>
      <c r="DY26" s="18" t="str">
        <f t="shared" si="80"/>
        <v>M238</v>
      </c>
      <c r="DZ26" s="18" t="str">
        <f t="shared" si="80"/>
        <v>M240</v>
      </c>
      <c r="EA26" s="18" t="str">
        <f t="shared" si="80"/>
        <v>M242</v>
      </c>
      <c r="EG26" s="1001"/>
    </row>
    <row r="27" spans="2:145" ht="15.75" thickBot="1" x14ac:dyDescent="0.3">
      <c r="B27" s="429" t="s">
        <v>227</v>
      </c>
      <c r="C27" s="1635" t="s">
        <v>228</v>
      </c>
      <c r="D27" s="1635"/>
      <c r="E27" s="1635"/>
      <c r="F27" s="1636"/>
      <c r="H27" s="753" t="s">
        <v>724</v>
      </c>
      <c r="I27" s="1508"/>
      <c r="J27" s="1519"/>
      <c r="K27" s="1519"/>
      <c r="L27" s="1519"/>
      <c r="M27" s="1519"/>
      <c r="N27" s="1519"/>
      <c r="O27" s="1519"/>
      <c r="P27" s="1519"/>
      <c r="Q27" s="1519"/>
      <c r="R27" s="1519"/>
      <c r="S27" s="1519"/>
      <c r="T27" s="1520"/>
      <c r="AB27" s="21"/>
      <c r="AC27" s="20"/>
      <c r="AD27" s="21"/>
      <c r="AE27" s="21"/>
      <c r="AF27" s="21"/>
      <c r="AH27" s="21"/>
      <c r="AI27" s="21"/>
      <c r="AJ27" s="21"/>
      <c r="AK27" s="21"/>
      <c r="AL27" s="21"/>
      <c r="AM27" s="21"/>
      <c r="AN27" s="21"/>
      <c r="AO27" s="21"/>
      <c r="AP27" s="21"/>
      <c r="AQ27" s="247"/>
      <c r="AR27" s="247"/>
      <c r="AS27" s="247"/>
      <c r="AT27" s="247"/>
      <c r="AU27" s="247"/>
      <c r="AV27" s="247"/>
      <c r="AW27" s="247"/>
      <c r="AX27" s="247"/>
      <c r="AY27" s="247"/>
      <c r="AZ27" s="247"/>
      <c r="BA27" s="247"/>
      <c r="BB27" s="247"/>
      <c r="BC27" s="247"/>
      <c r="BD27" s="247"/>
      <c r="BE27" s="247"/>
      <c r="BF27" s="247"/>
      <c r="BG27" s="247"/>
      <c r="BH27" s="247"/>
      <c r="BI27" s="247"/>
      <c r="BJ27" s="247"/>
      <c r="BK27" s="247"/>
      <c r="BL27" s="247"/>
      <c r="BM27" s="247"/>
      <c r="BN27" s="247"/>
      <c r="BO27" s="247"/>
      <c r="BP27" s="247"/>
      <c r="BQ27" s="247"/>
      <c r="BR27" s="247"/>
      <c r="BS27" s="247"/>
      <c r="BT27" s="246"/>
      <c r="BX27"/>
      <c r="CF27" s="18" t="str">
        <f t="shared" ref="CF27:EA27" si="81">CONCATENATE("S",CF29)</f>
        <v>S137</v>
      </c>
      <c r="CG27" s="18" t="str">
        <f t="shared" si="81"/>
        <v>S139</v>
      </c>
      <c r="CH27" s="18" t="str">
        <f t="shared" si="81"/>
        <v>S141</v>
      </c>
      <c r="CI27" s="18" t="str">
        <f t="shared" si="81"/>
        <v>S143</v>
      </c>
      <c r="CJ27" s="18" t="str">
        <f t="shared" si="81"/>
        <v>S146</v>
      </c>
      <c r="CK27" s="18" t="str">
        <f t="shared" si="81"/>
        <v>S148</v>
      </c>
      <c r="CL27" s="18" t="str">
        <f t="shared" si="81"/>
        <v>S150</v>
      </c>
      <c r="CM27" s="18" t="str">
        <f t="shared" si="81"/>
        <v>S152</v>
      </c>
      <c r="CN27" s="18" t="str">
        <f t="shared" si="81"/>
        <v>S155</v>
      </c>
      <c r="CO27" s="18" t="str">
        <f t="shared" si="81"/>
        <v>S157</v>
      </c>
      <c r="CP27" s="18" t="str">
        <f t="shared" si="81"/>
        <v>S159</v>
      </c>
      <c r="CQ27" s="18" t="str">
        <f t="shared" si="81"/>
        <v>S161</v>
      </c>
      <c r="CR27" s="18" t="str">
        <f t="shared" si="81"/>
        <v>S164</v>
      </c>
      <c r="CS27" s="18" t="str">
        <f t="shared" si="81"/>
        <v>S166</v>
      </c>
      <c r="CT27" s="18" t="str">
        <f t="shared" si="81"/>
        <v>S168</v>
      </c>
      <c r="CU27" s="18" t="str">
        <f t="shared" si="81"/>
        <v>S170</v>
      </c>
      <c r="CV27" s="18" t="str">
        <f t="shared" si="81"/>
        <v>S173</v>
      </c>
      <c r="CW27" s="18" t="str">
        <f t="shared" si="81"/>
        <v>S175</v>
      </c>
      <c r="CX27" s="18" t="str">
        <f t="shared" si="81"/>
        <v>S177</v>
      </c>
      <c r="CY27" s="18" t="str">
        <f t="shared" si="81"/>
        <v>S179</v>
      </c>
      <c r="CZ27" s="18" t="str">
        <f t="shared" si="81"/>
        <v>S182</v>
      </c>
      <c r="DA27" s="18" t="str">
        <f t="shared" si="81"/>
        <v>S184</v>
      </c>
      <c r="DB27" s="18" t="str">
        <f t="shared" si="81"/>
        <v>S186</v>
      </c>
      <c r="DC27" s="18" t="str">
        <f t="shared" si="81"/>
        <v>S188</v>
      </c>
      <c r="DD27" s="18" t="str">
        <f t="shared" si="81"/>
        <v>S191</v>
      </c>
      <c r="DE27" s="18" t="str">
        <f t="shared" si="81"/>
        <v>S193</v>
      </c>
      <c r="DF27" s="18" t="str">
        <f t="shared" si="81"/>
        <v>S195</v>
      </c>
      <c r="DG27" s="18" t="str">
        <f t="shared" si="81"/>
        <v>S197</v>
      </c>
      <c r="DH27" s="18" t="str">
        <f t="shared" si="81"/>
        <v>S200</v>
      </c>
      <c r="DI27" s="18" t="str">
        <f t="shared" si="81"/>
        <v>S202</v>
      </c>
      <c r="DJ27" s="18" t="str">
        <f t="shared" si="81"/>
        <v>S204</v>
      </c>
      <c r="DK27" s="18" t="str">
        <f t="shared" si="81"/>
        <v>S206</v>
      </c>
      <c r="DL27" s="18" t="str">
        <f t="shared" si="81"/>
        <v>S209</v>
      </c>
      <c r="DM27" s="18" t="str">
        <f t="shared" si="81"/>
        <v>S211</v>
      </c>
      <c r="DN27" s="18" t="str">
        <f t="shared" si="81"/>
        <v>S213</v>
      </c>
      <c r="DO27" s="18" t="str">
        <f t="shared" si="81"/>
        <v>S215</v>
      </c>
      <c r="DP27" s="18" t="str">
        <f t="shared" si="81"/>
        <v>S218</v>
      </c>
      <c r="DQ27" s="18" t="str">
        <f t="shared" si="81"/>
        <v>S220</v>
      </c>
      <c r="DR27" s="18" t="str">
        <f t="shared" si="81"/>
        <v>S222</v>
      </c>
      <c r="DS27" s="18" t="str">
        <f t="shared" si="81"/>
        <v>S224</v>
      </c>
      <c r="DT27" s="18" t="str">
        <f t="shared" si="81"/>
        <v>S227</v>
      </c>
      <c r="DU27" s="18" t="str">
        <f t="shared" si="81"/>
        <v>S229</v>
      </c>
      <c r="DV27" s="18" t="str">
        <f t="shared" si="81"/>
        <v>S231</v>
      </c>
      <c r="DW27" s="18" t="str">
        <f t="shared" si="81"/>
        <v>S233</v>
      </c>
      <c r="DX27" s="18" t="str">
        <f t="shared" si="81"/>
        <v>S236</v>
      </c>
      <c r="DY27" s="18" t="str">
        <f t="shared" si="81"/>
        <v>S238</v>
      </c>
      <c r="DZ27" s="18" t="str">
        <f t="shared" si="81"/>
        <v>S240</v>
      </c>
      <c r="EA27" s="18" t="str">
        <f t="shared" si="81"/>
        <v>S242</v>
      </c>
    </row>
    <row r="28" spans="2:145" ht="17.25" customHeight="1" thickBot="1" x14ac:dyDescent="0.35">
      <c r="B28" s="283"/>
      <c r="C28" s="1303"/>
      <c r="D28" s="1303"/>
      <c r="E28" s="1303"/>
      <c r="F28" s="1553"/>
      <c r="K28" s="20"/>
      <c r="L28" s="10" t="str">
        <f>IF(K26="SIM","1","0")</f>
        <v>0</v>
      </c>
      <c r="M28" s="10">
        <f>M25</f>
        <v>20</v>
      </c>
      <c r="N28" s="22"/>
      <c r="O28" s="22"/>
      <c r="R28" s="9">
        <f>O26/(Q26)</f>
        <v>9.0322580645161299</v>
      </c>
      <c r="S28" s="528"/>
      <c r="AB28" s="21"/>
      <c r="AD28" s="1549" t="s">
        <v>414</v>
      </c>
      <c r="AE28" s="1619"/>
      <c r="AF28" s="408">
        <f>SUM(AF21:AF26)</f>
        <v>0.36397647058823529</v>
      </c>
      <c r="AH28" s="21"/>
      <c r="AI28" s="21"/>
      <c r="AJ28" s="21"/>
      <c r="AK28" s="21"/>
      <c r="AL28" s="21"/>
      <c r="AM28" s="21"/>
      <c r="AN28" s="21"/>
      <c r="AO28" s="21"/>
      <c r="AP28" s="21"/>
      <c r="AQ28" s="247"/>
      <c r="AR28" s="247"/>
      <c r="AS28" s="247"/>
      <c r="AT28" s="247"/>
      <c r="AU28" s="247"/>
      <c r="AV28" s="247"/>
      <c r="AW28" s="247"/>
      <c r="AX28" s="247"/>
      <c r="AY28" s="247"/>
      <c r="AZ28" s="247"/>
      <c r="BA28" s="247"/>
      <c r="BB28" s="247"/>
      <c r="BC28" s="247"/>
      <c r="BD28" s="247"/>
      <c r="BE28" s="247"/>
      <c r="BF28" s="247"/>
      <c r="BG28" s="247"/>
      <c r="BH28" s="247"/>
      <c r="BI28" s="247"/>
      <c r="BJ28" s="247"/>
      <c r="BK28" s="247"/>
      <c r="BL28" s="247"/>
      <c r="BM28" s="247"/>
      <c r="BN28" s="247"/>
      <c r="BO28" s="247"/>
      <c r="BP28" s="247"/>
      <c r="BQ28" s="247"/>
      <c r="BR28" s="247"/>
      <c r="BS28" s="247"/>
      <c r="BT28" s="246"/>
      <c r="BX2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row>
    <row r="29" spans="2:145" ht="15" customHeight="1" x14ac:dyDescent="0.25">
      <c r="B29" s="427"/>
      <c r="C29" s="1303"/>
      <c r="D29" s="1303"/>
      <c r="E29" s="1303"/>
      <c r="F29" s="1553"/>
      <c r="G29">
        <f>G20+1</f>
        <v>3</v>
      </c>
      <c r="H29" s="1521" t="str">
        <f>CONCATENATE("MOLDE ",G29)</f>
        <v>MOLDE 3</v>
      </c>
      <c r="I29" s="1522"/>
      <c r="J29" s="527">
        <f>J26+1</f>
        <v>9</v>
      </c>
      <c r="K29" s="322" t="s">
        <v>189</v>
      </c>
      <c r="L29" s="747">
        <v>1</v>
      </c>
      <c r="M29" s="747" t="s">
        <v>918</v>
      </c>
      <c r="N29" s="748" t="b">
        <f>IF((M29=X14),Z14,(IF((M29=X15),Z15,(IF((M29=X16),Z16,(IF((M29=X17),Z17,(IF((M29=X18),Z18,(IF((M29=X19),Z19,(IF((M29=X20),Z20)))))))))))))</f>
        <v>0</v>
      </c>
      <c r="O29" s="749" t="b">
        <f>IF((M29=X14),AA14,(IF((M29=X15),AA15,(IF((M29=X16),AA16,(IF((M29=X17),AA17,(IF((M29=X18),AA18,(IF((M29=X19),AA19,(IF((M29=X20),AA20)))))))))))))</f>
        <v>0</v>
      </c>
      <c r="P29" s="713">
        <f>Z34+2*Z37+Z38-P38</f>
        <v>4.5</v>
      </c>
      <c r="Q29" s="713">
        <f>Z33+2*Z38</f>
        <v>11.4</v>
      </c>
      <c r="R29" s="751">
        <f>IF(R30&lt;(M30*L29), INT(R30),(M30*L29))</f>
        <v>0</v>
      </c>
      <c r="S29" s="752">
        <f>IF(K29="SIM",(N29*L29*(P29/100)/R29)*L30,0)</f>
        <v>0</v>
      </c>
      <c r="T29" s="390">
        <f>R30*L30</f>
        <v>0</v>
      </c>
      <c r="U29" s="400">
        <f>IF(K29="SIM",1,IF(K31="SIM",1,IF(K33="SIM",1,IF(K35="SIM",1,0))))</f>
        <v>0</v>
      </c>
      <c r="BX29"/>
      <c r="CF29" s="18">
        <v>137</v>
      </c>
      <c r="CG29" s="18">
        <f>CF29+2</f>
        <v>139</v>
      </c>
      <c r="CH29" s="18">
        <f t="shared" ref="CH29:CM29" si="82">CG29+2</f>
        <v>141</v>
      </c>
      <c r="CI29" s="18">
        <f t="shared" si="82"/>
        <v>143</v>
      </c>
      <c r="CJ29" s="18">
        <f>CI29+3</f>
        <v>146</v>
      </c>
      <c r="CK29" s="18">
        <f t="shared" si="82"/>
        <v>148</v>
      </c>
      <c r="CL29" s="18">
        <f t="shared" si="82"/>
        <v>150</v>
      </c>
      <c r="CM29" s="18">
        <f t="shared" si="82"/>
        <v>152</v>
      </c>
      <c r="CN29" s="18">
        <f>CM29+3</f>
        <v>155</v>
      </c>
      <c r="CO29" s="18">
        <f>CN29+2</f>
        <v>157</v>
      </c>
      <c r="CP29" s="18">
        <f t="shared" ref="CP29:CU29" si="83">CO29+2</f>
        <v>159</v>
      </c>
      <c r="CQ29" s="18">
        <f t="shared" si="83"/>
        <v>161</v>
      </c>
      <c r="CR29" s="18">
        <f>CQ29+3</f>
        <v>164</v>
      </c>
      <c r="CS29" s="18">
        <f t="shared" si="83"/>
        <v>166</v>
      </c>
      <c r="CT29" s="18">
        <f t="shared" si="83"/>
        <v>168</v>
      </c>
      <c r="CU29" s="18">
        <f t="shared" si="83"/>
        <v>170</v>
      </c>
      <c r="CV29" s="18">
        <f t="shared" ref="CV29" si="84">CU29+3</f>
        <v>173</v>
      </c>
      <c r="CW29" s="18">
        <f t="shared" ref="CW29:EA29" si="85">CV29+2</f>
        <v>175</v>
      </c>
      <c r="CX29" s="18">
        <f t="shared" si="85"/>
        <v>177</v>
      </c>
      <c r="CY29" s="18">
        <f t="shared" si="85"/>
        <v>179</v>
      </c>
      <c r="CZ29" s="18">
        <f t="shared" ref="CZ29" si="86">CY29+3</f>
        <v>182</v>
      </c>
      <c r="DA29" s="18">
        <f t="shared" si="85"/>
        <v>184</v>
      </c>
      <c r="DB29" s="18">
        <f t="shared" si="85"/>
        <v>186</v>
      </c>
      <c r="DC29" s="18">
        <f t="shared" si="85"/>
        <v>188</v>
      </c>
      <c r="DD29" s="18">
        <f t="shared" ref="DD29" si="87">DC29+3</f>
        <v>191</v>
      </c>
      <c r="DE29" s="18">
        <f t="shared" ref="DE29" si="88">DD29+2</f>
        <v>193</v>
      </c>
      <c r="DF29" s="18">
        <f t="shared" si="85"/>
        <v>195</v>
      </c>
      <c r="DG29" s="18">
        <f t="shared" si="85"/>
        <v>197</v>
      </c>
      <c r="DH29" s="18">
        <f t="shared" ref="DH29" si="89">DG29+3</f>
        <v>200</v>
      </c>
      <c r="DI29" s="18">
        <f t="shared" si="85"/>
        <v>202</v>
      </c>
      <c r="DJ29" s="18">
        <f t="shared" si="85"/>
        <v>204</v>
      </c>
      <c r="DK29" s="18">
        <f t="shared" si="85"/>
        <v>206</v>
      </c>
      <c r="DL29" s="18">
        <f t="shared" ref="DL29" si="90">DK29+3</f>
        <v>209</v>
      </c>
      <c r="DM29" s="18">
        <f t="shared" ref="DM29" si="91">DL29+2</f>
        <v>211</v>
      </c>
      <c r="DN29" s="18">
        <f t="shared" si="85"/>
        <v>213</v>
      </c>
      <c r="DO29" s="18">
        <f t="shared" si="85"/>
        <v>215</v>
      </c>
      <c r="DP29" s="18">
        <f t="shared" ref="DP29" si="92">DO29+3</f>
        <v>218</v>
      </c>
      <c r="DQ29" s="18">
        <f t="shared" si="85"/>
        <v>220</v>
      </c>
      <c r="DR29" s="18">
        <f t="shared" si="85"/>
        <v>222</v>
      </c>
      <c r="DS29" s="18">
        <f t="shared" si="85"/>
        <v>224</v>
      </c>
      <c r="DT29" s="18">
        <f t="shared" ref="DT29" si="93">DS29+3</f>
        <v>227</v>
      </c>
      <c r="DU29" s="18">
        <f t="shared" ref="DU29" si="94">DT29+2</f>
        <v>229</v>
      </c>
      <c r="DV29" s="18">
        <f t="shared" si="85"/>
        <v>231</v>
      </c>
      <c r="DW29" s="18">
        <f t="shared" si="85"/>
        <v>233</v>
      </c>
      <c r="DX29" s="18">
        <f t="shared" ref="DX29" si="95">DW29+3</f>
        <v>236</v>
      </c>
      <c r="DY29" s="18">
        <f t="shared" si="85"/>
        <v>238</v>
      </c>
      <c r="DZ29" s="18">
        <f t="shared" si="85"/>
        <v>240</v>
      </c>
      <c r="EA29" s="18">
        <f t="shared" si="85"/>
        <v>242</v>
      </c>
    </row>
    <row r="30" spans="2:145" ht="18" thickBot="1" x14ac:dyDescent="0.35">
      <c r="B30" s="427"/>
      <c r="C30" s="1303"/>
      <c r="D30" s="1303"/>
      <c r="E30" s="1303"/>
      <c r="F30" s="1553"/>
      <c r="H30" s="1515" t="s">
        <v>331</v>
      </c>
      <c r="I30" s="1516"/>
      <c r="L30" s="10" t="str">
        <f>IF(K29="SIM","1","0")</f>
        <v>0</v>
      </c>
      <c r="M30" s="10">
        <f>M25</f>
        <v>20</v>
      </c>
      <c r="N30" s="22"/>
      <c r="O30" s="22"/>
      <c r="P30" s="34"/>
      <c r="Q30" s="34"/>
      <c r="R30" s="9">
        <f>O29/(Q29)</f>
        <v>0</v>
      </c>
      <c r="S30" s="528"/>
      <c r="U30" s="34"/>
      <c r="AB30" s="250">
        <f>N259</f>
        <v>49.9</v>
      </c>
      <c r="AC30" s="250">
        <f>N266</f>
        <v>49.9</v>
      </c>
      <c r="AD30" s="250">
        <f>N273</f>
        <v>19.899999999999999</v>
      </c>
      <c r="AE30" s="250">
        <f>N280</f>
        <v>49.9</v>
      </c>
      <c r="BX30"/>
    </row>
    <row r="31" spans="2:145" ht="18" customHeight="1" thickBot="1" x14ac:dyDescent="0.3">
      <c r="B31" s="283"/>
      <c r="C31" s="1303"/>
      <c r="D31" s="1303"/>
      <c r="E31" s="1303"/>
      <c r="F31" s="1553"/>
      <c r="H31" s="1515"/>
      <c r="I31" s="1516"/>
      <c r="J31" s="527">
        <f t="shared" ref="J31" si="96">J29+1</f>
        <v>10</v>
      </c>
      <c r="K31" s="322" t="s">
        <v>189</v>
      </c>
      <c r="L31" s="747">
        <v>1</v>
      </c>
      <c r="M31" s="747" t="s">
        <v>719</v>
      </c>
      <c r="N31" s="748" t="b">
        <f>IF((M31=X14),Z14,(IF((M31=X15),Z15,(IF((M31=X16),Z16,(IF((M31=X17),Z17,(IF((M31=X18),Z18,(IF((M31=X19),Z19,(IF((M31=X20),Z20)))))))))))))</f>
        <v>0</v>
      </c>
      <c r="O31" s="749" t="b">
        <f>IF((M31=X14),AA14,(IF((M31=X15),AA15,(IF((M31=X16),AA16,(IF((M31=X17),AA17,(IF((M31=X18),AA18,(IF((M31=X19),AA19,(IF((M31=X20),AA20)))))))))))))</f>
        <v>0</v>
      </c>
      <c r="P31" s="750">
        <f>P29</f>
        <v>4.5</v>
      </c>
      <c r="Q31" s="750">
        <f>Q29</f>
        <v>11.4</v>
      </c>
      <c r="R31" s="751">
        <f>IF(R32&lt;(M32*L31), INT(R32),(M32*L31))</f>
        <v>0</v>
      </c>
      <c r="S31" s="752">
        <f>IF(K31="SIM",(N31*L31*(P31/100)/R31)*L32,0)</f>
        <v>0</v>
      </c>
      <c r="T31" s="390">
        <f>R32*L32</f>
        <v>0</v>
      </c>
      <c r="U31" s="34"/>
      <c r="X31" s="1575" t="s">
        <v>257</v>
      </c>
      <c r="Y31" s="1576"/>
      <c r="Z31" s="1577"/>
      <c r="BR31" s="49"/>
      <c r="BS31" s="49"/>
      <c r="BX31"/>
    </row>
    <row r="32" spans="2:145" ht="17.25" x14ac:dyDescent="0.3">
      <c r="B32" s="283"/>
      <c r="C32" s="1303"/>
      <c r="D32" s="1303"/>
      <c r="E32" s="1303"/>
      <c r="F32" s="1553"/>
      <c r="H32" s="1515"/>
      <c r="I32" s="1516"/>
      <c r="L32" s="10" t="str">
        <f>IF(K31="SIM","1","0")</f>
        <v>0</v>
      </c>
      <c r="M32" s="10">
        <f>M30</f>
        <v>20</v>
      </c>
      <c r="N32" s="22"/>
      <c r="O32" s="22"/>
      <c r="P32" s="34"/>
      <c r="Q32" s="34"/>
      <c r="R32" s="9">
        <f>O31/(Q31)</f>
        <v>0</v>
      </c>
      <c r="S32" s="528"/>
      <c r="U32" s="34"/>
      <c r="X32" s="1618" t="str">
        <f>'NOME + Nº'!B13</f>
        <v>Altura (H - Altura máxima)</v>
      </c>
      <c r="Y32" s="1618"/>
      <c r="Z32" s="157">
        <f>'NOME + Nº'!D13</f>
        <v>15</v>
      </c>
      <c r="AC32" s="1583" t="s">
        <v>258</v>
      </c>
      <c r="AD32" s="1584"/>
      <c r="AE32" s="1584"/>
      <c r="AF32" s="1584"/>
      <c r="AG32" s="1585"/>
      <c r="BR32" s="49"/>
      <c r="BS32" s="49"/>
      <c r="BX32"/>
    </row>
    <row r="33" spans="2:76" x14ac:dyDescent="0.25">
      <c r="B33" s="283"/>
      <c r="C33" s="1303"/>
      <c r="D33" s="1303"/>
      <c r="E33" s="1303"/>
      <c r="F33" s="1553"/>
      <c r="H33" s="1515"/>
      <c r="I33" s="1516"/>
      <c r="J33" s="527">
        <f>J31+1</f>
        <v>11</v>
      </c>
      <c r="K33" s="322" t="s">
        <v>189</v>
      </c>
      <c r="L33" s="747">
        <v>1</v>
      </c>
      <c r="M33" s="747" t="s">
        <v>717</v>
      </c>
      <c r="N33" s="748">
        <f>IF((M33=X14),Z14,(IF((M33=X15),Z15,(IF((M33=X16),Z16,(IF((M33=X17),Z17,(IF((M33=X18),Z18,(IF((M33=X19),Z19,(IF((M33=X20),Z20)))))))))))))</f>
        <v>19.899999999999999</v>
      </c>
      <c r="O33" s="749">
        <f>IF((M33=X14),AA14,(IF((M33=X15),AA15,(IF((M33=X16),AA16,(IF((M33=X17),AA17,(IF((M33=X18),AA18,(IF((M33=X19),AA19,(IF((M33=X20),AA20)))))))))))))</f>
        <v>140</v>
      </c>
      <c r="P33" s="750">
        <f>P31</f>
        <v>4.5</v>
      </c>
      <c r="Q33" s="750">
        <f>Q31</f>
        <v>11.4</v>
      </c>
      <c r="R33" s="751">
        <f>IF(R34&lt;(M34*L33), INT(R34),(M34*L33))</f>
        <v>12</v>
      </c>
      <c r="S33" s="752">
        <f>IF(K33="SIM",(N33*L33*(P33/100)/R33)*L34,0)</f>
        <v>0</v>
      </c>
      <c r="T33" s="390">
        <f>R34*L34</f>
        <v>0</v>
      </c>
      <c r="X33" s="1394" t="str">
        <f>'NOME + Nº'!B14</f>
        <v>Base (B - Vista Frontal)</v>
      </c>
      <c r="Y33" s="1394"/>
      <c r="Z33" s="156">
        <f>'NOME + Nº'!D14</f>
        <v>10</v>
      </c>
      <c r="AC33" s="1582" t="s">
        <v>377</v>
      </c>
      <c r="AD33" s="1582"/>
      <c r="AE33" s="1642" t="s">
        <v>768</v>
      </c>
      <c r="AF33" s="1643"/>
      <c r="AG33" s="391">
        <f>IF((AE33=X14),Z14,(IF((AE33=X15),Z15,(IF((AE33=X16),Z16,(IF((AE33=X17),Z17,(IF((AE33=X18),Z18,(IF((AE33=X19),Z19)))))))))))</f>
        <v>49.9</v>
      </c>
      <c r="BR33" s="49"/>
      <c r="BS33" s="49"/>
      <c r="BX33"/>
    </row>
    <row r="34" spans="2:76" ht="17.25" x14ac:dyDescent="0.3">
      <c r="B34" s="283"/>
      <c r="C34" s="1303"/>
      <c r="D34" s="1303"/>
      <c r="E34" s="1303"/>
      <c r="F34" s="1553"/>
      <c r="H34" s="1515"/>
      <c r="I34" s="1516"/>
      <c r="L34" s="10" t="str">
        <f>IF(K33="SIM","1","0")</f>
        <v>0</v>
      </c>
      <c r="M34" s="10">
        <f>M32</f>
        <v>20</v>
      </c>
      <c r="N34" s="22"/>
      <c r="O34" s="22"/>
      <c r="R34" s="9">
        <f>O33/(Q33)</f>
        <v>12.280701754385964</v>
      </c>
      <c r="S34" s="528"/>
      <c r="T34"/>
      <c r="X34" s="1394" t="str">
        <f>'NOME + Nº'!B15</f>
        <v>Largura (L - Vista Lateral)</v>
      </c>
      <c r="Y34" s="1394"/>
      <c r="Z34" s="156">
        <f>'NOME + Nº'!D15</f>
        <v>5</v>
      </c>
      <c r="AC34" s="20"/>
      <c r="AD34" s="217"/>
      <c r="AE34" s="217"/>
      <c r="AG34" s="389"/>
      <c r="BR34" s="49"/>
      <c r="BS34" s="49"/>
      <c r="BX34"/>
    </row>
    <row r="35" spans="2:76" ht="17.25" customHeight="1" thickBot="1" x14ac:dyDescent="0.3">
      <c r="B35" s="283"/>
      <c r="C35" s="1616"/>
      <c r="D35" s="1303"/>
      <c r="E35" s="1303"/>
      <c r="F35" s="1553"/>
      <c r="H35" s="1517"/>
      <c r="I35" s="1518"/>
      <c r="J35" s="527">
        <f t="shared" ref="J35" si="97">J33+1</f>
        <v>12</v>
      </c>
      <c r="K35" s="322" t="s">
        <v>189</v>
      </c>
      <c r="L35" s="747">
        <v>2</v>
      </c>
      <c r="M35" s="747" t="s">
        <v>717</v>
      </c>
      <c r="N35" s="748">
        <f>IF((M35=X14),Z14,(IF((M35=X15),Z15,(IF((M35=X16),Z16,(IF((M35=X17),Z17,(IF((M35=X18),Z18,(IF((M35=X19),Z19,(IF((M35=X20),Z20)))))))))))))</f>
        <v>19.899999999999999</v>
      </c>
      <c r="O35" s="749">
        <f>IF((M35=X14),AA14,(IF((M35=X15),AA15,(IF((M35=X16),AA16,(IF((M35=X17),AA17,(IF((M35=X18),AA18,(IF((M35=X19),AA19,(IF((M35=X20),AA20)))))))))))))</f>
        <v>140</v>
      </c>
      <c r="P35" s="750">
        <f>P33</f>
        <v>4.5</v>
      </c>
      <c r="Q35" s="750">
        <f>Q33</f>
        <v>11.4</v>
      </c>
      <c r="R35" s="751">
        <f>IF(R37&lt;(M37*L35), INT(R37),(M37*L35))</f>
        <v>12</v>
      </c>
      <c r="S35" s="752">
        <f>IF(K35="SIM",(N35*L35*(P35/100)/R35)*L37,0)</f>
        <v>0</v>
      </c>
      <c r="T35" s="390">
        <f>R37*L37</f>
        <v>0</v>
      </c>
      <c r="X35" s="1394" t="str">
        <f>'NOME + Nº'!B16</f>
        <v>(Outro parâmetro)</v>
      </c>
      <c r="Y35" s="1394"/>
      <c r="Z35" s="156">
        <f>'NOME + Nº'!D16</f>
        <v>0</v>
      </c>
      <c r="AC35" s="1544" t="s">
        <v>195</v>
      </c>
      <c r="AD35" s="1545"/>
      <c r="AE35" s="1545"/>
      <c r="AF35" s="1546"/>
      <c r="AG35" s="328" t="s">
        <v>259</v>
      </c>
      <c r="BR35" s="49"/>
      <c r="BS35" s="49"/>
      <c r="BX35"/>
    </row>
    <row r="36" spans="2:76" ht="15" customHeight="1" x14ac:dyDescent="0.25">
      <c r="B36" s="283"/>
      <c r="C36" s="1303"/>
      <c r="D36" s="1303"/>
      <c r="E36" s="1303"/>
      <c r="F36" s="1553"/>
      <c r="H36" s="753" t="s">
        <v>724</v>
      </c>
      <c r="I36" s="1508"/>
      <c r="J36" s="1519"/>
      <c r="K36" s="1519"/>
      <c r="L36" s="1519"/>
      <c r="M36" s="1519"/>
      <c r="N36" s="1519"/>
      <c r="O36" s="1519"/>
      <c r="P36" s="1519"/>
      <c r="Q36" s="1519"/>
      <c r="R36" s="1519"/>
      <c r="S36" s="1519"/>
      <c r="T36" s="1520"/>
      <c r="X36" s="1394" t="str">
        <f>'NOME + Nº'!B17</f>
        <v>(Outro parâmetro)</v>
      </c>
      <c r="Y36" s="1394"/>
      <c r="Z36" s="156">
        <f>'NOME + Nº'!D17</f>
        <v>0</v>
      </c>
      <c r="AC36" s="1579" t="s">
        <v>261</v>
      </c>
      <c r="AD36" s="1580"/>
      <c r="AE36" s="1580"/>
      <c r="AF36" s="1581"/>
      <c r="AG36" s="392">
        <f>(PI()*Z32)+5*Z37</f>
        <v>52.123889803846893</v>
      </c>
      <c r="BR36" s="49"/>
      <c r="BS36" s="49"/>
      <c r="BX36"/>
    </row>
    <row r="37" spans="2:76" ht="15" customHeight="1" thickBot="1" x14ac:dyDescent="0.3">
      <c r="B37" s="283"/>
      <c r="C37" s="1617"/>
      <c r="D37" s="1551"/>
      <c r="E37" s="1551"/>
      <c r="F37" s="1552"/>
      <c r="K37" s="20"/>
      <c r="L37" s="10" t="str">
        <f>IF(K35="SIM","1","0")</f>
        <v>0</v>
      </c>
      <c r="M37" s="10">
        <f>M34</f>
        <v>20</v>
      </c>
      <c r="N37" s="22"/>
      <c r="O37" s="22"/>
      <c r="R37" s="9">
        <f>O35/(Q35)</f>
        <v>12.280701754385964</v>
      </c>
      <c r="X37" s="1394" t="str">
        <f>'NOME + Nº'!B18</f>
        <v xml:space="preserve">Margem </v>
      </c>
      <c r="Y37" s="1394"/>
      <c r="Z37" s="156">
        <f>'NOME + Nº'!D18</f>
        <v>1</v>
      </c>
      <c r="AC37" s="1579" t="s">
        <v>262</v>
      </c>
      <c r="AD37" s="1580"/>
      <c r="AE37" s="1580"/>
      <c r="AF37" s="1581"/>
      <c r="AG37" s="393">
        <v>2</v>
      </c>
      <c r="BR37" s="49"/>
      <c r="BS37" s="49"/>
      <c r="BX37"/>
    </row>
    <row r="38" spans="2:76" ht="17.25" customHeight="1" x14ac:dyDescent="0.25">
      <c r="B38" s="283"/>
      <c r="C38" s="1303"/>
      <c r="D38" s="1303"/>
      <c r="E38" s="1303"/>
      <c r="F38" s="1553"/>
      <c r="G38">
        <f>G29+1</f>
        <v>4</v>
      </c>
      <c r="H38" s="1521" t="str">
        <f>CONCATENATE("MOLDE ",G38)</f>
        <v>MOLDE 4</v>
      </c>
      <c r="I38" s="1522"/>
      <c r="J38" s="527">
        <f>J35+1</f>
        <v>13</v>
      </c>
      <c r="K38" s="322" t="s">
        <v>189</v>
      </c>
      <c r="L38" s="747">
        <v>2</v>
      </c>
      <c r="M38" s="747" t="s">
        <v>717</v>
      </c>
      <c r="N38" s="748">
        <f>IF((M38=X14),Z14,(IF((M38=X15),Z15,(IF((M38=X16),Z16,(IF((M38=X17),Z17,(IF((M38=X18),Z18,(IF((M38=X19),Z19,(IF((M38=X20),Z20)))))))))))))</f>
        <v>19.899999999999999</v>
      </c>
      <c r="O38" s="749">
        <f>IF((M38=X14),AA14,(IF((M38=X15),AA15,(IF((M38=X16),AA16,(IF((M38=X17),AA17,(IF((M38=X18),AA18,(IF((M38=X19),AA19,(IF((M38=X20),AA20)))))))))))))</f>
        <v>140</v>
      </c>
      <c r="P38" s="713">
        <f>3.2</f>
        <v>3.2</v>
      </c>
      <c r="Q38" s="713">
        <f>Z33+2*Z38</f>
        <v>11.4</v>
      </c>
      <c r="R38" s="751">
        <f>IF(R39&lt;(M39*L38), INT(R39),(M39*L38))</f>
        <v>12</v>
      </c>
      <c r="S38" s="752">
        <f>IF(K38="SIM",(N38*L38*(P38/100)/R38)*L39,0)</f>
        <v>0</v>
      </c>
      <c r="T38" s="390">
        <f>R39*L39</f>
        <v>0</v>
      </c>
      <c r="U38" s="400">
        <f>IF(K38="SIM",1,IF(K40="SIM",1,IF(K42="SIM",1,IF(K44="SIM",1,0))))</f>
        <v>0</v>
      </c>
      <c r="X38" s="1578" t="s">
        <v>264</v>
      </c>
      <c r="Y38" s="1578"/>
      <c r="Z38" s="155">
        <v>0.7</v>
      </c>
      <c r="AC38" s="1559" t="s">
        <v>263</v>
      </c>
      <c r="AD38" s="1560"/>
      <c r="AE38" s="1560"/>
      <c r="AF38" s="1561"/>
      <c r="AG38" s="394">
        <f>J8</f>
        <v>20</v>
      </c>
      <c r="BR38" s="49"/>
      <c r="BS38" s="49"/>
      <c r="BX38"/>
    </row>
    <row r="39" spans="2:76" ht="15" customHeight="1" x14ac:dyDescent="0.3">
      <c r="B39" s="428"/>
      <c r="C39" s="1303"/>
      <c r="D39" s="1303"/>
      <c r="E39" s="1303"/>
      <c r="F39" s="1553"/>
      <c r="H39" s="1515" t="s">
        <v>331</v>
      </c>
      <c r="I39" s="1516"/>
      <c r="L39" s="10" t="str">
        <f>IF(K38="SIM","1","0")</f>
        <v>0</v>
      </c>
      <c r="M39" s="10">
        <f>M34</f>
        <v>20</v>
      </c>
      <c r="N39" s="22"/>
      <c r="O39" s="22"/>
      <c r="P39" s="34"/>
      <c r="Q39" s="34"/>
      <c r="R39" s="9">
        <f>O38/(Q38)</f>
        <v>12.280701754385964</v>
      </c>
      <c r="S39" s="528"/>
      <c r="U39" s="34"/>
      <c r="X39" s="1578" t="s">
        <v>266</v>
      </c>
      <c r="Y39" s="1578"/>
      <c r="Z39" s="155" t="s">
        <v>267</v>
      </c>
      <c r="AC39" s="1559" t="s">
        <v>378</v>
      </c>
      <c r="AD39" s="1560"/>
      <c r="AE39" s="1560"/>
      <c r="AF39" s="1561"/>
      <c r="AG39" s="395">
        <f>(AG36*AG37*AG38)+(AG38*'NOME + Nº'!D18)</f>
        <v>2104.9555921538758</v>
      </c>
      <c r="BR39" s="49"/>
      <c r="BS39" s="49"/>
      <c r="BX39"/>
    </row>
    <row r="40" spans="2:76" ht="17.25" customHeight="1" x14ac:dyDescent="0.25">
      <c r="B40" s="283"/>
      <c r="C40" s="1303"/>
      <c r="D40" s="1303"/>
      <c r="E40" s="1303"/>
      <c r="F40" s="1553"/>
      <c r="H40" s="1515"/>
      <c r="I40" s="1516"/>
      <c r="J40" s="527">
        <f t="shared" ref="J40" si="98">J38+1</f>
        <v>14</v>
      </c>
      <c r="K40" s="322" t="s">
        <v>189</v>
      </c>
      <c r="L40" s="747">
        <v>1</v>
      </c>
      <c r="M40" s="747" t="s">
        <v>918</v>
      </c>
      <c r="N40" s="748" t="b">
        <f>IF((M40=X14),Z14,(IF((M40=X15),Z15,(IF((M40=X16),Z16,(IF((M40=X17),Z17,(IF((M40=X18),Z18,(IF((M40=X19),Z19,(IF((M40=X20),Z20)))))))))))))</f>
        <v>0</v>
      </c>
      <c r="O40" s="749" t="b">
        <f>IF((M40=X14),AA14,(IF((M40=X15),AA15,(IF((M40=X16),AA16,(IF((M40=X17),AA17,(IF((M40=X18),AA18,(IF((M40=X19),AA19,(IF((M40=X20),AA20)))))))))))))</f>
        <v>0</v>
      </c>
      <c r="P40" s="750">
        <f>P38</f>
        <v>3.2</v>
      </c>
      <c r="Q40" s="750">
        <f>Q38</f>
        <v>11.4</v>
      </c>
      <c r="R40" s="751">
        <f>IF(R41&lt;(M41*L40), INT(R41),(M41*L40))</f>
        <v>0</v>
      </c>
      <c r="S40" s="752">
        <f>IF(K40="SIM",(N40*L40*(P40/100)/R40)*L41,0)</f>
        <v>0</v>
      </c>
      <c r="T40" s="390">
        <f>R41*L41</f>
        <v>0</v>
      </c>
      <c r="U40" s="34"/>
      <c r="X40" s="1542" t="str">
        <f>'NOME + Nº'!B19</f>
        <v>Alça</v>
      </c>
      <c r="Y40" s="1543"/>
      <c r="Z40" s="192" t="str">
        <f>'NOME + Nº'!D19</f>
        <v>SIM</v>
      </c>
      <c r="AA40" s="131" t="str">
        <f>'NOME + Nº'!E19</f>
        <v>1</v>
      </c>
      <c r="AC40" s="1579" t="s">
        <v>265</v>
      </c>
      <c r="AD40" s="1580"/>
      <c r="AE40" s="1580"/>
      <c r="AF40" s="1581"/>
      <c r="AG40" s="392">
        <v>3</v>
      </c>
      <c r="BR40" s="49"/>
      <c r="BS40" s="49"/>
      <c r="BX40"/>
    </row>
    <row r="41" spans="2:76" ht="15" customHeight="1" x14ac:dyDescent="0.3">
      <c r="B41" s="283"/>
      <c r="C41" s="1303"/>
      <c r="D41" s="1303"/>
      <c r="E41" s="1303"/>
      <c r="F41" s="1553"/>
      <c r="H41" s="1515"/>
      <c r="I41" s="1516"/>
      <c r="L41" s="10" t="str">
        <f>IF(K40="SIM","1","0")</f>
        <v>0</v>
      </c>
      <c r="M41" s="10">
        <f>M39</f>
        <v>20</v>
      </c>
      <c r="N41" s="22"/>
      <c r="O41" s="22"/>
      <c r="P41" s="34"/>
      <c r="Q41" s="34"/>
      <c r="R41" s="9">
        <f>O40/(Q40)</f>
        <v>0</v>
      </c>
      <c r="S41" s="528"/>
      <c r="U41" s="34"/>
      <c r="X41" s="1394" t="str">
        <f>'NOME + Nº'!B20</f>
        <v>Alça Dupla</v>
      </c>
      <c r="Y41" s="1394"/>
      <c r="Z41" s="192" t="str">
        <f>'NOME + Nº'!D20</f>
        <v>NÃO</v>
      </c>
      <c r="AA41" s="131" t="str">
        <f>'NOME + Nº'!E20</f>
        <v>1</v>
      </c>
      <c r="AC41" s="1559" t="s">
        <v>268</v>
      </c>
      <c r="AD41" s="1560"/>
      <c r="AE41" s="1560"/>
      <c r="AF41" s="1561"/>
      <c r="AG41" s="396">
        <f>IF((AE33=X14),AA14,(IF((AE33=X15),AA15,(IF((AE33=X16),AA16,(IF((AE33=X17),AA17,(IF((AE33=X18),AA18,(IF((AE33=X19),AA19)))))))))))</f>
        <v>140</v>
      </c>
      <c r="BR41" s="49"/>
      <c r="BS41" s="49"/>
      <c r="BX41"/>
    </row>
    <row r="42" spans="2:76" ht="17.25" customHeight="1" x14ac:dyDescent="0.25">
      <c r="B42" s="427"/>
      <c r="C42" s="1303"/>
      <c r="D42" s="1303"/>
      <c r="E42" s="1303"/>
      <c r="F42" s="1553"/>
      <c r="H42" s="1515"/>
      <c r="I42" s="1516"/>
      <c r="J42" s="527">
        <f>J40+1</f>
        <v>15</v>
      </c>
      <c r="K42" s="322" t="s">
        <v>189</v>
      </c>
      <c r="L42" s="747">
        <v>2</v>
      </c>
      <c r="M42" s="747" t="s">
        <v>717</v>
      </c>
      <c r="N42" s="748">
        <f>IF((M42=X14),Z14,(IF((M42=X15),Z15,(IF((M42=X16),Z16,(IF((M42=X17),Z17,(IF((M42=X18),Z18,(IF((M42=X19),Z19,(IF((M42=X20),Z20)))))))))))))</f>
        <v>19.899999999999999</v>
      </c>
      <c r="O42" s="749">
        <f>IF((M42=X14),AA14,(IF((M42=X15),AA15,(IF((M42=X16),AA16,(IF((M42=X17),AA17,(IF((M42=X18),AA18,(IF((M42=X19),AA19,(IF((M42=X20),AA20)))))))))))))</f>
        <v>140</v>
      </c>
      <c r="P42" s="750">
        <f>P40</f>
        <v>3.2</v>
      </c>
      <c r="Q42" s="750">
        <f>Q40</f>
        <v>11.4</v>
      </c>
      <c r="R42" s="751">
        <f>IF(R43&lt;(M43*L42), INT(R43),(M43*L42))</f>
        <v>12</v>
      </c>
      <c r="S42" s="752">
        <f>IF(K42="SIM",(N42*L42*(P42/100)/R42)*L43,0)</f>
        <v>0</v>
      </c>
      <c r="T42" s="390">
        <f>R43*L43</f>
        <v>0</v>
      </c>
      <c r="X42" s="1394" t="str">
        <f>'NOME + Nº'!B21</f>
        <v>Alça Largura</v>
      </c>
      <c r="Y42" s="1394"/>
      <c r="Z42" s="156">
        <f>'NOME + Nº'!D21</f>
        <v>3</v>
      </c>
      <c r="AC42" s="1559" t="s">
        <v>269</v>
      </c>
      <c r="AD42" s="1560"/>
      <c r="AE42" s="1560"/>
      <c r="AF42" s="1561"/>
      <c r="AG42" s="395">
        <f>(AG41/AG40)</f>
        <v>46.666666666666664</v>
      </c>
      <c r="BR42" s="49"/>
      <c r="BS42" s="49"/>
      <c r="BX42"/>
    </row>
    <row r="43" spans="2:76" ht="15.75" x14ac:dyDescent="0.25">
      <c r="B43" s="427"/>
      <c r="C43" s="1303"/>
      <c r="D43" s="1303"/>
      <c r="E43" s="1303"/>
      <c r="F43" s="1553"/>
      <c r="H43" s="1515"/>
      <c r="I43" s="1516"/>
      <c r="L43" s="10" t="str">
        <f>IF(K42="SIM","1","0")</f>
        <v>0</v>
      </c>
      <c r="M43" s="10">
        <f>M41</f>
        <v>20</v>
      </c>
      <c r="N43" s="22"/>
      <c r="O43" s="22"/>
      <c r="R43" s="9">
        <f>O42/(Q42)</f>
        <v>12.280701754385964</v>
      </c>
      <c r="T43"/>
      <c r="X43" s="1394" t="str">
        <f>'NOME + Nº'!B22</f>
        <v>Vivo</v>
      </c>
      <c r="Y43" s="1394"/>
      <c r="Z43" s="192" t="str">
        <f>'NOME + Nº'!D22</f>
        <v>NÃO</v>
      </c>
      <c r="AC43" s="1613" t="s">
        <v>270</v>
      </c>
      <c r="AD43" s="1614"/>
      <c r="AE43" s="1614"/>
      <c r="AF43" s="1615"/>
      <c r="AG43" s="397">
        <f>((AG39/AG42)+Z37)/100</f>
        <v>0.46106191260440199</v>
      </c>
      <c r="BR43" s="49"/>
      <c r="BS43" s="49"/>
      <c r="BX43"/>
    </row>
    <row r="44" spans="2:76" ht="17.25" customHeight="1" thickBot="1" x14ac:dyDescent="0.3">
      <c r="B44" s="283"/>
      <c r="C44" s="1303"/>
      <c r="D44" s="1303"/>
      <c r="E44" s="1303"/>
      <c r="F44" s="1553"/>
      <c r="H44" s="1517"/>
      <c r="I44" s="1518"/>
      <c r="J44" s="527">
        <f t="shared" ref="J44" si="99">J42+1</f>
        <v>16</v>
      </c>
      <c r="K44" s="322" t="s">
        <v>189</v>
      </c>
      <c r="L44" s="747">
        <v>2</v>
      </c>
      <c r="M44" s="747" t="s">
        <v>717</v>
      </c>
      <c r="N44" s="748">
        <f>IF((M44=X14),Z14,(IF((M44=X15),Z15,(IF((M44=X16),Z16,(IF((M44=X17),Z17,(IF((M44=X18),Z18,(IF((M44=X19),Z19,(IF((M44=X20),Z20)))))))))))))</f>
        <v>19.899999999999999</v>
      </c>
      <c r="O44" s="749">
        <f>IF((M44=X14),AA14,(IF((M44=X15),AA15,(IF((M44=X16),AA16,(IF((M44=X17),AA17,(IF((M44=X18),AA18,(IF((M44=X19),AA19,(IF((M44=X20),AA20)))))))))))))</f>
        <v>140</v>
      </c>
      <c r="P44" s="750">
        <f>P42</f>
        <v>3.2</v>
      </c>
      <c r="Q44" s="750">
        <f>Q42</f>
        <v>11.4</v>
      </c>
      <c r="R44" s="751">
        <f>IF(R46&lt;(M46*L44), INT(R46),(M46*L44))</f>
        <v>12</v>
      </c>
      <c r="S44" s="752">
        <f>IF(K44="SIM",(N44*L44*(P44/100)/R44)*L46,0)</f>
        <v>0</v>
      </c>
      <c r="T44" s="390">
        <f>R46*L46</f>
        <v>0</v>
      </c>
      <c r="X44" s="1299"/>
      <c r="Y44" s="1299"/>
      <c r="Z44" s="553"/>
      <c r="AC44" s="1648" t="s">
        <v>271</v>
      </c>
      <c r="AD44" s="1649"/>
      <c r="AE44" s="1649"/>
      <c r="AF44" s="1649"/>
      <c r="AG44" s="1650"/>
      <c r="BR44" s="49"/>
      <c r="BS44" s="49"/>
      <c r="BX44"/>
    </row>
    <row r="45" spans="2:76" x14ac:dyDescent="0.25">
      <c r="B45" s="283"/>
      <c r="C45" s="1303"/>
      <c r="D45" s="1303"/>
      <c r="E45" s="1303"/>
      <c r="F45" s="1553"/>
      <c r="H45" s="753" t="s">
        <v>724</v>
      </c>
      <c r="I45" s="1508"/>
      <c r="J45" s="1519"/>
      <c r="K45" s="1519"/>
      <c r="L45" s="1519"/>
      <c r="M45" s="1519"/>
      <c r="N45" s="1519"/>
      <c r="O45" s="1519"/>
      <c r="P45" s="1519"/>
      <c r="Q45" s="1519"/>
      <c r="R45" s="1519"/>
      <c r="S45" s="1519"/>
      <c r="T45" s="1520"/>
      <c r="X45" s="1299"/>
      <c r="Y45" s="1299"/>
      <c r="Z45" s="155"/>
      <c r="AC45" s="20"/>
      <c r="AG45" s="389"/>
      <c r="BR45" s="49"/>
      <c r="BS45" s="49"/>
      <c r="BX45"/>
    </row>
    <row r="46" spans="2:76" ht="17.25" customHeight="1" thickBot="1" x14ac:dyDescent="0.35">
      <c r="B46" s="283"/>
      <c r="C46" s="1303"/>
      <c r="D46" s="1303"/>
      <c r="E46" s="1303"/>
      <c r="F46" s="1553"/>
      <c r="K46" s="20"/>
      <c r="L46" s="10" t="str">
        <f>IF(K44="SIM","1","0")</f>
        <v>0</v>
      </c>
      <c r="M46" s="10">
        <f>M43</f>
        <v>20</v>
      </c>
      <c r="N46" s="22"/>
      <c r="O46" s="22"/>
      <c r="R46" s="9">
        <f>O44/(Q44)</f>
        <v>12.280701754385964</v>
      </c>
      <c r="S46" s="528"/>
      <c r="X46" s="1299"/>
      <c r="Y46" s="1299"/>
      <c r="Z46" s="155"/>
      <c r="AC46" s="1325" t="s">
        <v>381</v>
      </c>
      <c r="AD46" s="1326"/>
      <c r="AE46" s="1326"/>
      <c r="AF46" s="1327"/>
      <c r="AG46" s="192" t="str">
        <f>IF('NOME + Nº'!E54="NÃO","SIM","NÃO")</f>
        <v>SIM</v>
      </c>
      <c r="BR46" s="49"/>
      <c r="BS46" s="49"/>
      <c r="BW46" s="49"/>
      <c r="BX46"/>
    </row>
    <row r="47" spans="2:76" ht="15.75" thickBot="1" x14ac:dyDescent="0.3">
      <c r="B47" s="283"/>
      <c r="C47" s="1616"/>
      <c r="D47" s="1303"/>
      <c r="E47" s="1303"/>
      <c r="F47" s="1553"/>
      <c r="G47">
        <f>G38+1</f>
        <v>5</v>
      </c>
      <c r="H47" s="1521" t="str">
        <f>CONCATENATE("MOLDE ",G47)</f>
        <v>MOLDE 5</v>
      </c>
      <c r="I47" s="1522"/>
      <c r="J47" s="527">
        <f>J44+1</f>
        <v>17</v>
      </c>
      <c r="K47" s="322" t="s">
        <v>189</v>
      </c>
      <c r="L47" s="747">
        <v>1</v>
      </c>
      <c r="M47" s="747" t="s">
        <v>717</v>
      </c>
      <c r="N47" s="748">
        <f>IF((M47=X14),Z14,(IF((M47=X15),Z15,(IF((M47=X16),Z16,(IF((M47=X17),Z17,(IF((M47=X18),Z18,(IF((M47=X19),Z19,(IF((M47=X20),Z20)))))))))))))</f>
        <v>19.899999999999999</v>
      </c>
      <c r="O47" s="749">
        <f>IF((M47=X14),AA14,(IF((M47=X15),AA15,(IF((M47=X16),AA16,(IF((M47=X17),AA17,(IF((M47=X18),AA18,(IF((M47=X19),AA19,(IF((M47=X20),AA20)))))))))))))</f>
        <v>140</v>
      </c>
      <c r="P47" s="713">
        <f>Z34+Z37+Z38</f>
        <v>6.7</v>
      </c>
      <c r="Q47" s="713">
        <f>Z33+2*Z38</f>
        <v>11.4</v>
      </c>
      <c r="R47" s="751">
        <f>IF(R48&lt;(M48*L47), INT(R48),(M48*L47))</f>
        <v>12</v>
      </c>
      <c r="S47" s="752">
        <f>IF(K47="SIM",(N47*L47*(P47/100)/R47)*L48,0)</f>
        <v>0</v>
      </c>
      <c r="T47" s="390">
        <f>R48*L48</f>
        <v>0</v>
      </c>
      <c r="U47" s="400">
        <f>IF(K47="SIM",1,IF(K49="SIM",1,IF(K51="SIM",1,IF(K53="SIM",1,0))))</f>
        <v>0</v>
      </c>
      <c r="X47" s="1299"/>
      <c r="Y47" s="1299"/>
      <c r="Z47" s="155"/>
      <c r="AD47" s="20"/>
      <c r="AE47" s="1564" t="s">
        <v>207</v>
      </c>
      <c r="AF47" s="1564"/>
      <c r="AG47" s="218">
        <f>AG48/AG38</f>
        <v>1.1503494719479828</v>
      </c>
      <c r="BR47" s="49"/>
      <c r="BS47" s="49"/>
    </row>
    <row r="48" spans="2:76" ht="17.25" customHeight="1" thickBot="1" x14ac:dyDescent="0.35">
      <c r="B48" s="283"/>
      <c r="C48" s="1303"/>
      <c r="D48" s="1303"/>
      <c r="E48" s="1303"/>
      <c r="F48" s="1553"/>
      <c r="H48" s="1515" t="s">
        <v>331</v>
      </c>
      <c r="I48" s="1516"/>
      <c r="L48" s="10" t="str">
        <f>IF(K47="SIM","1","0")</f>
        <v>0</v>
      </c>
      <c r="M48" s="10">
        <f>M43</f>
        <v>20</v>
      </c>
      <c r="N48" s="22"/>
      <c r="O48" s="22"/>
      <c r="P48" s="34"/>
      <c r="Q48" s="34"/>
      <c r="R48" s="9">
        <f>O47/(Q47)</f>
        <v>12.280701754385964</v>
      </c>
      <c r="S48" s="528"/>
      <c r="U48" s="34"/>
      <c r="X48" s="1299"/>
      <c r="Y48" s="1299"/>
      <c r="Z48" s="155"/>
      <c r="AE48" s="1562" t="s">
        <v>256</v>
      </c>
      <c r="AF48" s="1563"/>
      <c r="AG48" s="14">
        <f>AG43*AG33</f>
        <v>23.006989438959657</v>
      </c>
      <c r="BR48" s="49"/>
      <c r="BS48" s="49"/>
    </row>
    <row r="49" spans="2:78" x14ac:dyDescent="0.25">
      <c r="B49" s="283"/>
      <c r="C49" s="1551"/>
      <c r="D49" s="1551"/>
      <c r="E49" s="1551"/>
      <c r="F49" s="1552"/>
      <c r="H49" s="1515"/>
      <c r="I49" s="1516"/>
      <c r="J49" s="527">
        <f t="shared" ref="J49" si="100">J47+1</f>
        <v>18</v>
      </c>
      <c r="K49" s="322" t="s">
        <v>189</v>
      </c>
      <c r="L49" s="747">
        <v>1</v>
      </c>
      <c r="M49" s="747" t="s">
        <v>717</v>
      </c>
      <c r="N49" s="748">
        <f>IF((M49=X14),Z14,(IF((M49=X15),Z15,(IF((M49=X16),Z16,(IF((M49=X17),Z17,(IF((M49=X18),Z18,(IF((M49=X19),Z19,(IF((M49=X20),Z20)))))))))))))</f>
        <v>19.899999999999999</v>
      </c>
      <c r="O49" s="749">
        <f>IF((M49=X14),AA14,(IF((M49=X15),AA15,(IF((M49=X16),AA16,(IF((M49=X17),AA17,(IF((M49=X18),AA18,(IF((M49=X19),AA19,(IF((M49=X20),AA20)))))))))))))</f>
        <v>140</v>
      </c>
      <c r="P49" s="750">
        <f>P47</f>
        <v>6.7</v>
      </c>
      <c r="Q49" s="750">
        <f>Q47</f>
        <v>11.4</v>
      </c>
      <c r="R49" s="751">
        <f>IF(R50&lt;(M50*L49), INT(R50),(M50*L49))</f>
        <v>12</v>
      </c>
      <c r="S49" s="752">
        <f>IF(K49="SIM",(N49*L49*(P49/100)/R49)*L50,0)</f>
        <v>0</v>
      </c>
      <c r="T49" s="390">
        <f>R50*L50</f>
        <v>0</v>
      </c>
      <c r="U49" s="34"/>
      <c r="X49" s="1299"/>
      <c r="Y49" s="1299"/>
      <c r="Z49" s="155"/>
      <c r="AE49" s="131">
        <f>IF(AND(Z43="SIM",AG46="SIM"),AG47,0)</f>
        <v>0</v>
      </c>
      <c r="AF49" s="219">
        <f>IF(AND(Z43="SIM",AG46="SIM"),AG48,0)</f>
        <v>0</v>
      </c>
      <c r="AG49" s="153"/>
      <c r="BR49" s="49"/>
      <c r="BS49" s="49"/>
    </row>
    <row r="50" spans="2:78" ht="18" customHeight="1" x14ac:dyDescent="0.3">
      <c r="B50" s="283"/>
      <c r="C50" s="1303"/>
      <c r="D50" s="1303"/>
      <c r="E50" s="1303"/>
      <c r="F50" s="1553"/>
      <c r="H50" s="1515"/>
      <c r="I50" s="1516"/>
      <c r="L50" s="10" t="str">
        <f>IF(K49="SIM","1","0")</f>
        <v>0</v>
      </c>
      <c r="M50" s="10">
        <f>M48</f>
        <v>20</v>
      </c>
      <c r="N50" s="22"/>
      <c r="O50" s="22"/>
      <c r="P50" s="34"/>
      <c r="Q50" s="34"/>
      <c r="R50" s="9">
        <f>O49/(Q49)</f>
        <v>12.280701754385964</v>
      </c>
      <c r="S50" s="528"/>
      <c r="X50" s="1557"/>
      <c r="Y50" s="1558"/>
      <c r="Z50" s="155"/>
      <c r="BR50" s="49"/>
      <c r="BS50" s="49"/>
    </row>
    <row r="51" spans="2:78" ht="15.75" customHeight="1" x14ac:dyDescent="0.25">
      <c r="B51" s="283"/>
      <c r="C51" s="1303"/>
      <c r="D51" s="1303"/>
      <c r="E51" s="1303"/>
      <c r="F51" s="1553"/>
      <c r="H51" s="1515"/>
      <c r="I51" s="1516"/>
      <c r="J51" s="527">
        <f>J49+1</f>
        <v>19</v>
      </c>
      <c r="K51" s="322" t="s">
        <v>189</v>
      </c>
      <c r="L51" s="747">
        <v>2</v>
      </c>
      <c r="M51" s="747" t="s">
        <v>722</v>
      </c>
      <c r="N51" s="748">
        <f>IF((M51=X14),Z14,(IF((M51=X15),Z15,(IF((M51=X16),Z16,(IF((M51=X17),Z17,(IF((M51=X18),Z18,(IF((M51=X19),Z19,(IF((M51=X20),Z20)))))))))))))</f>
        <v>49.9</v>
      </c>
      <c r="O51" s="749">
        <f>IF((M51=X14),AA14,(IF((M51=X15),AA15,(IF((M51=X16),AA16,(IF((M51=X17),AA17,(IF((M51=X18),AA18,(IF((M51=X19),AA19,(IF((M51=X20),AA20)))))))))))))</f>
        <v>140</v>
      </c>
      <c r="P51" s="750">
        <f>P49</f>
        <v>6.7</v>
      </c>
      <c r="Q51" s="750">
        <f>Q49</f>
        <v>11.4</v>
      </c>
      <c r="R51" s="751">
        <f>IF(R52&lt;(M52*L51), INT(R52),(M52*L51))</f>
        <v>12</v>
      </c>
      <c r="S51" s="752">
        <f>IF(K51="SIM",(N51*L51*(P51/100)/R51)*L52,0)</f>
        <v>0</v>
      </c>
      <c r="T51" s="390">
        <f>R52*L52</f>
        <v>0</v>
      </c>
      <c r="X51" s="1299"/>
      <c r="Y51" s="1299"/>
      <c r="Z51" s="155"/>
      <c r="BR51" s="49"/>
      <c r="BS51" s="49"/>
    </row>
    <row r="52" spans="2:78" ht="15" customHeight="1" x14ac:dyDescent="0.25">
      <c r="B52" s="428"/>
      <c r="C52" s="1303"/>
      <c r="D52" s="1303"/>
      <c r="E52" s="1303"/>
      <c r="F52" s="1553"/>
      <c r="H52" s="1515"/>
      <c r="I52" s="1516"/>
      <c r="L52" s="10" t="str">
        <f>IF(K51="SIM","1","0")</f>
        <v>0</v>
      </c>
      <c r="M52" s="10">
        <f>M50</f>
        <v>20</v>
      </c>
      <c r="N52" s="22"/>
      <c r="O52" s="22"/>
      <c r="R52" s="9">
        <f>O51/(Q51)</f>
        <v>12.280701754385964</v>
      </c>
      <c r="T52"/>
      <c r="X52" s="1299"/>
      <c r="Y52" s="1299"/>
      <c r="Z52" s="155"/>
      <c r="BR52" s="49"/>
      <c r="BS52" s="49"/>
    </row>
    <row r="53" spans="2:78" ht="15.75" thickBot="1" x14ac:dyDescent="0.3">
      <c r="B53" s="283"/>
      <c r="C53" s="1303"/>
      <c r="D53" s="1303"/>
      <c r="E53" s="1303"/>
      <c r="F53" s="1553"/>
      <c r="H53" s="1517"/>
      <c r="I53" s="1518"/>
      <c r="J53" s="527">
        <f t="shared" ref="J53" si="101">J51+1</f>
        <v>20</v>
      </c>
      <c r="K53" s="322" t="s">
        <v>189</v>
      </c>
      <c r="L53" s="747">
        <v>2</v>
      </c>
      <c r="M53" s="747" t="s">
        <v>717</v>
      </c>
      <c r="N53" s="748">
        <f>IF((M53=X14),Z14,(IF((M53=X15),Z15,(IF((M53=X16),Z16,(IF((M53=X17),Z17,(IF((M53=X18),Z18,(IF((M53=X19),Z19,(IF((M53=X20),Z20)))))))))))))</f>
        <v>19.899999999999999</v>
      </c>
      <c r="O53" s="749">
        <f>IF((M53=X14),AA14,(IF((M53=X15),AA15,(IF((M53=X16),AA16,(IF((M53=X17),AA17,(IF((M53=X18),AA18,(IF((M53=X19),AA19,(IF((M53=X20),AA20)))))))))))))</f>
        <v>140</v>
      </c>
      <c r="P53" s="750">
        <f>P51</f>
        <v>6.7</v>
      </c>
      <c r="Q53" s="750">
        <f>Q51</f>
        <v>11.4</v>
      </c>
      <c r="R53" s="751">
        <f>IF(R55&lt;(M55*L53), INT(R55),(M55*L53))</f>
        <v>12</v>
      </c>
      <c r="S53" s="752">
        <f>IF(K53="SIM",(N53*L53*(P53/100)/R53)*L55,0)</f>
        <v>0</v>
      </c>
      <c r="T53" s="390">
        <f>R55*L55</f>
        <v>0</v>
      </c>
      <c r="X53" s="1557"/>
      <c r="Y53" s="1558"/>
      <c r="Z53" s="155"/>
      <c r="BQ53" s="49"/>
    </row>
    <row r="54" spans="2:78" ht="15" customHeight="1" x14ac:dyDescent="0.25">
      <c r="B54" s="283"/>
      <c r="C54" s="1303"/>
      <c r="D54" s="1303"/>
      <c r="E54" s="1303"/>
      <c r="F54" s="1553"/>
      <c r="H54" s="753" t="s">
        <v>724</v>
      </c>
      <c r="I54" s="1508"/>
      <c r="J54" s="1519"/>
      <c r="K54" s="1519"/>
      <c r="L54" s="1519"/>
      <c r="M54" s="1519"/>
      <c r="N54" s="1519"/>
      <c r="O54" s="1519"/>
      <c r="P54" s="1519"/>
      <c r="Q54" s="1519"/>
      <c r="R54" s="1519"/>
      <c r="S54" s="1519"/>
      <c r="T54" s="1520"/>
    </row>
    <row r="55" spans="2:78" ht="15" customHeight="1" thickBot="1" x14ac:dyDescent="0.35">
      <c r="B55" s="283"/>
      <c r="C55" s="1303"/>
      <c r="D55" s="1303"/>
      <c r="E55" s="1303"/>
      <c r="F55" s="1553"/>
      <c r="K55" s="20"/>
      <c r="L55" s="10" t="str">
        <f>IF(K53="SIM","1","0")</f>
        <v>0</v>
      </c>
      <c r="M55" s="10">
        <f>M52</f>
        <v>20</v>
      </c>
      <c r="N55" s="22"/>
      <c r="O55" s="22"/>
      <c r="R55" s="9">
        <f>O53/(Q53)</f>
        <v>12.280701754385964</v>
      </c>
      <c r="S55" s="528"/>
    </row>
    <row r="56" spans="2:78" x14ac:dyDescent="0.25">
      <c r="B56" s="283"/>
      <c r="C56" s="1303"/>
      <c r="D56" s="1303"/>
      <c r="E56" s="1303"/>
      <c r="F56" s="1553"/>
      <c r="G56">
        <f>G47+1</f>
        <v>6</v>
      </c>
      <c r="H56" s="1521" t="str">
        <f>CONCATENATE("MOLDE ",G56)</f>
        <v>MOLDE 6</v>
      </c>
      <c r="I56" s="1522"/>
      <c r="J56" s="527">
        <f>J53+1</f>
        <v>21</v>
      </c>
      <c r="K56" s="322" t="s">
        <v>189</v>
      </c>
      <c r="L56" s="747">
        <v>1</v>
      </c>
      <c r="M56" s="747" t="s">
        <v>717</v>
      </c>
      <c r="N56" s="748">
        <f>IF((M56=X14),Z14,(IF((M56=X15),Z15,(IF((M56=X16),Z16,(IF((M56=X17),Z17,(IF((M56=X18),Z18,(IF((M56=X19),Z19,(IF((M56=X20),Z20)))))))))))))</f>
        <v>19.899999999999999</v>
      </c>
      <c r="O56" s="749">
        <f>IF((M56=X14),AA14,(IF((M56=X15),AA15,(IF((M56=X16),AA16,(IF((M56=X17),AA17,(IF((M56=X18),AA18,(IF((M56=X19),AA19,(IF((M56=X20),AA20)))))))))))))</f>
        <v>140</v>
      </c>
      <c r="P56" s="713">
        <f>Z34+Z32+Z37+Z38</f>
        <v>21.7</v>
      </c>
      <c r="Q56" s="713">
        <f>Z33+2*Z38</f>
        <v>11.4</v>
      </c>
      <c r="R56" s="751">
        <f>IF(R57&lt;(M57*L56), INT(R57),(M57*L56))</f>
        <v>12</v>
      </c>
      <c r="S56" s="752">
        <f>IF(K56="SIM",(N56*L56*(P56/100)/R56)*L57,0)</f>
        <v>0</v>
      </c>
      <c r="T56" s="390">
        <f>R57*L57</f>
        <v>0</v>
      </c>
      <c r="U56" s="400">
        <f>IF(K56="SIM",1,IF(K58="SIM",1,IF(K60="SIM",1,IF(K62="SIM",1,0))))</f>
        <v>0</v>
      </c>
      <c r="BX56"/>
    </row>
    <row r="57" spans="2:78" ht="17.25" x14ac:dyDescent="0.3">
      <c r="B57" s="284"/>
      <c r="C57" s="1629"/>
      <c r="D57" s="1629"/>
      <c r="E57" s="1629"/>
      <c r="F57" s="1630"/>
      <c r="H57" s="1515" t="s">
        <v>331</v>
      </c>
      <c r="I57" s="1516"/>
      <c r="L57" s="10" t="str">
        <f>IF(K56="SIM","1","0")</f>
        <v>0</v>
      </c>
      <c r="M57" s="10">
        <f>M52</f>
        <v>20</v>
      </c>
      <c r="N57" s="22"/>
      <c r="O57" s="22"/>
      <c r="P57" s="34"/>
      <c r="Q57" s="34"/>
      <c r="R57" s="9">
        <f>O56/(Q56)</f>
        <v>12.280701754385964</v>
      </c>
      <c r="S57" s="528"/>
      <c r="BX57"/>
      <c r="BY57" s="49"/>
    </row>
    <row r="58" spans="2:78" x14ac:dyDescent="0.25">
      <c r="H58" s="1515"/>
      <c r="I58" s="1516"/>
      <c r="J58" s="527">
        <f t="shared" ref="J58" si="102">J56+1</f>
        <v>22</v>
      </c>
      <c r="K58" s="322" t="s">
        <v>189</v>
      </c>
      <c r="L58" s="747">
        <v>1</v>
      </c>
      <c r="M58" s="747" t="s">
        <v>188</v>
      </c>
      <c r="N58" s="748">
        <f>IF((M58=X14),Z14,(IF((M58=X15),Z15,(IF((M58=X16),Z16,(IF((M58=X17),Z17,(IF((M58=X18),Z18,(IF((M58=X19),Z19,(IF((M58=X20),Z20)))))))))))))</f>
        <v>16</v>
      </c>
      <c r="O58" s="749">
        <f>IF((M58=X14),AA14,(IF((M58=X15),AA15,(IF((M58=X16),AA16,(IF((M58=X17),AA17,(IF((M58=X18),AA18,(IF((M58=X19),AA19,(IF((M58=X20),AA20)))))))))))))</f>
        <v>75</v>
      </c>
      <c r="P58" s="750">
        <f>P56</f>
        <v>21.7</v>
      </c>
      <c r="Q58" s="750">
        <f>Q56</f>
        <v>11.4</v>
      </c>
      <c r="R58" s="751">
        <f>IF(R59&lt;(M59*L58), INT(R59),(M59*L58))</f>
        <v>6</v>
      </c>
      <c r="S58" s="752">
        <f>IF(K58="SIM",(N58*L58*(P58/100)/R58)*L59,0)</f>
        <v>0</v>
      </c>
      <c r="T58" s="390">
        <f>R59*L59</f>
        <v>0</v>
      </c>
      <c r="BX58"/>
      <c r="BZ58" s="49"/>
    </row>
    <row r="59" spans="2:78" ht="15" customHeight="1" x14ac:dyDescent="0.3">
      <c r="H59" s="1515"/>
      <c r="I59" s="1516"/>
      <c r="L59" s="10" t="str">
        <f>IF(K58="SIM","1","0")</f>
        <v>0</v>
      </c>
      <c r="M59" s="10">
        <f>M57</f>
        <v>20</v>
      </c>
      <c r="N59" s="22"/>
      <c r="O59" s="22"/>
      <c r="P59" s="34"/>
      <c r="Q59" s="34"/>
      <c r="R59" s="9">
        <f>O58/(Q58)</f>
        <v>6.5789473684210522</v>
      </c>
      <c r="S59" s="528"/>
      <c r="BX59"/>
      <c r="BZ59" s="49"/>
    </row>
    <row r="60" spans="2:78" x14ac:dyDescent="0.25">
      <c r="H60" s="1515"/>
      <c r="I60" s="1516"/>
      <c r="J60" s="527">
        <f>J58+1</f>
        <v>23</v>
      </c>
      <c r="K60" s="322" t="s">
        <v>189</v>
      </c>
      <c r="L60" s="747">
        <v>1</v>
      </c>
      <c r="M60" s="747" t="s">
        <v>717</v>
      </c>
      <c r="N60" s="748">
        <f>IF((M60=X14),Z14,(IF((M60=X15),Z15,(IF((M60=X16),Z16,(IF((M60=X17),Z17,(IF((M60=X18),Z18,(IF((M60=X19),Z19,(IF((M60=X20),Z20)))))))))))))</f>
        <v>19.899999999999999</v>
      </c>
      <c r="O60" s="749">
        <f>IF((M60=X14),AA14,(IF((M60=X15),AA15,(IF((M60=X16),AA16,(IF((M60=X17),AA17,(IF((M60=X18),AA18,(IF((M60=X19),AA19,(IF((M60=X20),AA20)))))))))))))</f>
        <v>140</v>
      </c>
      <c r="P60" s="750">
        <f>P58</f>
        <v>21.7</v>
      </c>
      <c r="Q60" s="750">
        <f>Q58</f>
        <v>11.4</v>
      </c>
      <c r="R60" s="751">
        <f>IF(R61&lt;(M61*L60), INT(R61),(M61*L60))</f>
        <v>12</v>
      </c>
      <c r="S60" s="752">
        <f>IF(K60="SIM",(N60*L60*(P60/100)/R60)*L61,0)</f>
        <v>0</v>
      </c>
      <c r="T60" s="390">
        <f>R61*L61</f>
        <v>0</v>
      </c>
      <c r="BX60"/>
      <c r="BZ60" s="49"/>
    </row>
    <row r="61" spans="2:78" x14ac:dyDescent="0.25">
      <c r="H61" s="1515"/>
      <c r="I61" s="1516"/>
      <c r="L61" s="10" t="str">
        <f>IF(K60="SIM","1","0")</f>
        <v>0</v>
      </c>
      <c r="M61" s="10">
        <f>M59</f>
        <v>20</v>
      </c>
      <c r="N61" s="22"/>
      <c r="O61" s="22"/>
      <c r="R61" s="9">
        <f>O60/(Q60)</f>
        <v>12.280701754385964</v>
      </c>
      <c r="T61"/>
      <c r="BX61"/>
      <c r="BZ61" s="49"/>
    </row>
    <row r="62" spans="2:78" ht="15.75" thickBot="1" x14ac:dyDescent="0.3">
      <c r="H62" s="1517"/>
      <c r="I62" s="1518"/>
      <c r="J62" s="527">
        <f t="shared" ref="J62" si="103">J60+1</f>
        <v>24</v>
      </c>
      <c r="K62" s="322" t="s">
        <v>189</v>
      </c>
      <c r="L62" s="747">
        <v>2</v>
      </c>
      <c r="M62" s="747" t="s">
        <v>717</v>
      </c>
      <c r="N62" s="748">
        <f>IF((M62=X14),Z14,(IF((M62=X15),Z15,(IF((M62=X16),Z16,(IF((M62=X17),Z17,(IF((M62=X18),Z18,(IF((M62=X19),Z19,(IF((M62=X20),Z20)))))))))))))</f>
        <v>19.899999999999999</v>
      </c>
      <c r="O62" s="749">
        <f>IF((M62=X14),AA14,(IF((M62=X15),AA15,(IF((M62=X16),AA16,(IF((M62=X17),AA17,(IF((M62=X18),AA18,(IF((M62=X19),AA19,(IF((M62=X20),AA20)))))))))))))</f>
        <v>140</v>
      </c>
      <c r="P62" s="750">
        <f>P60</f>
        <v>21.7</v>
      </c>
      <c r="Q62" s="750">
        <f>Q60</f>
        <v>11.4</v>
      </c>
      <c r="R62" s="751">
        <f>IF(R64&lt;(M64*L62), INT(R64),(M64*L62))</f>
        <v>12</v>
      </c>
      <c r="S62" s="752">
        <f>IF(K62="SIM",(N62*L62*(P62/100)/R62)*L64,0)</f>
        <v>0</v>
      </c>
      <c r="T62" s="390">
        <f>R64*L64</f>
        <v>0</v>
      </c>
      <c r="BX62"/>
      <c r="BZ62" s="49"/>
    </row>
    <row r="63" spans="2:78" x14ac:dyDescent="0.25">
      <c r="H63" s="753" t="s">
        <v>724</v>
      </c>
      <c r="I63" s="1508"/>
      <c r="J63" s="1509"/>
      <c r="K63" s="1509"/>
      <c r="L63" s="1509"/>
      <c r="M63" s="1509"/>
      <c r="N63" s="1509"/>
      <c r="O63" s="1509"/>
      <c r="P63" s="1509"/>
      <c r="Q63" s="1509"/>
      <c r="R63" s="1509"/>
      <c r="S63" s="1509"/>
      <c r="T63" s="1510"/>
      <c r="BX63"/>
      <c r="BZ63" s="49"/>
    </row>
    <row r="64" spans="2:78" ht="18" thickBot="1" x14ac:dyDescent="0.35">
      <c r="K64" s="20"/>
      <c r="L64" s="10" t="str">
        <f>IF(K62="SIM","1","0")</f>
        <v>0</v>
      </c>
      <c r="M64" s="10">
        <f>M61</f>
        <v>20</v>
      </c>
      <c r="N64" s="22"/>
      <c r="O64" s="22"/>
      <c r="R64" s="9">
        <f>O62/(Q62)</f>
        <v>12.280701754385964</v>
      </c>
      <c r="S64" s="528"/>
      <c r="BX64"/>
      <c r="BZ64" s="49"/>
    </row>
    <row r="65" spans="7:78" ht="15" customHeight="1" x14ac:dyDescent="0.25">
      <c r="G65">
        <f>G56+1</f>
        <v>7</v>
      </c>
      <c r="H65" s="1521" t="str">
        <f>CONCATENATE("MOLDE ",G65)</f>
        <v>MOLDE 7</v>
      </c>
      <c r="I65" s="1522"/>
      <c r="J65" s="527">
        <f>J62+1</f>
        <v>25</v>
      </c>
      <c r="K65" s="322" t="s">
        <v>189</v>
      </c>
      <c r="L65" s="747">
        <v>2</v>
      </c>
      <c r="M65" s="747" t="s">
        <v>717</v>
      </c>
      <c r="N65" s="748">
        <f>IF((M65=X14),Z14,(IF((M65=X15),Z15,(IF((M65=X16),Z16,(IF((M65=X17),Z17,(IF((M65=X18),Z18,(IF((M65=X19),Z19,(IF((M65=X20),Z20)))))))))))))</f>
        <v>19.899999999999999</v>
      </c>
      <c r="O65" s="749">
        <f>IF((M65=X14),AA14,(IF((M65=X15),AA15,(IF((M65=X16),AA16,(IF((M65=X17),AA17,(IF((M65=X18),AA18,(IF((M65=X19),AA19,(IF((M65=X20),AA20)))))))))))))</f>
        <v>140</v>
      </c>
      <c r="P65" s="713">
        <v>20</v>
      </c>
      <c r="Q65" s="713">
        <f>Q29-(Z37/2)</f>
        <v>10.9</v>
      </c>
      <c r="R65" s="751">
        <f>IF(R66&lt;(M66*L65), INT(R66),(M66*L65))</f>
        <v>12</v>
      </c>
      <c r="S65" s="752">
        <f>IF(K65="SIM",(N65*L65*(P65/100)/R65)*L66,0)</f>
        <v>0</v>
      </c>
      <c r="T65" s="390">
        <f>R66*L66</f>
        <v>0</v>
      </c>
      <c r="U65" s="400">
        <f>IF(K65="SIM",1,IF(K67="SIM",1,IF(K69="SIM",1,IF(K71="SIM",1,0))))</f>
        <v>0</v>
      </c>
      <c r="BX65"/>
      <c r="BZ65" s="49"/>
    </row>
    <row r="66" spans="7:78" ht="17.25" x14ac:dyDescent="0.3">
      <c r="H66" s="1515" t="s">
        <v>331</v>
      </c>
      <c r="I66" s="1516"/>
      <c r="L66" s="10" t="str">
        <f>IF(K65="SIM","1","0")</f>
        <v>0</v>
      </c>
      <c r="M66" s="10">
        <f>M61</f>
        <v>20</v>
      </c>
      <c r="N66" s="22"/>
      <c r="O66" s="22"/>
      <c r="P66" s="34"/>
      <c r="Q66" s="34"/>
      <c r="R66" s="9">
        <f>O65/(Q65)</f>
        <v>12.844036697247706</v>
      </c>
      <c r="S66" s="528"/>
      <c r="BX66"/>
      <c r="BZ66" s="49"/>
    </row>
    <row r="67" spans="7:78" ht="15" customHeight="1" x14ac:dyDescent="0.25">
      <c r="H67" s="1515"/>
      <c r="I67" s="1516"/>
      <c r="J67" s="527">
        <f t="shared" ref="J67" si="104">J65+1</f>
        <v>26</v>
      </c>
      <c r="K67" s="322" t="s">
        <v>189</v>
      </c>
      <c r="L67" s="747">
        <v>1</v>
      </c>
      <c r="M67" s="747" t="s">
        <v>722</v>
      </c>
      <c r="N67" s="748">
        <f>IF((M67=X14),Z14,(IF((M67=X15),Z15,(IF((M67=X16),Z16,(IF((M67=X17),Z17,(IF((M67=X18),Z18,(IF((M67=X19),Z19,(IF((M67=X20),Z20)))))))))))))</f>
        <v>49.9</v>
      </c>
      <c r="O67" s="749">
        <f>IF((M67=X14),AA14,(IF((M67=X15),AA15,(IF((M67=X16),AA16,(IF((M67=X17),AA17,(IF((M67=X18),AA18,(IF((M67=X19),AA19,(IF((M67=X20),AA20)))))))))))))</f>
        <v>140</v>
      </c>
      <c r="P67" s="750">
        <f>P65</f>
        <v>20</v>
      </c>
      <c r="Q67" s="750">
        <f>Q65</f>
        <v>10.9</v>
      </c>
      <c r="R67" s="751">
        <f>IF(R68&lt;(M68*L67), INT(R68),(M68*L67))</f>
        <v>12</v>
      </c>
      <c r="S67" s="752">
        <f>IF(K67="SIM",(N67*L67*(P67/100)/R67)*L68,0)</f>
        <v>0</v>
      </c>
      <c r="T67" s="390">
        <f>R68*L68</f>
        <v>0</v>
      </c>
      <c r="BX67"/>
      <c r="BZ67" s="49"/>
    </row>
    <row r="68" spans="7:78" ht="15" customHeight="1" x14ac:dyDescent="0.3">
      <c r="H68" s="1515"/>
      <c r="I68" s="1516"/>
      <c r="L68" s="10" t="str">
        <f>IF(K67="SIM","1","0")</f>
        <v>0</v>
      </c>
      <c r="M68" s="10">
        <f>M66</f>
        <v>20</v>
      </c>
      <c r="N68" s="12"/>
      <c r="O68" s="12"/>
      <c r="P68" s="34"/>
      <c r="Q68" s="34"/>
      <c r="R68" s="9">
        <f>O67/(Q67)</f>
        <v>12.844036697247706</v>
      </c>
      <c r="S68" s="528"/>
      <c r="BX68"/>
      <c r="BZ68" s="49"/>
    </row>
    <row r="69" spans="7:78" ht="15" customHeight="1" x14ac:dyDescent="0.25">
      <c r="H69" s="1515"/>
      <c r="I69" s="1516"/>
      <c r="J69" s="527">
        <f>J67+1</f>
        <v>27</v>
      </c>
      <c r="K69" s="322" t="s">
        <v>189</v>
      </c>
      <c r="L69" s="747">
        <v>1</v>
      </c>
      <c r="M69" s="747" t="s">
        <v>188</v>
      </c>
      <c r="N69" s="748">
        <f>IF((M69=X14),Z14,(IF((M69=X15),Z15,(IF((M69=X16),Z16,(IF((M69=X17),Z17,(IF((M69=X18),Z18,(IF((M69=X19),Z19,(IF((M69=X20),Z20)))))))))))))</f>
        <v>16</v>
      </c>
      <c r="O69" s="749">
        <f>IF((M69=X14),AA14,(IF((M69=X15),AA15,(IF((M69=X16),AA16,(IF((M69=X17),AA17,(IF((M69=X18),AA18,(IF((M69=X19),AA19,(IF((M69=X20),AA20)))))))))))))</f>
        <v>75</v>
      </c>
      <c r="P69" s="750">
        <f>P67</f>
        <v>20</v>
      </c>
      <c r="Q69" s="750">
        <f>Q67</f>
        <v>10.9</v>
      </c>
      <c r="R69" s="751">
        <f>IF(R70&lt;(M70*L69), INT(R70),(M70*L69))</f>
        <v>6</v>
      </c>
      <c r="S69" s="752">
        <f>IF(K69="SIM",(N69*L69*(P69/100)/R69)*L70,0)</f>
        <v>0</v>
      </c>
      <c r="T69" s="390">
        <f>R70*L70</f>
        <v>0</v>
      </c>
      <c r="BX69"/>
      <c r="BZ69" s="49"/>
    </row>
    <row r="70" spans="7:78" x14ac:dyDescent="0.25">
      <c r="H70" s="1515"/>
      <c r="I70" s="1516"/>
      <c r="L70" s="10" t="str">
        <f>IF(K69="SIM","1","0")</f>
        <v>0</v>
      </c>
      <c r="M70" s="10">
        <f>M68</f>
        <v>20</v>
      </c>
      <c r="N70" s="12"/>
      <c r="O70" s="12"/>
      <c r="R70" s="9">
        <f>O69/(Q69)</f>
        <v>6.8807339449541285</v>
      </c>
      <c r="T70"/>
      <c r="BX70"/>
      <c r="BZ70" s="49"/>
    </row>
    <row r="71" spans="7:78" ht="15.75" thickBot="1" x14ac:dyDescent="0.3">
      <c r="H71" s="1517"/>
      <c r="I71" s="1518"/>
      <c r="J71" s="527">
        <f t="shared" ref="J71" si="105">J69+1</f>
        <v>28</v>
      </c>
      <c r="K71" s="322" t="s">
        <v>189</v>
      </c>
      <c r="L71" s="747">
        <v>2</v>
      </c>
      <c r="M71" s="747" t="s">
        <v>717</v>
      </c>
      <c r="N71" s="748">
        <f>IF((M71=X14),Z14,(IF((M71=X15),Z15,(IF((M71=X16),Z16,(IF((M71=X17),Z17,(IF((M71=X18),Z18,(IF((M71=X19),Z19,(IF((M71=X20),Z20)))))))))))))</f>
        <v>19.899999999999999</v>
      </c>
      <c r="O71" s="749">
        <f>IF((M71=X14),AA14,(IF((M71=X15),AA15,(IF((M71=X16),AA16,(IF((M71=X17),AA17,(IF((M71=X18),AA18,(IF((M71=X19),AA19,(IF((M71=X20),AA20)))))))))))))</f>
        <v>140</v>
      </c>
      <c r="P71" s="750">
        <f>P69</f>
        <v>20</v>
      </c>
      <c r="Q71" s="750">
        <f>Q69</f>
        <v>10.9</v>
      </c>
      <c r="R71" s="751">
        <f>IF(R73&lt;(M73*L71), INT(R73),(M73*L71))</f>
        <v>12</v>
      </c>
      <c r="S71" s="752">
        <f>IF(K71="SIM",(N71*L71*(P71/100)/R71)*L73,0)</f>
        <v>0</v>
      </c>
      <c r="T71" s="390">
        <f>R73*L73</f>
        <v>0</v>
      </c>
      <c r="BX71"/>
      <c r="BZ71" s="49"/>
    </row>
    <row r="72" spans="7:78" x14ac:dyDescent="0.25">
      <c r="H72" s="753" t="s">
        <v>724</v>
      </c>
      <c r="I72" s="1508"/>
      <c r="J72" s="1509"/>
      <c r="K72" s="1509"/>
      <c r="L72" s="1509"/>
      <c r="M72" s="1509"/>
      <c r="N72" s="1509"/>
      <c r="O72" s="1509"/>
      <c r="P72" s="1509"/>
      <c r="Q72" s="1509"/>
      <c r="R72" s="1509"/>
      <c r="S72" s="1509"/>
      <c r="T72" s="1510"/>
      <c r="BX72"/>
      <c r="BZ72" s="49"/>
    </row>
    <row r="73" spans="7:78" ht="18" thickBot="1" x14ac:dyDescent="0.35">
      <c r="K73" s="20"/>
      <c r="L73" s="10" t="str">
        <f>IF(K71="SIM","1","0")</f>
        <v>0</v>
      </c>
      <c r="M73" s="10">
        <f>M70</f>
        <v>20</v>
      </c>
      <c r="N73" s="22"/>
      <c r="O73" s="22"/>
      <c r="R73" s="9">
        <f>O71/(Q71)</f>
        <v>12.844036697247706</v>
      </c>
      <c r="S73" s="528"/>
      <c r="BX73"/>
      <c r="BZ73" s="49"/>
    </row>
    <row r="74" spans="7:78" x14ac:dyDescent="0.25">
      <c r="G74">
        <f>G65+1</f>
        <v>8</v>
      </c>
      <c r="H74" s="1521" t="str">
        <f>CONCATENATE("MOLDE ",G74)</f>
        <v>MOLDE 8</v>
      </c>
      <c r="I74" s="1522"/>
      <c r="J74" s="527">
        <f>J71+1</f>
        <v>29</v>
      </c>
      <c r="K74" s="322" t="s">
        <v>189</v>
      </c>
      <c r="L74" s="747">
        <v>2</v>
      </c>
      <c r="M74" s="747" t="s">
        <v>722</v>
      </c>
      <c r="N74" s="748">
        <f>IF((M74=X14),Z14,(IF((M74=X15),Z15,(IF((M74=X16),Z16,(IF((M74=X17),Z17,(IF((M74=X18),Z18,(IF((M74=X19),Z19,(IF((M74=X20),Z20)))))))))))))</f>
        <v>49.9</v>
      </c>
      <c r="O74" s="749">
        <f>IF((M74=X14),AA14,(IF((M74=X15),AA15,(IF((M74=X16),AA16,(IF((M74=X17),AA17,(IF((M74=X18),AA18,(IF((M74=X19),AA19,(IF((M74=X20),AA20)))))))))))))</f>
        <v>140</v>
      </c>
      <c r="P74" s="713">
        <f>P47</f>
        <v>6.7</v>
      </c>
      <c r="Q74" s="713">
        <f>Q65</f>
        <v>10.9</v>
      </c>
      <c r="R74" s="751">
        <f>IF(R75&lt;(M75*L74), INT(R75),(M75*L74))</f>
        <v>12</v>
      </c>
      <c r="S74" s="752">
        <f>IF(K74="SIM",(N74*L74*(P74/100)/R74)*L75,0)</f>
        <v>0</v>
      </c>
      <c r="T74" s="390">
        <f>R75*L75</f>
        <v>0</v>
      </c>
      <c r="U74" s="400">
        <f>IF(K74="SIM",1,IF(K76="SIM",1,IF(K78="SIM",1,IF(K80="SIM",1,0))))</f>
        <v>0</v>
      </c>
      <c r="BX74"/>
      <c r="BZ74" s="49"/>
    </row>
    <row r="75" spans="7:78" ht="17.25" x14ac:dyDescent="0.3">
      <c r="H75" s="1515" t="s">
        <v>331</v>
      </c>
      <c r="I75" s="1516"/>
      <c r="L75" s="10" t="str">
        <f>IF(K74="SIM","1","0")</f>
        <v>0</v>
      </c>
      <c r="M75" s="10">
        <f>M70</f>
        <v>20</v>
      </c>
      <c r="N75" s="12"/>
      <c r="O75" s="12"/>
      <c r="P75" s="34"/>
      <c r="Q75" s="34"/>
      <c r="R75" s="9">
        <f>O74/(Q74)</f>
        <v>12.844036697247706</v>
      </c>
      <c r="S75" s="528"/>
      <c r="BX75"/>
      <c r="BZ75" s="49"/>
    </row>
    <row r="76" spans="7:78" x14ac:dyDescent="0.25">
      <c r="H76" s="1515"/>
      <c r="I76" s="1516"/>
      <c r="J76" s="527">
        <f t="shared" ref="J76" si="106">J74+1</f>
        <v>30</v>
      </c>
      <c r="K76" s="322" t="s">
        <v>189</v>
      </c>
      <c r="L76" s="747">
        <v>2</v>
      </c>
      <c r="M76" s="747" t="s">
        <v>188</v>
      </c>
      <c r="N76" s="748">
        <f>IF((M76=X14),Z14,(IF((M76=X15),Z15,(IF((M76=X16),Z16,(IF((M76=X17),Z17,(IF((M76=X18),Z18,(IF((M76=X19),Z19,(IF((M76=X20),Z20)))))))))))))</f>
        <v>16</v>
      </c>
      <c r="O76" s="749">
        <f>IF((M76=X14),AA14,(IF((M76=X15),AA15,(IF((M76=X16),AA16,(IF((M76=X17),AA17,(IF((M76=X18),AA18,(IF((M76=X19),AA19,(IF((M76=X20),AA20)))))))))))))</f>
        <v>75</v>
      </c>
      <c r="P76" s="750">
        <f>P74</f>
        <v>6.7</v>
      </c>
      <c r="Q76" s="750">
        <f>Q74</f>
        <v>10.9</v>
      </c>
      <c r="R76" s="751">
        <f>IF(R77&lt;(M77*L76), INT(R77),(M77*L76))</f>
        <v>6</v>
      </c>
      <c r="S76" s="752">
        <f>IF(K76="SIM",(N76*L76*(P76/100)/R76)*L77,0)</f>
        <v>0</v>
      </c>
      <c r="T76" s="390">
        <f>R77*L77</f>
        <v>0</v>
      </c>
      <c r="BX76"/>
      <c r="BZ76" s="49"/>
    </row>
    <row r="77" spans="7:78" ht="17.25" x14ac:dyDescent="0.3">
      <c r="H77" s="1515"/>
      <c r="I77" s="1516"/>
      <c r="L77" s="10" t="str">
        <f>IF(K76="SIM","1","0")</f>
        <v>0</v>
      </c>
      <c r="M77" s="10">
        <f>M75</f>
        <v>20</v>
      </c>
      <c r="N77" s="12"/>
      <c r="O77" s="12"/>
      <c r="P77" s="34"/>
      <c r="Q77" s="34"/>
      <c r="R77" s="9">
        <f>O76/(Q76)</f>
        <v>6.8807339449541285</v>
      </c>
      <c r="S77" s="528"/>
      <c r="BX77"/>
      <c r="BY77" s="49"/>
    </row>
    <row r="78" spans="7:78" x14ac:dyDescent="0.25">
      <c r="H78" s="1515"/>
      <c r="I78" s="1516"/>
      <c r="J78" s="527">
        <f>J76+1</f>
        <v>31</v>
      </c>
      <c r="K78" s="322" t="s">
        <v>189</v>
      </c>
      <c r="L78" s="747">
        <v>2</v>
      </c>
      <c r="M78" s="747" t="s">
        <v>722</v>
      </c>
      <c r="N78" s="748">
        <f>IF((M78=X14),Z14,(IF((M78=X15),Z15,(IF((M78=X16),Z16,(IF((M78=X17),Z17,(IF((M78=X18),Z18,(IF((M78=X19),Z19,(IF((M78=X20),Z20)))))))))))))</f>
        <v>49.9</v>
      </c>
      <c r="O78" s="749">
        <f>IF((M78=X14),AA14,(IF((M78=X15),AA15,(IF((M78=X16),AA16,(IF((M78=X17),AA17,(IF((M78=X18),AA18,(IF((M78=X19),AA19,(IF((M78=X20),AA20)))))))))))))</f>
        <v>140</v>
      </c>
      <c r="P78" s="750">
        <f>P76</f>
        <v>6.7</v>
      </c>
      <c r="Q78" s="750">
        <f>Q76</f>
        <v>10.9</v>
      </c>
      <c r="R78" s="751">
        <f>IF(R79&lt;(M79*L78), INT(R79),(M79*L78))</f>
        <v>12</v>
      </c>
      <c r="S78" s="752">
        <f>IF(K78="SIM",(N78*L78*(P78/100)/R78)*L79,0)</f>
        <v>0</v>
      </c>
      <c r="T78" s="390">
        <f>R79*L79</f>
        <v>0</v>
      </c>
      <c r="BW78" s="49"/>
      <c r="BX78"/>
    </row>
    <row r="79" spans="7:78" x14ac:dyDescent="0.25">
      <c r="H79" s="1515"/>
      <c r="I79" s="1516"/>
      <c r="L79" s="10" t="str">
        <f>IF(K78="SIM","1","0")</f>
        <v>0</v>
      </c>
      <c r="M79" s="10">
        <f>M77</f>
        <v>20</v>
      </c>
      <c r="N79" s="12"/>
      <c r="O79" s="12"/>
      <c r="R79" s="9">
        <f>O78/(Q78)</f>
        <v>12.844036697247706</v>
      </c>
      <c r="T79"/>
      <c r="BW79" s="49"/>
      <c r="BX79"/>
    </row>
    <row r="80" spans="7:78" ht="15.75" thickBot="1" x14ac:dyDescent="0.3">
      <c r="H80" s="1517"/>
      <c r="I80" s="1518"/>
      <c r="J80" s="527">
        <f t="shared" ref="J80" si="107">J78+1</f>
        <v>32</v>
      </c>
      <c r="K80" s="322" t="s">
        <v>189</v>
      </c>
      <c r="L80" s="747">
        <v>2</v>
      </c>
      <c r="M80" s="747" t="s">
        <v>717</v>
      </c>
      <c r="N80" s="748">
        <f>IF((M80=X14),Z14,(IF((M80=X15),Z15,(IF((M80=X16),Z16,(IF((M80=X17),Z17,(IF((M80=X18),Z18,(IF((M80=X19),Z19,(IF((M80=X20),Z20)))))))))))))</f>
        <v>19.899999999999999</v>
      </c>
      <c r="O80" s="749">
        <f>IF((M80=X14),AA14,(IF((M80=X15),AA15,(IF((M80=X16),AA16,(IF((M80=X17),AA17,(IF((M80=X18),AA18,(IF((M80=X19),AA19,(IF((M80=X20),AA20)))))))))))))</f>
        <v>140</v>
      </c>
      <c r="P80" s="750">
        <f>P78</f>
        <v>6.7</v>
      </c>
      <c r="Q80" s="750">
        <f>Q78</f>
        <v>10.9</v>
      </c>
      <c r="R80" s="751">
        <f>IF(R82&lt;(M82*L80), INT(R82),(M82*L80))</f>
        <v>12</v>
      </c>
      <c r="S80" s="752">
        <f>IF(K80="SIM",(N80*L80*(P80/100)/R80)*L82,0)</f>
        <v>0</v>
      </c>
      <c r="T80" s="390">
        <f>R82*L82</f>
        <v>0</v>
      </c>
      <c r="BW80" s="49"/>
      <c r="BX80"/>
    </row>
    <row r="81" spans="7:76" x14ac:dyDescent="0.25">
      <c r="H81" s="753" t="s">
        <v>724</v>
      </c>
      <c r="I81" s="1508"/>
      <c r="J81" s="1509"/>
      <c r="K81" s="1509"/>
      <c r="L81" s="1509"/>
      <c r="M81" s="1509"/>
      <c r="N81" s="1509"/>
      <c r="O81" s="1509"/>
      <c r="P81" s="1509"/>
      <c r="Q81" s="1509"/>
      <c r="R81" s="1509"/>
      <c r="S81" s="1509"/>
      <c r="T81" s="1510"/>
      <c r="BW81" s="49"/>
      <c r="BX81"/>
    </row>
    <row r="82" spans="7:76" ht="18" thickBot="1" x14ac:dyDescent="0.35">
      <c r="K82" s="20"/>
      <c r="L82" s="10" t="str">
        <f>IF(K80="SIM","1","0")</f>
        <v>0</v>
      </c>
      <c r="M82" s="10">
        <f>M79</f>
        <v>20</v>
      </c>
      <c r="N82" s="22"/>
      <c r="O82" s="22"/>
      <c r="R82" s="9">
        <f>O80/(Q80)</f>
        <v>12.844036697247706</v>
      </c>
      <c r="S82" s="528"/>
      <c r="BI82" s="34"/>
      <c r="BL82" s="34"/>
      <c r="BW82" s="49"/>
      <c r="BX82"/>
    </row>
    <row r="83" spans="7:76" x14ac:dyDescent="0.25">
      <c r="G83">
        <f>G74+1</f>
        <v>9</v>
      </c>
      <c r="H83" s="1521" t="str">
        <f>CONCATENATE("MOLDE ",G83)</f>
        <v>MOLDE 9</v>
      </c>
      <c r="I83" s="1522"/>
      <c r="J83" s="527">
        <f>J80+1</f>
        <v>33</v>
      </c>
      <c r="K83" s="322" t="s">
        <v>189</v>
      </c>
      <c r="L83" s="747">
        <v>2</v>
      </c>
      <c r="M83" s="747" t="s">
        <v>717</v>
      </c>
      <c r="N83" s="748">
        <f>IF((M83=X14),Z14,(IF((M83=X15),Z15,(IF((M83=X16),Z16,(IF((M83=X17),Z17,(IF((M83=X18),Z18,(IF((M83=X19),Z19,(IF((M83=X20),Z20)))))))))))))</f>
        <v>19.899999999999999</v>
      </c>
      <c r="O83" s="749">
        <f>IF((M83=X14),AA14,(IF((M83=X15),AA15,(IF((M83=X16),AA16,(IF((M83=X17),AA17,(IF((M83=X18),AA18,(IF((M83=X19),AA19,(IF((M83=X20),AA20)))))))))))))</f>
        <v>140</v>
      </c>
      <c r="P83" s="713">
        <f>IF((2*P65/3)&lt;16,16,2*P65/3)+(2*Z37)</f>
        <v>18</v>
      </c>
      <c r="Q83" s="713">
        <f>Q65</f>
        <v>10.9</v>
      </c>
      <c r="R83" s="751">
        <f>IF(R84&lt;(M84*L83), INT(R84),(M84*L83))</f>
        <v>12</v>
      </c>
      <c r="S83" s="752">
        <f>IF(K83="SIM",(N83*L83*(P83/100)/R83)*L84,0)</f>
        <v>0</v>
      </c>
      <c r="T83" s="390">
        <f>R84*L84</f>
        <v>0</v>
      </c>
      <c r="U83" s="400">
        <f>IF(K83="SIM",1,IF(K85="SIM",1,IF(K87="SIM",1,IF(K89="SIM",1,0))))</f>
        <v>0</v>
      </c>
      <c r="BW83" s="49"/>
      <c r="BX83"/>
    </row>
    <row r="84" spans="7:76" ht="17.25" x14ac:dyDescent="0.3">
      <c r="H84" s="1515" t="s">
        <v>331</v>
      </c>
      <c r="I84" s="1516"/>
      <c r="L84" s="10" t="str">
        <f>IF(K83="SIM","1","0")</f>
        <v>0</v>
      </c>
      <c r="M84" s="10">
        <f>M79</f>
        <v>20</v>
      </c>
      <c r="N84" s="12"/>
      <c r="O84" s="12"/>
      <c r="P84" s="34"/>
      <c r="Q84" s="34"/>
      <c r="R84" s="9">
        <f>O83/(Q83)</f>
        <v>12.844036697247706</v>
      </c>
      <c r="S84" s="528"/>
      <c r="BW84" s="49"/>
      <c r="BX84"/>
    </row>
    <row r="85" spans="7:76" x14ac:dyDescent="0.25">
      <c r="H85" s="1515"/>
      <c r="I85" s="1516"/>
      <c r="J85" s="527">
        <f t="shared" ref="J85" si="108">J83+1</f>
        <v>34</v>
      </c>
      <c r="K85" s="322" t="s">
        <v>189</v>
      </c>
      <c r="L85" s="747">
        <v>1</v>
      </c>
      <c r="M85" s="747" t="s">
        <v>188</v>
      </c>
      <c r="N85" s="748">
        <f>IF((M85=X14),Z14,(IF((M85=X15),Z15,(IF((M85=X16),Z16,(IF((M85=X17),Z17,(IF((M85=X18),Z18,(IF((M85=X19),Z19,(IF((M85=X20),Z20)))))))))))))</f>
        <v>16</v>
      </c>
      <c r="O85" s="749">
        <f>IF((M85=X14),AA14,(IF((M85=X15),AA15,(IF((M85=X16),AA16,(IF((M85=X17),AA17,(IF((M85=X18),AA18,(IF((M85=X19),AA19,(IF((M85=X20),AA20)))))))))))))</f>
        <v>75</v>
      </c>
      <c r="P85" s="750">
        <f>P83</f>
        <v>18</v>
      </c>
      <c r="Q85" s="750">
        <f>Q83</f>
        <v>10.9</v>
      </c>
      <c r="R85" s="751">
        <f>IF(R86&lt;(M86*L85), INT(R86),(M86*L85))</f>
        <v>6</v>
      </c>
      <c r="S85" s="752">
        <f>IF(K85="SIM",(N85*L85*(P85/100)/R85)*L86,0)</f>
        <v>0</v>
      </c>
      <c r="T85" s="390">
        <f>R86*L86</f>
        <v>0</v>
      </c>
      <c r="BW85" s="49"/>
      <c r="BX85"/>
    </row>
    <row r="86" spans="7:76" ht="17.25" x14ac:dyDescent="0.3">
      <c r="H86" s="1515"/>
      <c r="I86" s="1516"/>
      <c r="L86" s="10" t="str">
        <f>IF(K85="SIM","1","0")</f>
        <v>0</v>
      </c>
      <c r="M86" s="10">
        <f>M84</f>
        <v>20</v>
      </c>
      <c r="N86" s="12"/>
      <c r="O86" s="12"/>
      <c r="P86" s="34"/>
      <c r="Q86" s="34"/>
      <c r="R86" s="9">
        <f>O85/(Q85)</f>
        <v>6.8807339449541285</v>
      </c>
      <c r="S86" s="528"/>
      <c r="BW86" s="49"/>
      <c r="BX86"/>
    </row>
    <row r="87" spans="7:76" x14ac:dyDescent="0.25">
      <c r="H87" s="1515"/>
      <c r="I87" s="1516"/>
      <c r="J87" s="527">
        <f>J85+1</f>
        <v>35</v>
      </c>
      <c r="K87" s="322" t="s">
        <v>189</v>
      </c>
      <c r="L87" s="747">
        <v>1</v>
      </c>
      <c r="M87" s="747" t="s">
        <v>722</v>
      </c>
      <c r="N87" s="748">
        <f>IF((M87=X14),Z14,(IF((M87=X15),Z15,(IF((M87=X16),Z16,(IF((M87=X17),Z17,(IF((M87=X18),Z18,(IF((M87=X19),Z19,(IF((M87=X20),Z20)))))))))))))</f>
        <v>49.9</v>
      </c>
      <c r="O87" s="749">
        <f>IF((M87=X14),AA14,(IF((M87=X15),AA15,(IF((M87=X16),AA16,(IF((M87=X17),AA17,(IF((M87=X18),AA18,(IF((M87=X19),AA19,(IF((M87=X20),AA20)))))))))))))</f>
        <v>140</v>
      </c>
      <c r="P87" s="750">
        <f>P85</f>
        <v>18</v>
      </c>
      <c r="Q87" s="750">
        <f>Q85</f>
        <v>10.9</v>
      </c>
      <c r="R87" s="751">
        <f>IF(R88&lt;(M88*L87), INT(R88),(M88*L87))</f>
        <v>12</v>
      </c>
      <c r="S87" s="752">
        <f>IF(K87="SIM",(N87*L87*(P87/100)/R87)*L88,0)</f>
        <v>0</v>
      </c>
      <c r="T87" s="390">
        <f>R88*L88</f>
        <v>0</v>
      </c>
      <c r="BW87" s="49"/>
      <c r="BX87"/>
    </row>
    <row r="88" spans="7:76" x14ac:dyDescent="0.25">
      <c r="H88" s="1515"/>
      <c r="I88" s="1516"/>
      <c r="L88" s="10" t="str">
        <f>IF(K87="SIM","1","0")</f>
        <v>0</v>
      </c>
      <c r="M88" s="10">
        <f>M86</f>
        <v>20</v>
      </c>
      <c r="N88" s="12"/>
      <c r="O88" s="12"/>
      <c r="R88" s="9">
        <f>O87/(Q87)</f>
        <v>12.844036697247706</v>
      </c>
      <c r="T88"/>
      <c r="BW88" s="49"/>
      <c r="BX88"/>
    </row>
    <row r="89" spans="7:76" ht="17.25" customHeight="1" thickBot="1" x14ac:dyDescent="0.3">
      <c r="H89" s="1517"/>
      <c r="I89" s="1518"/>
      <c r="J89" s="527">
        <f t="shared" ref="J89" si="109">J87+1</f>
        <v>36</v>
      </c>
      <c r="K89" s="322" t="s">
        <v>189</v>
      </c>
      <c r="L89" s="747">
        <v>2</v>
      </c>
      <c r="M89" s="747" t="s">
        <v>717</v>
      </c>
      <c r="N89" s="748">
        <f>IF((M89=X14),Z14,(IF((M89=X15),Z15,(IF((M89=X16),Z16,(IF((M89=X17),Z17,(IF((M89=X18),Z18,(IF((M89=X19),Z19,(IF((M89=X20),Z20)))))))))))))</f>
        <v>19.899999999999999</v>
      </c>
      <c r="O89" s="749">
        <f>IF((M89=X14),AA14,(IF((M89=X15),AA15,(IF((M89=X16),AA16,(IF((M89=X17),AA17,(IF((M89=X18),AA18,(IF((M89=X19),AA19,(IF((M89=X20),AA20)))))))))))))</f>
        <v>140</v>
      </c>
      <c r="P89" s="750">
        <f>P87</f>
        <v>18</v>
      </c>
      <c r="Q89" s="750">
        <f>Q87</f>
        <v>10.9</v>
      </c>
      <c r="R89" s="751">
        <f>IF(R91&lt;(M91*L89), INT(R91),(M91*L89))</f>
        <v>12</v>
      </c>
      <c r="S89" s="752">
        <f>IF(K89="SIM",(N89*L89*(P89/100)/R89)*L91,0)</f>
        <v>0</v>
      </c>
      <c r="T89" s="390">
        <f>R91*L91</f>
        <v>0</v>
      </c>
      <c r="BW89" s="49"/>
      <c r="BX89"/>
    </row>
    <row r="90" spans="7:76" x14ac:dyDescent="0.25">
      <c r="H90" s="753" t="s">
        <v>724</v>
      </c>
      <c r="I90" s="1508"/>
      <c r="J90" s="1509"/>
      <c r="K90" s="1509"/>
      <c r="L90" s="1509"/>
      <c r="M90" s="1509"/>
      <c r="N90" s="1509"/>
      <c r="O90" s="1509"/>
      <c r="P90" s="1509"/>
      <c r="Q90" s="1509"/>
      <c r="R90" s="1509"/>
      <c r="S90" s="1509"/>
      <c r="T90" s="1510"/>
    </row>
    <row r="91" spans="7:76" ht="18" thickBot="1" x14ac:dyDescent="0.35">
      <c r="K91" s="20"/>
      <c r="L91" s="10" t="str">
        <f>IF(K89="SIM","1","0")</f>
        <v>0</v>
      </c>
      <c r="M91" s="10">
        <f>M88</f>
        <v>20</v>
      </c>
      <c r="N91" s="22"/>
      <c r="O91" s="22"/>
      <c r="R91" s="9">
        <f>O89/(Q89)</f>
        <v>12.844036697247706</v>
      </c>
      <c r="S91" s="528"/>
    </row>
    <row r="92" spans="7:76" x14ac:dyDescent="0.25">
      <c r="G92">
        <f>G83+1</f>
        <v>10</v>
      </c>
      <c r="H92" s="1521" t="str">
        <f>CONCATENATE("MOLDE ",G92)</f>
        <v>MOLDE 10</v>
      </c>
      <c r="I92" s="1522"/>
      <c r="J92" s="527">
        <f>J89+1</f>
        <v>37</v>
      </c>
      <c r="K92" s="322" t="s">
        <v>189</v>
      </c>
      <c r="L92" s="747">
        <v>1</v>
      </c>
      <c r="M92" s="747" t="s">
        <v>717</v>
      </c>
      <c r="N92" s="748">
        <f>IF((M92=X14),Z14,(IF((M92=X15),Z15,(IF((M92=X16),Z16,(IF((M92=X17),Z17,(IF((M92=X18),Z18,(IF((M92=X19),Z19,(IF((M92=X20),Z20)))))))))))))</f>
        <v>19.899999999999999</v>
      </c>
      <c r="O92" s="749">
        <f>IF((M92=X14),AA14,(IF((M92=X15),AA15,(IF((M92=X16),AA16,(IF((M92=X17),AA17,(IF((M92=X18),AA18,(IF((M92=X19),AA19,(IF((M92=X20),AA20)))))))))))))</f>
        <v>140</v>
      </c>
      <c r="P92" s="713">
        <f>P83</f>
        <v>18</v>
      </c>
      <c r="Q92" s="713">
        <f>Q38</f>
        <v>11.4</v>
      </c>
      <c r="R92" s="751">
        <f>IF(R93&lt;(M93*L92), INT(R93),(M93*L92))</f>
        <v>12</v>
      </c>
      <c r="S92" s="752">
        <f>IF(K92="SIM",(N92*L92*(P92/100)/R92)*L93,0)</f>
        <v>0</v>
      </c>
      <c r="T92" s="390">
        <f>R93*L93</f>
        <v>0</v>
      </c>
      <c r="U92" s="400">
        <f>IF(K92="SIM",1,IF(K94="SIM",1,IF(K96="SIM",1,IF(K98="SIM",1,0))))</f>
        <v>0</v>
      </c>
    </row>
    <row r="93" spans="7:76" ht="17.25" x14ac:dyDescent="0.3">
      <c r="H93" s="1515" t="s">
        <v>331</v>
      </c>
      <c r="I93" s="1516"/>
      <c r="L93" s="10" t="str">
        <f>IF(K92="SIM","1","0")</f>
        <v>0</v>
      </c>
      <c r="M93" s="10">
        <f>M88</f>
        <v>20</v>
      </c>
      <c r="N93" s="12"/>
      <c r="O93" s="12"/>
      <c r="P93" s="34"/>
      <c r="Q93" s="34"/>
      <c r="R93" s="9">
        <f>O92/(Q92)</f>
        <v>12.280701754385964</v>
      </c>
      <c r="S93" s="528"/>
    </row>
    <row r="94" spans="7:76" x14ac:dyDescent="0.25">
      <c r="H94" s="1515"/>
      <c r="I94" s="1516"/>
      <c r="J94" s="527">
        <f t="shared" ref="J94" si="110">J92+1</f>
        <v>38</v>
      </c>
      <c r="K94" s="322" t="s">
        <v>189</v>
      </c>
      <c r="L94" s="747">
        <v>4</v>
      </c>
      <c r="M94" s="747" t="s">
        <v>722</v>
      </c>
      <c r="N94" s="748">
        <f>IF((M94=X14),Z14,(IF((M94=X15),Z15,(IF((M94=X16),Z16,(IF((M94=X17),Z17,(IF((M94=X18),Z18,(IF((M94=X19),Z19,(IF((M94=X20),Z20)))))))))))))</f>
        <v>49.9</v>
      </c>
      <c r="O94" s="749">
        <f>IF((M94=X14),AA14,(IF((M94=X15),AA15,(IF((M94=X16),AA16,(IF((M94=X17),AA17,(IF((M94=X18),AA18,(IF((M94=X19),AA19,(IF((M94=X20),AA20)))))))))))))</f>
        <v>140</v>
      </c>
      <c r="P94" s="750">
        <f>P92</f>
        <v>18</v>
      </c>
      <c r="Q94" s="750">
        <f>Q92</f>
        <v>11.4</v>
      </c>
      <c r="R94" s="751">
        <f>IF(R95&lt;(M95*L94), INT(R95),(M95*L94))</f>
        <v>12</v>
      </c>
      <c r="S94" s="752">
        <f>IF(K94="SIM",(N94*L94*(P94/100)/R94)*L95,0)</f>
        <v>0</v>
      </c>
      <c r="T94" s="390">
        <f>R95*L95</f>
        <v>0</v>
      </c>
    </row>
    <row r="95" spans="7:76" ht="17.25" x14ac:dyDescent="0.3">
      <c r="H95" s="1515"/>
      <c r="I95" s="1516"/>
      <c r="L95" s="10" t="str">
        <f>IF(K94="SIM","1","0")</f>
        <v>0</v>
      </c>
      <c r="M95" s="10">
        <f>M93</f>
        <v>20</v>
      </c>
      <c r="N95" s="12"/>
      <c r="O95" s="12"/>
      <c r="P95" s="34"/>
      <c r="Q95" s="34"/>
      <c r="R95" s="9">
        <f>O94/(Q94)</f>
        <v>12.280701754385964</v>
      </c>
      <c r="S95" s="528"/>
    </row>
    <row r="96" spans="7:76" ht="17.25" customHeight="1" x14ac:dyDescent="0.25">
      <c r="H96" s="1515"/>
      <c r="I96" s="1516"/>
      <c r="J96" s="527">
        <f>J94+1</f>
        <v>39</v>
      </c>
      <c r="K96" s="322" t="s">
        <v>189</v>
      </c>
      <c r="L96" s="747">
        <v>4</v>
      </c>
      <c r="M96" s="747" t="s">
        <v>722</v>
      </c>
      <c r="N96" s="748">
        <f>IF((M96=X14),Z14,(IF((M96=X15),Z15,(IF((M96=X16),Z16,(IF((M96=X17),Z17,(IF((M96=X18),Z18,(IF((M96=X19),Z19,(IF((M96=X20),Z20)))))))))))))</f>
        <v>49.9</v>
      </c>
      <c r="O96" s="749">
        <f>IF((M96=X14),AA14,(IF((M96=X15),AA15,(IF((M96=X16),AA16,(IF((M96=X17),AA17,(IF((M96=X18),AA18,(IF((M96=X19),AA19,(IF((M96=X20),AA20)))))))))))))</f>
        <v>140</v>
      </c>
      <c r="P96" s="750">
        <f>P94</f>
        <v>18</v>
      </c>
      <c r="Q96" s="750">
        <f>Q94</f>
        <v>11.4</v>
      </c>
      <c r="R96" s="751">
        <f>IF(R97&lt;(M97*L96), INT(R97),(M97*L96))</f>
        <v>12</v>
      </c>
      <c r="S96" s="752">
        <f>IF(K96="SIM",(N96*L96*(P96/100)/R96)*L97,0)</f>
        <v>0</v>
      </c>
      <c r="T96" s="390">
        <f>R97*L97</f>
        <v>0</v>
      </c>
      <c r="BW96" s="49"/>
      <c r="BX96"/>
    </row>
    <row r="97" spans="7:77" x14ac:dyDescent="0.25">
      <c r="H97" s="1515"/>
      <c r="I97" s="1516"/>
      <c r="L97" s="10" t="str">
        <f>IF(K96="SIM","1","0")</f>
        <v>0</v>
      </c>
      <c r="M97" s="10">
        <f>M95</f>
        <v>20</v>
      </c>
      <c r="N97" s="12"/>
      <c r="O97" s="12"/>
      <c r="R97" s="9">
        <f>O96/(Q96)</f>
        <v>12.280701754385964</v>
      </c>
      <c r="T97"/>
    </row>
    <row r="98" spans="7:77" ht="15.75" thickBot="1" x14ac:dyDescent="0.3">
      <c r="H98" s="1517"/>
      <c r="I98" s="1518"/>
      <c r="J98" s="527">
        <f t="shared" ref="J98" si="111">J96+1</f>
        <v>40</v>
      </c>
      <c r="K98" s="322" t="s">
        <v>189</v>
      </c>
      <c r="L98" s="747">
        <v>2</v>
      </c>
      <c r="M98" s="747" t="s">
        <v>717</v>
      </c>
      <c r="N98" s="748">
        <f>IF((M98=X14),Z14,(IF((M98=X15),Z15,(IF((M98=X16),Z16,(IF((M98=X17),Z17,(IF((M98=X18),Z18,(IF((M98=X19),Z19,(IF((M98=X20),Z20)))))))))))))</f>
        <v>19.899999999999999</v>
      </c>
      <c r="O98" s="749">
        <f>IF((M98=X14),AA14,(IF((M98=X15),AA15,(IF((M98=X16),AA16,(IF((M98=X17),AA17,(IF((M98=X18),AA18,(IF((M98=X19),AA19,(IF((M98=X20),AA20)))))))))))))</f>
        <v>140</v>
      </c>
      <c r="P98" s="750">
        <f>P96</f>
        <v>18</v>
      </c>
      <c r="Q98" s="750">
        <f>Q96</f>
        <v>11.4</v>
      </c>
      <c r="R98" s="751">
        <f>IF(R100&lt;(M100*L98), INT(R100),(M100*L98))</f>
        <v>12</v>
      </c>
      <c r="S98" s="752">
        <f>IF(K98="SIM",(N98*L98*(P98/100)/R98)*L100,0)</f>
        <v>0</v>
      </c>
      <c r="T98" s="390">
        <f>R100*L100</f>
        <v>0</v>
      </c>
    </row>
    <row r="99" spans="7:77" x14ac:dyDescent="0.25">
      <c r="H99" s="753" t="s">
        <v>724</v>
      </c>
      <c r="I99" s="1508"/>
      <c r="J99" s="1509"/>
      <c r="K99" s="1509"/>
      <c r="L99" s="1509"/>
      <c r="M99" s="1509"/>
      <c r="N99" s="1509"/>
      <c r="O99" s="1509"/>
      <c r="P99" s="1509"/>
      <c r="Q99" s="1509"/>
      <c r="R99" s="1509"/>
      <c r="S99" s="1509"/>
      <c r="T99" s="1510"/>
    </row>
    <row r="100" spans="7:77" ht="18" thickBot="1" x14ac:dyDescent="0.35">
      <c r="K100" s="20"/>
      <c r="L100" s="10" t="str">
        <f>IF(K98="SIM","1","0")</f>
        <v>0</v>
      </c>
      <c r="M100" s="10">
        <f>M97</f>
        <v>20</v>
      </c>
      <c r="N100" s="22"/>
      <c r="O100" s="22"/>
      <c r="R100" s="9">
        <f>O98/(Q98)</f>
        <v>12.280701754385964</v>
      </c>
      <c r="S100" s="528"/>
    </row>
    <row r="101" spans="7:77" x14ac:dyDescent="0.25">
      <c r="G101">
        <f>G92+1</f>
        <v>11</v>
      </c>
      <c r="H101" s="1521" t="str">
        <f>CONCATENATE("MOLDE ",G101)</f>
        <v>MOLDE 11</v>
      </c>
      <c r="I101" s="1522"/>
      <c r="J101" s="527">
        <f>J98+1</f>
        <v>41</v>
      </c>
      <c r="K101" s="322" t="s">
        <v>189</v>
      </c>
      <c r="L101" s="747">
        <v>1</v>
      </c>
      <c r="M101" s="747" t="s">
        <v>717</v>
      </c>
      <c r="N101" s="748">
        <f>IF((M101=X14),Z14,(IF((M101=X15),Z15,(IF((M101=X16),Z16,(IF((M101=X17),Z17,(IF((M101=X18),Z18,(IF((M101=X19),Z19,(IF((M101=X20),Z20)))))))))))))</f>
        <v>19.899999999999999</v>
      </c>
      <c r="O101" s="749">
        <f>IF((M101=X14),AA14,(IF((M101=X15),AA15,(IF((M101=X16),AA16,(IF((M101=X17),AA17,(IF((M101=X18),AA18,(IF((M101=X19),AA19,(IF((M101=X20),AA20)))))))))))))</f>
        <v>140</v>
      </c>
      <c r="P101" s="713">
        <v>36</v>
      </c>
      <c r="Q101" s="713">
        <v>24</v>
      </c>
      <c r="R101" s="751">
        <f t="shared" ref="R101" si="112">IF(R102&lt;(M102*L101), INT(R102),(M102*L101))</f>
        <v>5</v>
      </c>
      <c r="S101" s="752">
        <f>IF(K101="SIM",(N101*L101*(P101/100)/R101)*L102,0)</f>
        <v>0</v>
      </c>
      <c r="T101" s="390">
        <f t="shared" ref="T101" si="113">R102*L102</f>
        <v>0</v>
      </c>
      <c r="U101" s="400">
        <f>IF(K101="SIM",1,IF(K103="SIM",1,IF(K105="SIM",1,IF(K107="SIM",1,0))))</f>
        <v>0</v>
      </c>
    </row>
    <row r="102" spans="7:77" ht="17.25" x14ac:dyDescent="0.3">
      <c r="H102" s="1515" t="s">
        <v>331</v>
      </c>
      <c r="I102" s="1516"/>
      <c r="L102" s="10" t="str">
        <f>IF(K101="SIM","1","0")</f>
        <v>0</v>
      </c>
      <c r="M102" s="10">
        <f>M97</f>
        <v>20</v>
      </c>
      <c r="N102" s="12"/>
      <c r="O102" s="12"/>
      <c r="P102" s="34"/>
      <c r="Q102" s="34"/>
      <c r="R102" s="9">
        <f t="shared" ref="R102" si="114">O101/(Q101)</f>
        <v>5.833333333333333</v>
      </c>
      <c r="S102" s="528"/>
    </row>
    <row r="103" spans="7:77" x14ac:dyDescent="0.25">
      <c r="H103" s="1515"/>
      <c r="I103" s="1516"/>
      <c r="J103" s="527">
        <f t="shared" ref="J103" si="115">J101+1</f>
        <v>42</v>
      </c>
      <c r="K103" s="322" t="s">
        <v>189</v>
      </c>
      <c r="L103" s="747">
        <v>5</v>
      </c>
      <c r="M103" s="747" t="s">
        <v>722</v>
      </c>
      <c r="N103" s="748">
        <f>IF((M103=X14),Z14,(IF((M103=X15),Z15,(IF((M103=X16),Z16,(IF((M103=X17),Z17,(IF((M103=X18),Z18,(IF((M103=X19),Z19,(IF((M103=X20),Z20)))))))))))))</f>
        <v>49.9</v>
      </c>
      <c r="O103" s="749">
        <f>IF((M103=X14),AA14,(IF((M103=X15),AA15,(IF((M103=X16),AA16,(IF((M103=X17),AA17,(IF((M103=X18),AA18,(IF((M103=X19),AA19,(IF((M103=X20),AA20)))))))))))))</f>
        <v>140</v>
      </c>
      <c r="P103" s="750">
        <f>P101</f>
        <v>36</v>
      </c>
      <c r="Q103" s="750">
        <f>Q101</f>
        <v>24</v>
      </c>
      <c r="R103" s="751">
        <f t="shared" ref="R103" si="116">IF(R104&lt;(M104*L103), INT(R104),(M104*L103))</f>
        <v>5</v>
      </c>
      <c r="S103" s="752">
        <f>IF(K103="SIM",(N103*L103*(P103/100)/R103)*L104,0)</f>
        <v>0</v>
      </c>
      <c r="T103" s="390">
        <f t="shared" ref="T103" si="117">R104*L104</f>
        <v>0</v>
      </c>
    </row>
    <row r="104" spans="7:77" ht="17.25" x14ac:dyDescent="0.3">
      <c r="H104" s="1515"/>
      <c r="I104" s="1516"/>
      <c r="L104" s="10" t="str">
        <f>IF(K103="SIM","1","0")</f>
        <v>0</v>
      </c>
      <c r="M104" s="10">
        <f>M102</f>
        <v>20</v>
      </c>
      <c r="N104" s="12"/>
      <c r="O104" s="12"/>
      <c r="P104" s="34"/>
      <c r="Q104" s="34"/>
      <c r="R104" s="9">
        <f t="shared" ref="R104" si="118">O103/(Q103)</f>
        <v>5.833333333333333</v>
      </c>
      <c r="S104" s="528"/>
      <c r="W104" s="21"/>
    </row>
    <row r="105" spans="7:77" x14ac:dyDescent="0.25">
      <c r="H105" s="1515"/>
      <c r="I105" s="1516"/>
      <c r="J105" s="527">
        <f>J103+1</f>
        <v>43</v>
      </c>
      <c r="K105" s="322" t="s">
        <v>189</v>
      </c>
      <c r="L105" s="747">
        <v>5</v>
      </c>
      <c r="M105" s="747" t="s">
        <v>722</v>
      </c>
      <c r="N105" s="748">
        <f>IF((M105=X14),Z14,(IF((M105=X15),Z15,(IF((M105=X16),Z16,(IF((M105=X17),Z17,(IF((M105=X18),Z18,(IF((M105=X19),Z19,(IF((M105=X20),Z20)))))))))))))</f>
        <v>49.9</v>
      </c>
      <c r="O105" s="749">
        <f>IF((M105=X14),AA14,(IF((M105=X15),AA15,(IF((M105=X16),AA16,(IF((M105=X17),AA17,(IF((M105=X18),AA18,(IF((M105=X19),AA19,(IF((M105=X20),AA20)))))))))))))</f>
        <v>140</v>
      </c>
      <c r="P105" s="750">
        <f>P103</f>
        <v>36</v>
      </c>
      <c r="Q105" s="750">
        <f>Q103</f>
        <v>24</v>
      </c>
      <c r="R105" s="751">
        <f>IF(R106&lt;(M106*L105), INT(R106),(M106*L105))</f>
        <v>5</v>
      </c>
      <c r="S105" s="752">
        <f>IF(K105="SIM",(N105*L105*(P105/100)/R105)*L106,0)</f>
        <v>0</v>
      </c>
      <c r="T105" s="390">
        <f>R106*L106</f>
        <v>0</v>
      </c>
      <c r="W105" s="21"/>
    </row>
    <row r="106" spans="7:77" ht="17.25" x14ac:dyDescent="0.3">
      <c r="H106" s="1515"/>
      <c r="I106" s="1516"/>
      <c r="L106" s="10" t="str">
        <f>IF(K105="SIM","1","0")</f>
        <v>0</v>
      </c>
      <c r="M106" s="10">
        <f>M104</f>
        <v>20</v>
      </c>
      <c r="N106" s="12"/>
      <c r="O106" s="12"/>
      <c r="R106" s="9">
        <f>O105/(Q105)</f>
        <v>5.833333333333333</v>
      </c>
      <c r="S106" s="528"/>
      <c r="T106"/>
    </row>
    <row r="107" spans="7:77" ht="15.75" thickBot="1" x14ac:dyDescent="0.3">
      <c r="H107" s="1517"/>
      <c r="I107" s="1518"/>
      <c r="J107" s="527">
        <f t="shared" ref="J107" si="119">J105+1</f>
        <v>44</v>
      </c>
      <c r="K107" s="322" t="s">
        <v>189</v>
      </c>
      <c r="L107" s="747">
        <v>2</v>
      </c>
      <c r="M107" s="747" t="s">
        <v>722</v>
      </c>
      <c r="N107" s="748">
        <f>IF((M107=X14),Z14,(IF((M107=X15),Z15,(IF((M107=X16),Z16,(IF((M107=X17),Z17,(IF((M107=X18),Z18,(IF((M107=X19),Z19,(IF((M107=X20),Z20)))))))))))))</f>
        <v>49.9</v>
      </c>
      <c r="O107" s="749">
        <f>IF((M107=X14),AA14,(IF((M107=X15),AA15,(IF((M107=X16),AA16,(IF((M107=X17),AA17,(IF((M107=X18),AA18,(IF((M107=X19),AA19,(IF((M107=X20),AA20)))))))))))))</f>
        <v>140</v>
      </c>
      <c r="P107" s="750">
        <f>P105</f>
        <v>36</v>
      </c>
      <c r="Q107" s="750">
        <f>Q105</f>
        <v>24</v>
      </c>
      <c r="R107" s="751">
        <f>IF(R109&lt;(M109*L107), INT(R109),(M109*L107))</f>
        <v>5</v>
      </c>
      <c r="S107" s="752">
        <f>IF(K107="SIM",(N107*L107*(P107/100)/R107)*L109,0)</f>
        <v>0</v>
      </c>
      <c r="T107" s="390">
        <f>R109*L109</f>
        <v>0</v>
      </c>
    </row>
    <row r="108" spans="7:77" x14ac:dyDescent="0.25">
      <c r="H108" s="753" t="s">
        <v>724</v>
      </c>
      <c r="I108" s="1508"/>
      <c r="J108" s="1509"/>
      <c r="K108" s="1509"/>
      <c r="L108" s="1509"/>
      <c r="M108" s="1509"/>
      <c r="N108" s="1509"/>
      <c r="O108" s="1509"/>
      <c r="P108" s="1509"/>
      <c r="Q108" s="1509"/>
      <c r="R108" s="1509"/>
      <c r="S108" s="1509"/>
      <c r="T108" s="1510"/>
    </row>
    <row r="109" spans="7:77" ht="15.75" thickBot="1" x14ac:dyDescent="0.3">
      <c r="K109" s="20"/>
      <c r="L109" s="10" t="str">
        <f>IF(K107="SIM","1","0")</f>
        <v>0</v>
      </c>
      <c r="M109" s="10">
        <f>M106</f>
        <v>20</v>
      </c>
      <c r="N109" s="22"/>
      <c r="O109" s="22"/>
      <c r="R109" s="9">
        <f>O107/(Q107)</f>
        <v>5.833333333333333</v>
      </c>
    </row>
    <row r="110" spans="7:77" x14ac:dyDescent="0.25">
      <c r="G110">
        <f>G101+1</f>
        <v>12</v>
      </c>
      <c r="H110" s="1521" t="str">
        <f>CONCATENATE("MOLDE ",G110)</f>
        <v>MOLDE 12</v>
      </c>
      <c r="I110" s="1522"/>
      <c r="J110" s="527">
        <f>J107+1</f>
        <v>45</v>
      </c>
      <c r="K110" s="322" t="s">
        <v>189</v>
      </c>
      <c r="L110" s="747">
        <v>1</v>
      </c>
      <c r="M110" s="747" t="s">
        <v>188</v>
      </c>
      <c r="N110" s="748">
        <f>IF((M110=X14),Z14,(IF((M110=X15),Z15,(IF((M110=X16),Z16,(IF((M110=X17),Z17,(IF((M110=X18),Z18,(IF((M110=X19),Z19,(IF((M110=X20),Z20)))))))))))))</f>
        <v>16</v>
      </c>
      <c r="O110" s="749">
        <f>IF((M110=X14),AA14,(IF((M110=X15),AA15,(IF((M110=X16),AA16,(IF((M110=X17),AA17,(IF((M110=X18),AA18,(IF((M110=X19),AA19,(IF((M110=X20),AA20)))))))))))))</f>
        <v>75</v>
      </c>
      <c r="P110" s="713">
        <v>6</v>
      </c>
      <c r="Q110" s="713">
        <v>24</v>
      </c>
      <c r="R110" s="751">
        <f>IF(R111&lt;(M111*L110), INT(R111),(M111*L110))</f>
        <v>3</v>
      </c>
      <c r="S110" s="752">
        <f>IF(K110="SIM",(N110*L110*(P110/100)/R110)*L111,0)</f>
        <v>0</v>
      </c>
      <c r="T110" s="390">
        <f>R111*L111</f>
        <v>0</v>
      </c>
      <c r="U110" s="400">
        <f>IF(K110="SIM",1,IF(K112="SIM",1,IF(K114="SIM",1,IF(K116="SIM",1,0))))</f>
        <v>0</v>
      </c>
    </row>
    <row r="111" spans="7:77" ht="17.25" x14ac:dyDescent="0.3">
      <c r="H111" s="1515" t="s">
        <v>331</v>
      </c>
      <c r="I111" s="1516"/>
      <c r="L111" s="10" t="str">
        <f>IF(K110="SIM","1","0")</f>
        <v>0</v>
      </c>
      <c r="M111" s="10">
        <f>M106</f>
        <v>20</v>
      </c>
      <c r="N111" s="12"/>
      <c r="O111" s="12"/>
      <c r="P111" s="34"/>
      <c r="Q111" s="34"/>
      <c r="R111" s="9">
        <f>O110/(Q110)</f>
        <v>3.125</v>
      </c>
      <c r="S111" s="528"/>
    </row>
    <row r="112" spans="7:77" x14ac:dyDescent="0.25">
      <c r="H112" s="1515"/>
      <c r="I112" s="1516"/>
      <c r="J112" s="527">
        <f t="shared" ref="J112" si="120">J110+1</f>
        <v>46</v>
      </c>
      <c r="K112" s="322" t="s">
        <v>189</v>
      </c>
      <c r="L112" s="747">
        <v>1</v>
      </c>
      <c r="M112" s="747" t="s">
        <v>722</v>
      </c>
      <c r="N112" s="748">
        <f>IF((M112=X14),Z14,(IF((M112=X15),Z15,(IF((M112=X16),Z16,(IF((M112=X17),Z17,(IF((M112=X18),Z18,(IF((M112=X19),Z19,(IF((M112=X20),Z20)))))))))))))</f>
        <v>49.9</v>
      </c>
      <c r="O112" s="749">
        <f>IF((M112=X14),AA14,(IF((M112=X15),AA15,(IF((M112=X16),AA16,(IF((M112=X17),AA17,(IF((M112=X18),AA18,(IF((M112=X19),AA19,(IF((M112=X20),AA20)))))))))))))</f>
        <v>140</v>
      </c>
      <c r="P112" s="750">
        <f>P110</f>
        <v>6</v>
      </c>
      <c r="Q112" s="750">
        <f>Q110</f>
        <v>24</v>
      </c>
      <c r="R112" s="751">
        <f t="shared" ref="R112" si="121">IF(R113&lt;(M113*L112), INT(R113),(M113*L112))</f>
        <v>5</v>
      </c>
      <c r="S112" s="752">
        <f>IF(K112="SIM",(N112*L112*(P112/100)/R112)*L113,0)</f>
        <v>0</v>
      </c>
      <c r="T112" s="390">
        <f t="shared" ref="T112" si="122">R113*L113</f>
        <v>0</v>
      </c>
      <c r="BX112"/>
      <c r="BY112" s="49"/>
    </row>
    <row r="113" spans="7:77" ht="17.25" x14ac:dyDescent="0.3">
      <c r="H113" s="1515"/>
      <c r="I113" s="1516"/>
      <c r="L113" s="10" t="str">
        <f>IF(K112="SIM","1","0")</f>
        <v>0</v>
      </c>
      <c r="M113" s="10">
        <f t="shared" ref="M113" si="123">M111</f>
        <v>20</v>
      </c>
      <c r="N113" s="12"/>
      <c r="O113" s="12"/>
      <c r="P113" s="34"/>
      <c r="Q113" s="34"/>
      <c r="R113" s="9">
        <f t="shared" ref="R113" si="124">O112/(Q112)</f>
        <v>5.833333333333333</v>
      </c>
      <c r="S113" s="528"/>
      <c r="W113" s="21"/>
      <c r="BX113"/>
      <c r="BY113" s="49"/>
    </row>
    <row r="114" spans="7:77" x14ac:dyDescent="0.25">
      <c r="H114" s="1515"/>
      <c r="I114" s="1516"/>
      <c r="J114" s="527">
        <f>J112+1</f>
        <v>47</v>
      </c>
      <c r="K114" s="322" t="s">
        <v>189</v>
      </c>
      <c r="L114" s="747">
        <v>1</v>
      </c>
      <c r="M114" s="747" t="s">
        <v>722</v>
      </c>
      <c r="N114" s="748">
        <f>IF((M114=X14),Z14,(IF((M114=X15),Z15,(IF((M114=X16),Z16,(IF((M114=X17),Z17,(IF((M114=X18),Z18,(IF((M114=X19),Z19,(IF((M114=X20),Z20)))))))))))))</f>
        <v>49.9</v>
      </c>
      <c r="O114" s="749">
        <f>IF((M114=X14),AA14,(IF((M114=X15),AA15,(IF((M114=X16),AA16,(IF((M114=X17),AA17,(IF((M114=X18),AA18,(IF((M114=X19),AA19,(IF((M114=X20),AA20)))))))))))))</f>
        <v>140</v>
      </c>
      <c r="P114" s="750">
        <f>P112</f>
        <v>6</v>
      </c>
      <c r="Q114" s="750">
        <f>Q112</f>
        <v>24</v>
      </c>
      <c r="R114" s="751">
        <f>IF(R115&lt;(M115*L114), INT(R115),(M115*L114))</f>
        <v>5</v>
      </c>
      <c r="S114" s="752">
        <f>IF(K114="SIM",(N114*L114*(P114/100)/R114)*L115,0)</f>
        <v>0</v>
      </c>
      <c r="T114" s="390">
        <f>R115*L115</f>
        <v>0</v>
      </c>
      <c r="W114" s="21"/>
      <c r="BX114"/>
      <c r="BY114" s="49"/>
    </row>
    <row r="115" spans="7:77" ht="17.25" x14ac:dyDescent="0.3">
      <c r="H115" s="1515"/>
      <c r="I115" s="1516"/>
      <c r="L115" s="10" t="str">
        <f>IF(K114="SIM","1","0")</f>
        <v>0</v>
      </c>
      <c r="M115" s="10">
        <f>M113</f>
        <v>20</v>
      </c>
      <c r="N115" s="12"/>
      <c r="O115" s="12"/>
      <c r="R115" s="9">
        <f>O114/(Q114)</f>
        <v>5.833333333333333</v>
      </c>
      <c r="S115" s="528"/>
      <c r="T115"/>
      <c r="BX115"/>
      <c r="BY115" s="49"/>
    </row>
    <row r="116" spans="7:77" ht="15.75" thickBot="1" x14ac:dyDescent="0.3">
      <c r="H116" s="1517"/>
      <c r="I116" s="1518"/>
      <c r="J116" s="527">
        <f t="shared" ref="J116" si="125">J114+1</f>
        <v>48</v>
      </c>
      <c r="K116" s="322" t="s">
        <v>189</v>
      </c>
      <c r="L116" s="747">
        <v>2</v>
      </c>
      <c r="M116" s="747" t="s">
        <v>722</v>
      </c>
      <c r="N116" s="748">
        <f>IF((M116=X14),Z14,(IF((M116=X15),Z15,(IF((M116=X16),Z16,(IF((M116=X17),Z17,(IF((M116=X18),Z18,(IF((M116=X19),Z19,(IF((M116=X20),Z20)))))))))))))</f>
        <v>49.9</v>
      </c>
      <c r="O116" s="749">
        <f>IF((M116=X14),AA14,(IF((M116=X15),AA15,(IF((M116=X16),AA16,(IF((M116=X17),AA17,(IF((M116=X18),AA18,(IF((M116=X19),AA19,(IF((M116=X20),AA20)))))))))))))</f>
        <v>140</v>
      </c>
      <c r="P116" s="750">
        <f>P114</f>
        <v>6</v>
      </c>
      <c r="Q116" s="750">
        <f>Q114</f>
        <v>24</v>
      </c>
      <c r="R116" s="751">
        <f>IF(R118&lt;(M118*L116), INT(R118),(M118*L116))</f>
        <v>5</v>
      </c>
      <c r="S116" s="752">
        <f>IF(K116="SIM",(N116*L116*(P116/100)/R116)*L118,0)</f>
        <v>0</v>
      </c>
      <c r="T116" s="390">
        <f>R118*L118</f>
        <v>0</v>
      </c>
      <c r="BX116"/>
      <c r="BY116" s="49"/>
    </row>
    <row r="117" spans="7:77" x14ac:dyDescent="0.25">
      <c r="H117" s="753" t="s">
        <v>724</v>
      </c>
      <c r="I117" s="1508"/>
      <c r="J117" s="1509"/>
      <c r="K117" s="1509"/>
      <c r="L117" s="1509"/>
      <c r="M117" s="1509"/>
      <c r="N117" s="1509"/>
      <c r="O117" s="1509"/>
      <c r="P117" s="1509"/>
      <c r="Q117" s="1509"/>
      <c r="R117" s="1509"/>
      <c r="S117" s="1509"/>
      <c r="T117" s="1510"/>
      <c r="BX117"/>
      <c r="BY117" s="49"/>
    </row>
    <row r="118" spans="7:77" ht="15.75" thickBot="1" x14ac:dyDescent="0.3">
      <c r="K118" s="20"/>
      <c r="L118" s="10" t="str">
        <f>IF(K116="SIM","1","0")</f>
        <v>0</v>
      </c>
      <c r="M118" s="10">
        <f>M115</f>
        <v>20</v>
      </c>
      <c r="N118" s="22"/>
      <c r="O118" s="22"/>
      <c r="R118" s="9">
        <f>O116/(Q116)</f>
        <v>5.833333333333333</v>
      </c>
      <c r="BX118"/>
      <c r="BY118" s="49"/>
    </row>
    <row r="119" spans="7:77" x14ac:dyDescent="0.25">
      <c r="G119">
        <f>G110+1</f>
        <v>13</v>
      </c>
      <c r="H119" s="1521" t="str">
        <f>CONCATENATE("MOLDE ",G119)</f>
        <v>MOLDE 13</v>
      </c>
      <c r="I119" s="1522"/>
      <c r="J119" s="527">
        <f>J116+1</f>
        <v>49</v>
      </c>
      <c r="K119" s="322" t="s">
        <v>189</v>
      </c>
      <c r="L119" s="747">
        <v>2</v>
      </c>
      <c r="M119" s="747" t="s">
        <v>722</v>
      </c>
      <c r="N119" s="748">
        <f>IF((M119=X14),Z14,(IF((M119=X15),Z15,(IF((M119=X16),Z16,(IF((M119=X17),Z17,(IF((M119=X18),Z18,(IF((M119=X19),Z19,(IF((M119=X20),Z20)))))))))))))</f>
        <v>49.9</v>
      </c>
      <c r="O119" s="749">
        <f>IF((M119=X14),AA14,(IF((M119=X15),AA15,(IF((M119=X16),AA16,(IF((M119=X17),AA17,(IF((M119=X18),AA18,(IF((M119=X19),AA19,(IF((M119=X20),AA20)))))))))))))</f>
        <v>140</v>
      </c>
      <c r="P119" s="713">
        <f>(2*P11)+(P20)-(4*Z37)</f>
        <v>86.199999999999989</v>
      </c>
      <c r="Q119" s="713">
        <f>Z45+(2*Z37)</f>
        <v>2</v>
      </c>
      <c r="R119" s="751">
        <f t="shared" ref="R119" si="126">IF(R120&lt;(M120*L119), INT(R120),(M120*L119))</f>
        <v>40</v>
      </c>
      <c r="S119" s="752">
        <f>IF(K119="SIM",(N119*L119*(P119/100)/R119)*L120,0)</f>
        <v>0</v>
      </c>
      <c r="T119" s="390">
        <f t="shared" ref="T119" si="127">R120*L120</f>
        <v>0</v>
      </c>
      <c r="U119" s="400">
        <f>IF(K119="SIM",1,IF(K121="SIM",1,IF(K123="SIM",1,IF(K125="SIM",1,0))))</f>
        <v>0</v>
      </c>
      <c r="BX119"/>
      <c r="BY119" s="49"/>
    </row>
    <row r="120" spans="7:77" ht="17.25" x14ac:dyDescent="0.3">
      <c r="H120" s="1515" t="s">
        <v>331</v>
      </c>
      <c r="I120" s="1516"/>
      <c r="L120" s="10" t="str">
        <f>IF(K119="SIM","1","0")</f>
        <v>0</v>
      </c>
      <c r="M120" s="10">
        <f>M115</f>
        <v>20</v>
      </c>
      <c r="N120" s="12"/>
      <c r="O120" s="12"/>
      <c r="P120" s="34"/>
      <c r="Q120" s="34"/>
      <c r="R120" s="9">
        <f>O119/(Q119)</f>
        <v>70</v>
      </c>
      <c r="S120" s="528"/>
      <c r="BX120"/>
      <c r="BY120" s="49"/>
    </row>
    <row r="121" spans="7:77" x14ac:dyDescent="0.25">
      <c r="H121" s="1515"/>
      <c r="I121" s="1516"/>
      <c r="J121" s="527">
        <f t="shared" ref="J121" si="128">J119+1</f>
        <v>50</v>
      </c>
      <c r="K121" s="322" t="s">
        <v>189</v>
      </c>
      <c r="L121" s="747">
        <v>2</v>
      </c>
      <c r="M121" s="747" t="s">
        <v>188</v>
      </c>
      <c r="N121" s="748">
        <f>IF((M121=X14),Z14,(IF((M121=X15),Z15,(IF((M121=X16),Z16,(IF((M121=X17),Z17,(IF((M121=X18),Z18,(IF((M121=X19),Z19,(IF((M121=X20),Z20)))))))))))))</f>
        <v>16</v>
      </c>
      <c r="O121" s="749">
        <f>IF((M121=X14),AA14,(IF((M121=X15),AA15,(IF((M121=X16),AA16,(IF((M121=X17),AA17,(IF((M121=X18),AA18,(IF((M121=X19),AA19,(IF((M121=X20),AA20)))))))))))))</f>
        <v>75</v>
      </c>
      <c r="P121" s="750">
        <f>P119</f>
        <v>86.199999999999989</v>
      </c>
      <c r="Q121" s="750">
        <f>Q119</f>
        <v>2</v>
      </c>
      <c r="R121" s="751">
        <f t="shared" ref="R121" si="129">IF(R122&lt;(M122*L121), INT(R122),(M122*L121))</f>
        <v>37</v>
      </c>
      <c r="S121" s="752">
        <f>IF(K121="SIM",(N121*L121*(P121/100)/R121)*L122,0)</f>
        <v>0</v>
      </c>
      <c r="T121" s="390">
        <f t="shared" ref="T121" si="130">R122*L122</f>
        <v>0</v>
      </c>
      <c r="BX121"/>
      <c r="BY121" s="49"/>
    </row>
    <row r="122" spans="7:77" ht="17.25" x14ac:dyDescent="0.3">
      <c r="H122" s="1515"/>
      <c r="I122" s="1516"/>
      <c r="L122" s="10" t="str">
        <f>IF(K121="SIM","1","0")</f>
        <v>0</v>
      </c>
      <c r="M122" s="10">
        <f t="shared" ref="M122" si="131">M120</f>
        <v>20</v>
      </c>
      <c r="N122" s="12"/>
      <c r="O122" s="12"/>
      <c r="P122" s="34"/>
      <c r="Q122" s="34"/>
      <c r="R122" s="9">
        <f t="shared" ref="R122" si="132">O121/(Q121)</f>
        <v>37.5</v>
      </c>
      <c r="S122" s="528"/>
      <c r="BX122"/>
      <c r="BY122" s="49"/>
    </row>
    <row r="123" spans="7:77" x14ac:dyDescent="0.25">
      <c r="H123" s="1515"/>
      <c r="I123" s="1516"/>
      <c r="J123" s="527">
        <f>J121+1</f>
        <v>51</v>
      </c>
      <c r="K123" s="322" t="s">
        <v>189</v>
      </c>
      <c r="L123" s="747">
        <v>2</v>
      </c>
      <c r="M123" s="747" t="s">
        <v>188</v>
      </c>
      <c r="N123" s="748">
        <f>IF((M123=X14),Z14,(IF((M123=X15),Z15,(IF((M123=X16),Z16,(IF((M123=X17),Z17,(IF((M123=X18),Z18,(IF((M123=X19),Z19,(IF((M123=X20),Z20)))))))))))))</f>
        <v>16</v>
      </c>
      <c r="O123" s="749">
        <f>IF((M123=X14),AA14,(IF((M123=X15),AA15,(IF((M123=X16),AA16,(IF((M123=X17),AA17,(IF((M123=X18),AA18,(IF((M123=X19),AA19,(IF((M123=X20),AA20)))))))))))))</f>
        <v>75</v>
      </c>
      <c r="P123" s="750">
        <f>P121</f>
        <v>86.199999999999989</v>
      </c>
      <c r="Q123" s="750">
        <f>Q121</f>
        <v>2</v>
      </c>
      <c r="R123" s="751">
        <f>IF(R124&lt;(M124*L123), INT(R124),(M124*L123))</f>
        <v>37</v>
      </c>
      <c r="S123" s="752">
        <f>IF(K123="SIM",(N123*L123*(P123/100)/R123)*L124,0)</f>
        <v>0</v>
      </c>
      <c r="T123" s="390">
        <f>R124*L124</f>
        <v>0</v>
      </c>
      <c r="BX123"/>
      <c r="BY123" s="49"/>
    </row>
    <row r="124" spans="7:77" x14ac:dyDescent="0.25">
      <c r="H124" s="1515"/>
      <c r="I124" s="1516"/>
      <c r="L124" s="556" t="str">
        <f>IF(K123="SIM","1","0")</f>
        <v>0</v>
      </c>
      <c r="M124" s="10">
        <f>M122</f>
        <v>20</v>
      </c>
      <c r="N124" s="12"/>
      <c r="O124" s="12"/>
      <c r="R124" s="754">
        <f>O123/(Q123)</f>
        <v>37.5</v>
      </c>
      <c r="T124"/>
      <c r="BX124"/>
      <c r="BY124" s="49"/>
    </row>
    <row r="125" spans="7:77" ht="15.75" thickBot="1" x14ac:dyDescent="0.3">
      <c r="H125" s="1517"/>
      <c r="I125" s="1518"/>
      <c r="J125" s="527">
        <f t="shared" ref="J125" si="133">J123+1</f>
        <v>52</v>
      </c>
      <c r="K125" s="322" t="s">
        <v>189</v>
      </c>
      <c r="L125" s="747">
        <v>2</v>
      </c>
      <c r="M125" s="747" t="s">
        <v>717</v>
      </c>
      <c r="N125" s="748">
        <f>IF((M125=X14),Z14,(IF((M125=X15),Z15,(IF((M125=X16),Z16,(IF((M125=X17),Z17,(IF((M125=X18),Z18,(IF((M125=X19),Z19,(IF((M125=X20),Z20)))))))))))))</f>
        <v>19.899999999999999</v>
      </c>
      <c r="O125" s="749">
        <f>IF((M125=X14),AA14,(IF((M125=X15),AA15,(IF((M125=X16),AA16,(IF((M125=X17),AA17,(IF((M125=X18),AA18,(IF((M125=X19),AA19,(IF((M125=X20),AA20)))))))))))))</f>
        <v>140</v>
      </c>
      <c r="P125" s="750">
        <f>P123</f>
        <v>86.199999999999989</v>
      </c>
      <c r="Q125" s="750">
        <f>Q123</f>
        <v>2</v>
      </c>
      <c r="R125" s="751">
        <f>IF(R127&lt;(M127*L125), INT(R127),(M127*L125))</f>
        <v>40</v>
      </c>
      <c r="S125" s="752">
        <f>IF(K125="SIM",(N125*L125*(P125/100)/R125)*L127,0)</f>
        <v>0</v>
      </c>
      <c r="T125" s="390">
        <f>R127*L127</f>
        <v>0</v>
      </c>
      <c r="BX125"/>
      <c r="BY125" s="49"/>
    </row>
    <row r="126" spans="7:77" x14ac:dyDescent="0.25">
      <c r="H126" s="753" t="s">
        <v>724</v>
      </c>
      <c r="I126" s="1508"/>
      <c r="J126" s="1509"/>
      <c r="K126" s="1509"/>
      <c r="L126" s="1509"/>
      <c r="M126" s="1509"/>
      <c r="N126" s="1509"/>
      <c r="O126" s="1509"/>
      <c r="P126" s="1509"/>
      <c r="Q126" s="1509"/>
      <c r="R126" s="1509"/>
      <c r="S126" s="1509"/>
      <c r="T126" s="1510"/>
      <c r="BX126"/>
      <c r="BY126" s="49"/>
    </row>
    <row r="127" spans="7:77" ht="18" thickBot="1" x14ac:dyDescent="0.35">
      <c r="K127" s="20"/>
      <c r="L127" s="10" t="str">
        <f>IF(K125="SIM","1","0")</f>
        <v>0</v>
      </c>
      <c r="M127" s="10">
        <f>M124</f>
        <v>20</v>
      </c>
      <c r="N127" s="22"/>
      <c r="O127" s="22"/>
      <c r="R127" s="9">
        <f>O125/(Q125)</f>
        <v>70</v>
      </c>
      <c r="S127" s="528"/>
      <c r="BX127"/>
      <c r="BY127" s="49"/>
    </row>
    <row r="128" spans="7:77" x14ac:dyDescent="0.25">
      <c r="G128">
        <f>G119+1</f>
        <v>14</v>
      </c>
      <c r="H128" s="1521" t="str">
        <f>CONCATENATE("MOLDE ",G128)</f>
        <v>MOLDE 14</v>
      </c>
      <c r="I128" s="1522"/>
      <c r="J128" s="527">
        <f>J125+1</f>
        <v>53</v>
      </c>
      <c r="K128" s="322" t="s">
        <v>189</v>
      </c>
      <c r="L128" s="747">
        <v>2</v>
      </c>
      <c r="M128" s="747" t="s">
        <v>722</v>
      </c>
      <c r="N128" s="748">
        <f>IF((M128=X14),Z14,(IF((M128=X15),Z15,(IF((M128=X16),Z16,(IF((M128=X17),Z17,(IF((M128=X18),Z18,(IF((M128=X19),Z19,(IF((M128=X20),Z20)))))))))))))</f>
        <v>49.9</v>
      </c>
      <c r="O128" s="749">
        <f>IF((M128=X14),AA14,(IF((M128=X15),AA15,(IF((M128=X16),AA16,(IF((M128=X17),AA17,(IF((M128=X18),AA18,(IF((M128=X19),AA19,(IF((M128=X20),AA20)))))))))))))</f>
        <v>140</v>
      </c>
      <c r="P128" s="713">
        <v>10</v>
      </c>
      <c r="Q128" s="713">
        <v>20</v>
      </c>
      <c r="R128" s="751">
        <f>IF(R129&lt;(M129*L128), INT(R129),(M129*L128))</f>
        <v>7</v>
      </c>
      <c r="S128" s="752">
        <f>IF(K128="SIM",(N128*L128*(P128/100)/R128)*L129,0)</f>
        <v>0</v>
      </c>
      <c r="T128" s="390">
        <f>R129*L129</f>
        <v>0</v>
      </c>
      <c r="U128" s="400">
        <f>IF(K128="SIM",1,IF(K130="SIM",1,IF(K132="SIM",1,IF(K134="SIM",1,0))))</f>
        <v>0</v>
      </c>
      <c r="BX128"/>
      <c r="BY128" s="49"/>
    </row>
    <row r="129" spans="7:77" ht="17.25" x14ac:dyDescent="0.3">
      <c r="H129" s="1515" t="s">
        <v>331</v>
      </c>
      <c r="I129" s="1516"/>
      <c r="L129" s="10" t="str">
        <f>IF(K128="SIM","1","0")</f>
        <v>0</v>
      </c>
      <c r="M129" s="10">
        <f>J123</f>
        <v>51</v>
      </c>
      <c r="N129" s="21"/>
      <c r="O129" s="21"/>
      <c r="P129" s="34"/>
      <c r="Q129" s="34"/>
      <c r="R129" s="9">
        <f>O128/(Q128)</f>
        <v>7</v>
      </c>
      <c r="S129" s="528"/>
      <c r="BX129"/>
      <c r="BY129" s="49"/>
    </row>
    <row r="130" spans="7:77" x14ac:dyDescent="0.25">
      <c r="H130" s="1515"/>
      <c r="I130" s="1516"/>
      <c r="J130" s="527">
        <f t="shared" ref="J130" si="134">J128+1</f>
        <v>54</v>
      </c>
      <c r="K130" s="322" t="s">
        <v>189</v>
      </c>
      <c r="L130" s="747">
        <v>2</v>
      </c>
      <c r="M130" s="747" t="s">
        <v>188</v>
      </c>
      <c r="N130" s="748">
        <f>IF((M130=X14),Z14,(IF((M130=X15),Z15,(IF((M130=X16),Z16,(IF((M130=X17),Z17,(IF((M130=X18),Z18,(IF((M130=X19),Z19,(IF((M130=X20),Z20)))))))))))))</f>
        <v>16</v>
      </c>
      <c r="O130" s="749">
        <f>IF((M130=X14),AA14,(IF((M130=X15),AA15,(IF((M130=X16),AA16,(IF((M130=X17),AA17,(IF((M130=X18),AA18,(IF((M130=X19),AA19,(IF((M130=X20),AA20)))))))))))))</f>
        <v>75</v>
      </c>
      <c r="P130" s="750">
        <f>P128</f>
        <v>10</v>
      </c>
      <c r="Q130" s="750">
        <f>Q128</f>
        <v>20</v>
      </c>
      <c r="R130" s="751">
        <f>IF(R131&lt;(M131*L130), INT(R131),(M131*L130))</f>
        <v>3</v>
      </c>
      <c r="S130" s="752">
        <f>IF(K130="SIM",(N130*L130*(P130/100)/R130)*L131,0)</f>
        <v>0</v>
      </c>
      <c r="T130" s="390">
        <f>R131*L131</f>
        <v>0</v>
      </c>
      <c r="BX130"/>
      <c r="BY130" s="49"/>
    </row>
    <row r="131" spans="7:77" ht="17.25" x14ac:dyDescent="0.3">
      <c r="H131" s="1515"/>
      <c r="I131" s="1516"/>
      <c r="L131" s="10" t="str">
        <f>IF(K130="SIM","1","0")</f>
        <v>0</v>
      </c>
      <c r="M131" s="10">
        <f>M129</f>
        <v>51</v>
      </c>
      <c r="N131" s="22"/>
      <c r="O131" s="22"/>
      <c r="P131" s="34"/>
      <c r="Q131" s="34"/>
      <c r="R131" s="9">
        <f>O130/(Q130)</f>
        <v>3.75</v>
      </c>
      <c r="S131" s="528"/>
      <c r="BD131" s="35"/>
      <c r="BX131"/>
      <c r="BY131" s="49"/>
    </row>
    <row r="132" spans="7:77" x14ac:dyDescent="0.25">
      <c r="H132" s="1515"/>
      <c r="I132" s="1516"/>
      <c r="J132" s="527">
        <f>J130+1</f>
        <v>55</v>
      </c>
      <c r="K132" s="322" t="s">
        <v>189</v>
      </c>
      <c r="L132" s="747">
        <v>2</v>
      </c>
      <c r="M132" s="747" t="s">
        <v>717</v>
      </c>
      <c r="N132" s="748">
        <f>IF((M132=X14),Z14,(IF((M132=X15),Z15,(IF((M132=X16),Z16,(IF((M132=X17),Z17,(IF((M132=X18),Z18,(IF((M132=X19),Z19,(IF((M132=X20),Z20)))))))))))))</f>
        <v>19.899999999999999</v>
      </c>
      <c r="O132" s="749">
        <f>IF((M132=X14),AA14,(IF((M132=X15),AA15,(IF((M132=X16),AA16,(IF((M132=X17),AA17,(IF((M132=X18),AA18,(IF((M132=X19),AA19,(IF((M132=X20),AA20)))))))))))))</f>
        <v>140</v>
      </c>
      <c r="P132" s="750">
        <f>P130</f>
        <v>10</v>
      </c>
      <c r="Q132" s="750">
        <f>Q130</f>
        <v>20</v>
      </c>
      <c r="R132" s="751">
        <f>IF(R133&lt;(M133*L132), INT(R133),(M133*L132))</f>
        <v>7</v>
      </c>
      <c r="S132" s="752">
        <f>IF(K132="SIM",(N132*L132*(P132/100)/R132)*L133,0)</f>
        <v>0</v>
      </c>
      <c r="T132" s="390">
        <f>R133*L133</f>
        <v>0</v>
      </c>
      <c r="BE132" s="35"/>
      <c r="BX132"/>
      <c r="BY132" s="49"/>
    </row>
    <row r="133" spans="7:77" x14ac:dyDescent="0.25">
      <c r="H133" s="1515"/>
      <c r="I133" s="1516"/>
      <c r="L133" s="10" t="str">
        <f>IF(K132="SIM","1","0")</f>
        <v>0</v>
      </c>
      <c r="M133" s="10">
        <f>M131</f>
        <v>51</v>
      </c>
      <c r="N133" s="22"/>
      <c r="O133" s="22"/>
      <c r="P133" s="34"/>
      <c r="Q133" s="34"/>
      <c r="R133" s="9">
        <f>O132/(Q132)</f>
        <v>7</v>
      </c>
      <c r="T133"/>
      <c r="BE133" s="35"/>
    </row>
    <row r="134" spans="7:77" ht="15.75" thickBot="1" x14ac:dyDescent="0.3">
      <c r="H134" s="1517"/>
      <c r="I134" s="1518"/>
      <c r="J134" s="527">
        <f t="shared" ref="J134" si="135">J132+1</f>
        <v>56</v>
      </c>
      <c r="K134" s="322" t="s">
        <v>189</v>
      </c>
      <c r="L134" s="747">
        <v>2</v>
      </c>
      <c r="M134" s="747" t="s">
        <v>717</v>
      </c>
      <c r="N134" s="748">
        <f>IF((M134=X14),Z14,(IF((M134=X15),Z15,(IF((M134=X16),Z16,(IF((M134=X17),Z17,(IF((M134=X18),Z18,(IF((M134=X19),Z19,(IF((M134=X20),Z20)))))))))))))</f>
        <v>19.899999999999999</v>
      </c>
      <c r="O134" s="749">
        <f>IF((M134=X14),AA14,(IF((M134=X15),AA15,(IF((M134=X16),AA16,(IF((M134=X17),AA17,(IF((M134=X18),AA18,(IF((M134=X19),AA19,(IF((M134=X20),AA20)))))))))))))</f>
        <v>140</v>
      </c>
      <c r="P134" s="750">
        <f>P132</f>
        <v>10</v>
      </c>
      <c r="Q134" s="750">
        <f>Q132</f>
        <v>20</v>
      </c>
      <c r="R134" s="751">
        <f>IF(R136&lt;(M136*L134), INT(R136),(M136*L134))</f>
        <v>7</v>
      </c>
      <c r="S134" s="752">
        <f>IF(K134="SIM",(N134*L134*(P134/100)/R134)*L136,0)</f>
        <v>0</v>
      </c>
      <c r="T134" s="390">
        <f>R136*L136</f>
        <v>0</v>
      </c>
      <c r="BE134" s="35"/>
    </row>
    <row r="135" spans="7:77" x14ac:dyDescent="0.25">
      <c r="H135" s="753" t="s">
        <v>724</v>
      </c>
      <c r="I135" s="1508"/>
      <c r="J135" s="1509"/>
      <c r="K135" s="1509"/>
      <c r="L135" s="1509"/>
      <c r="M135" s="1509"/>
      <c r="N135" s="1509"/>
      <c r="O135" s="1509"/>
      <c r="P135" s="1509"/>
      <c r="Q135" s="1509"/>
      <c r="R135" s="1509"/>
      <c r="S135" s="1509"/>
      <c r="T135" s="1510"/>
    </row>
    <row r="136" spans="7:77" ht="18" thickBot="1" x14ac:dyDescent="0.35">
      <c r="K136" s="20"/>
      <c r="L136" s="10" t="str">
        <f>IF(K134="SIM","1","0")</f>
        <v>0</v>
      </c>
      <c r="M136" s="10">
        <f>M133</f>
        <v>51</v>
      </c>
      <c r="N136" s="22"/>
      <c r="O136" s="22"/>
      <c r="R136" s="9">
        <f>O134/(Q134)</f>
        <v>7</v>
      </c>
      <c r="S136" s="528"/>
    </row>
    <row r="137" spans="7:77" x14ac:dyDescent="0.25">
      <c r="G137">
        <f>G128+1</f>
        <v>15</v>
      </c>
      <c r="H137" s="1521" t="str">
        <f>CONCATENATE("MOLDE ",G137)</f>
        <v>MOLDE 15</v>
      </c>
      <c r="I137" s="1522"/>
      <c r="J137" s="527">
        <f>J134+1</f>
        <v>57</v>
      </c>
      <c r="K137" s="322" t="s">
        <v>189</v>
      </c>
      <c r="L137" s="747">
        <v>2</v>
      </c>
      <c r="M137" s="747" t="s">
        <v>722</v>
      </c>
      <c r="N137" s="748">
        <f>IF((M137=X14),Z14,(IF((M137=X15),Z15,(IF((M137=X16),Z16,(IF((M137=X17),Z17,(IF((M137=X18),Z18,(IF((M137=X19),Z19,(IF((M137=X20),Z20)))))))))))))</f>
        <v>49.9</v>
      </c>
      <c r="O137" s="749">
        <f>IF((M137=X14),AA14,(IF((M137=X15),AA15,(IF((M137=X16),AA16,(IF((M137=X17),AA17,(IF((M137=X18),AA18,(IF((M137=X19),AA19,(IF((M137=X20),AA20)))))))))))))</f>
        <v>140</v>
      </c>
      <c r="P137" s="713">
        <v>10</v>
      </c>
      <c r="Q137" s="713">
        <v>20</v>
      </c>
      <c r="R137" s="751">
        <f>IF(R138&lt;(M138*L137), INT(R138),(M138*L137))</f>
        <v>7</v>
      </c>
      <c r="S137" s="752">
        <f>IF(K137="SIM",(N137*L137*(P137/100)/R137)*L138,0)</f>
        <v>0</v>
      </c>
      <c r="T137" s="390">
        <f>R138*L138</f>
        <v>0</v>
      </c>
      <c r="U137" s="400">
        <f>IF(K137="SIM",1,IF(K139="SIM",1,IF(K141="SIM",1,IF(K143="SIM",1,0))))</f>
        <v>0</v>
      </c>
    </row>
    <row r="138" spans="7:77" ht="17.25" x14ac:dyDescent="0.3">
      <c r="H138" s="1515" t="s">
        <v>331</v>
      </c>
      <c r="I138" s="1516"/>
      <c r="L138" s="10" t="str">
        <f>IF(K137="SIM","1","0")</f>
        <v>0</v>
      </c>
      <c r="M138" s="10">
        <f>M133</f>
        <v>51</v>
      </c>
      <c r="N138" s="22"/>
      <c r="O138" s="22"/>
      <c r="P138" s="34"/>
      <c r="Q138" s="34"/>
      <c r="R138" s="9">
        <f>O137/(Q137)</f>
        <v>7</v>
      </c>
      <c r="S138" s="528"/>
      <c r="U138" s="34"/>
    </row>
    <row r="139" spans="7:77" x14ac:dyDescent="0.25">
      <c r="H139" s="1515"/>
      <c r="I139" s="1516"/>
      <c r="J139" s="527">
        <f t="shared" ref="J139" si="136">J137+1</f>
        <v>58</v>
      </c>
      <c r="K139" s="322" t="s">
        <v>189</v>
      </c>
      <c r="L139" s="747">
        <v>2</v>
      </c>
      <c r="M139" s="747" t="s">
        <v>188</v>
      </c>
      <c r="N139" s="748">
        <f>IF((M139=X14),Z14,(IF((M139=X15),Z15,(IF((M139=X16),Z16,(IF((M139=X17),Z17,(IF((M139=X18),Z18,(IF((M139=X19),Z19,(IF((M139=X20),Z20)))))))))))))</f>
        <v>16</v>
      </c>
      <c r="O139" s="749">
        <f>IF((M139=X14),AA14,(IF((M139=X15),AA15,(IF((M139=X16),AA16,(IF((M139=X17),AA17,(IF((M139=X18),AA18,(IF((M139=X19),AA19,(IF((M139=X20),AA20)))))))))))))</f>
        <v>75</v>
      </c>
      <c r="P139" s="750">
        <f>P137</f>
        <v>10</v>
      </c>
      <c r="Q139" s="750">
        <f>Q137</f>
        <v>20</v>
      </c>
      <c r="R139" s="751">
        <f>IF(R140&lt;(M140*L139), INT(R140),(M140*L139))</f>
        <v>3</v>
      </c>
      <c r="S139" s="752">
        <f>IF(K139="SIM",(N139*L139*(P139/100)/R139)*L140,0)</f>
        <v>0</v>
      </c>
      <c r="T139" s="390">
        <f>R140*L140</f>
        <v>0</v>
      </c>
      <c r="U139" s="34"/>
    </row>
    <row r="140" spans="7:77" ht="17.25" x14ac:dyDescent="0.3">
      <c r="H140" s="1515"/>
      <c r="I140" s="1516"/>
      <c r="L140" s="10" t="str">
        <f>IF(K139="SIM","1","0")</f>
        <v>0</v>
      </c>
      <c r="M140" s="10">
        <f>M138</f>
        <v>51</v>
      </c>
      <c r="N140" s="22"/>
      <c r="O140" s="22"/>
      <c r="P140" s="34"/>
      <c r="Q140" s="34"/>
      <c r="R140" s="9">
        <f>O139/(Q139)</f>
        <v>3.75</v>
      </c>
      <c r="S140" s="528"/>
      <c r="U140" s="34"/>
    </row>
    <row r="141" spans="7:77" x14ac:dyDescent="0.25">
      <c r="H141" s="1515"/>
      <c r="I141" s="1516"/>
      <c r="J141" s="527">
        <f>J139+1</f>
        <v>59</v>
      </c>
      <c r="K141" s="322" t="s">
        <v>189</v>
      </c>
      <c r="L141" s="747">
        <v>2</v>
      </c>
      <c r="M141" s="747" t="s">
        <v>717</v>
      </c>
      <c r="N141" s="748">
        <f>IF((M141=X14),Z14,(IF((M141=X15),Z15,(IF((M141=X16),Z16,(IF((M141=X17),Z17,(IF((M141=X18),Z18,(IF((M141=X19),Z19,(IF((M141=X20),Z20)))))))))))))</f>
        <v>19.899999999999999</v>
      </c>
      <c r="O141" s="749">
        <f>IF((M141=X14),AA14,(IF((M141=X15),AA15,(IF((M141=X16),AA16,(IF((M141=X17),AA17,(IF((M141=X18),AA18,(IF((M141=X19),AA19,(IF((M141=X20),AA20)))))))))))))</f>
        <v>140</v>
      </c>
      <c r="P141" s="750">
        <f>P139</f>
        <v>10</v>
      </c>
      <c r="Q141" s="750">
        <f>Q139</f>
        <v>20</v>
      </c>
      <c r="R141" s="751">
        <f>IF(R142&lt;(M142*L141), INT(R142),(M142*L141))</f>
        <v>7</v>
      </c>
      <c r="S141" s="752">
        <f>IF(K141="SIM",(N141*L141*(P141/100)/R141)*L142,0)</f>
        <v>0</v>
      </c>
      <c r="T141" s="390">
        <f>R142*L142</f>
        <v>0</v>
      </c>
    </row>
    <row r="142" spans="7:77" x14ac:dyDescent="0.25">
      <c r="H142" s="1515"/>
      <c r="I142" s="1516"/>
      <c r="L142" s="10" t="str">
        <f>IF(K141="SIM","1","0")</f>
        <v>0</v>
      </c>
      <c r="M142" s="10">
        <f>M140</f>
        <v>51</v>
      </c>
      <c r="N142" s="22"/>
      <c r="O142" s="22"/>
      <c r="R142" s="9">
        <f>O141/(Q141)</f>
        <v>7</v>
      </c>
      <c r="T142"/>
    </row>
    <row r="143" spans="7:77" ht="15.75" thickBot="1" x14ac:dyDescent="0.3">
      <c r="H143" s="1517"/>
      <c r="I143" s="1518"/>
      <c r="J143" s="527">
        <f t="shared" ref="J143" si="137">J141+1</f>
        <v>60</v>
      </c>
      <c r="K143" s="322" t="s">
        <v>189</v>
      </c>
      <c r="L143" s="747">
        <v>2</v>
      </c>
      <c r="M143" s="747" t="s">
        <v>717</v>
      </c>
      <c r="N143" s="748">
        <f>IF((M143=X14),Z14,(IF((M143=X15),Z15,(IF((M143=X16),Z16,(IF((M143=X17),Z17,(IF((M143=X18),Z18,(IF((M143=X19),Z19,(IF((M143=X20),Z20)))))))))))))</f>
        <v>19.899999999999999</v>
      </c>
      <c r="O143" s="749">
        <f>IF((M143=X14),AA14,(IF((M143=X15),AA15,(IF((M143=X16),AA16,(IF((M143=X17),AA17,(IF((M143=X18),AA18,(IF((M143=X19),AA19,(IF((M143=X20),AA20)))))))))))))</f>
        <v>140</v>
      </c>
      <c r="P143" s="750">
        <f>P141</f>
        <v>10</v>
      </c>
      <c r="Q143" s="750">
        <f>Q141</f>
        <v>20</v>
      </c>
      <c r="R143" s="751">
        <f>IF(R145&lt;(M145*L143), INT(R145),(M145*L143))</f>
        <v>7</v>
      </c>
      <c r="S143" s="752">
        <f>IF(K143="SIM",(N143*L143*(P143/100)/R143)*L145,0)</f>
        <v>0</v>
      </c>
      <c r="T143" s="390">
        <f>R145*L145</f>
        <v>0</v>
      </c>
    </row>
    <row r="144" spans="7:77" x14ac:dyDescent="0.25">
      <c r="H144" s="753" t="s">
        <v>724</v>
      </c>
      <c r="I144" s="1508"/>
      <c r="J144" s="1519"/>
      <c r="K144" s="1519"/>
      <c r="L144" s="1519"/>
      <c r="M144" s="1519"/>
      <c r="N144" s="1519"/>
      <c r="O144" s="1519"/>
      <c r="P144" s="1519"/>
      <c r="Q144" s="1519"/>
      <c r="R144" s="1519"/>
      <c r="S144" s="1519"/>
      <c r="T144" s="1520"/>
    </row>
    <row r="145" spans="7:21" ht="18" thickBot="1" x14ac:dyDescent="0.35">
      <c r="K145" s="20"/>
      <c r="L145" s="10" t="str">
        <f>IF(K143="SIM","1","0")</f>
        <v>0</v>
      </c>
      <c r="M145" s="10">
        <f>M142</f>
        <v>51</v>
      </c>
      <c r="N145" s="22"/>
      <c r="O145" s="22"/>
      <c r="R145" s="9">
        <f>O143/(Q143)</f>
        <v>7</v>
      </c>
      <c r="S145" s="528"/>
    </row>
    <row r="146" spans="7:21" x14ac:dyDescent="0.25">
      <c r="G146">
        <f>G137+1</f>
        <v>16</v>
      </c>
      <c r="H146" s="1521" t="str">
        <f>CONCATENATE("MOLDE ",G146)</f>
        <v>MOLDE 16</v>
      </c>
      <c r="I146" s="1522"/>
      <c r="J146" s="527">
        <f>J143+1</f>
        <v>61</v>
      </c>
      <c r="K146" s="322" t="s">
        <v>189</v>
      </c>
      <c r="L146" s="747">
        <v>1</v>
      </c>
      <c r="M146" s="747" t="s">
        <v>722</v>
      </c>
      <c r="N146" s="748">
        <f>IF((M146=X14),Z14,(IF((M146=X15),Z15,(IF((M146=X16),Z16,(IF((M146=X17),Z17,(IF((M146=X18),Z18,(IF((M146=X19),Z19,(IF((M146=X20),Z20)))))))))))))</f>
        <v>49.9</v>
      </c>
      <c r="O146" s="749">
        <f>IF((M146=X14),AA14,(IF((M146=X15),AA15,(IF((M146=X16),AA16,(IF((M146=X17),AA17,(IF((M146=X18),AA18,(IF((M146=X19),AA19,(IF((M146=X20),AA20)))))))))))))</f>
        <v>140</v>
      </c>
      <c r="P146" s="713">
        <v>10</v>
      </c>
      <c r="Q146" s="713">
        <v>20</v>
      </c>
      <c r="R146" s="751">
        <f>IF(R147&lt;(M147*L146), INT(R147),(M147*L146))</f>
        <v>7</v>
      </c>
      <c r="S146" s="752">
        <f>IF(K146="SIM",(N146*L146*(P146/100)/R146)*L147,0)</f>
        <v>0</v>
      </c>
      <c r="T146" s="390">
        <f>R147*L147</f>
        <v>0</v>
      </c>
      <c r="U146" s="400">
        <f>IF(K146="SIM",1,IF(K148="SIM",1,IF(K150="SIM",1,IF(K152="SIM",1,0))))</f>
        <v>0</v>
      </c>
    </row>
    <row r="147" spans="7:21" ht="17.25" x14ac:dyDescent="0.3">
      <c r="H147" s="1515" t="s">
        <v>331</v>
      </c>
      <c r="I147" s="1516"/>
      <c r="L147" s="10" t="str">
        <f>IF(K146="SIM","1","0")</f>
        <v>0</v>
      </c>
      <c r="M147" s="10">
        <f>M142</f>
        <v>51</v>
      </c>
      <c r="N147" s="22"/>
      <c r="O147" s="22"/>
      <c r="P147" s="34"/>
      <c r="Q147" s="34"/>
      <c r="R147" s="9">
        <f>O146/(Q146)</f>
        <v>7</v>
      </c>
      <c r="S147" s="528"/>
      <c r="U147" s="34"/>
    </row>
    <row r="148" spans="7:21" x14ac:dyDescent="0.25">
      <c r="H148" s="1515"/>
      <c r="I148" s="1516"/>
      <c r="J148" s="527">
        <f t="shared" ref="J148" si="138">J146+1</f>
        <v>62</v>
      </c>
      <c r="K148" s="322" t="s">
        <v>189</v>
      </c>
      <c r="L148" s="747">
        <v>1</v>
      </c>
      <c r="M148" s="747" t="s">
        <v>717</v>
      </c>
      <c r="N148" s="748">
        <f>IF((M148=X14),Z14,(IF((M148=X15),Z15,(IF((M148=X16),Z16,(IF((M148=X17),Z17,(IF((M148=X18),Z18,(IF((M148=X19),Z19,(IF((M148=X20),Z20)))))))))))))</f>
        <v>19.899999999999999</v>
      </c>
      <c r="O148" s="749">
        <f>IF((M148=X14),AA14,(IF((M148=X15),AA15,(IF((M148=X16),AA16,(IF((M148=X17),AA17,(IF((M148=X18),AA18,(IF((M148=X19),AA19,(IF((M148=X20),AA20)))))))))))))</f>
        <v>140</v>
      </c>
      <c r="P148" s="750">
        <f>P146</f>
        <v>10</v>
      </c>
      <c r="Q148" s="750">
        <f>Q146</f>
        <v>20</v>
      </c>
      <c r="R148" s="751">
        <f>IF(R149&lt;(M149*L148), INT(R149),(M149*L148))</f>
        <v>7</v>
      </c>
      <c r="S148" s="752">
        <f>IF(K148="SIM",(N148*L148*(P148/100)/R148)*L149,0)</f>
        <v>0</v>
      </c>
      <c r="T148" s="390">
        <f>R149*L149</f>
        <v>0</v>
      </c>
      <c r="U148" s="34"/>
    </row>
    <row r="149" spans="7:21" ht="17.25" x14ac:dyDescent="0.3">
      <c r="H149" s="1515"/>
      <c r="I149" s="1516"/>
      <c r="L149" s="10" t="str">
        <f>IF(K148="SIM","1","0")</f>
        <v>0</v>
      </c>
      <c r="M149" s="10">
        <f>M147</f>
        <v>51</v>
      </c>
      <c r="N149" s="22"/>
      <c r="O149" s="22"/>
      <c r="P149" s="34"/>
      <c r="Q149" s="34"/>
      <c r="R149" s="9">
        <f>O148/(Q148)</f>
        <v>7</v>
      </c>
      <c r="S149" s="528"/>
      <c r="U149" s="34"/>
    </row>
    <row r="150" spans="7:21" x14ac:dyDescent="0.25">
      <c r="H150" s="1515"/>
      <c r="I150" s="1516"/>
      <c r="J150" s="527">
        <f>J148+1</f>
        <v>63</v>
      </c>
      <c r="K150" s="322" t="s">
        <v>189</v>
      </c>
      <c r="L150" s="747">
        <v>1</v>
      </c>
      <c r="M150" s="747" t="s">
        <v>717</v>
      </c>
      <c r="N150" s="748">
        <f>IF((M150=X14),Z14,(IF((M150=X15),Z15,(IF((M150=X16),Z16,(IF((M150=X17),Z17,(IF((M150=X18),Z18,(IF((M150=X19),Z19,(IF((M150=X20),Z20)))))))))))))</f>
        <v>19.899999999999999</v>
      </c>
      <c r="O150" s="749">
        <f>IF((M150=X14),AA14,(IF((M150=X15),AA15,(IF((M150=X16),AA16,(IF((M150=X17),AA17,(IF((M150=X18),AA18,(IF((M150=X19),AA19,(IF((M150=X20),AA20)))))))))))))</f>
        <v>140</v>
      </c>
      <c r="P150" s="750">
        <f>P148</f>
        <v>10</v>
      </c>
      <c r="Q150" s="750">
        <f>Q148</f>
        <v>20</v>
      </c>
      <c r="R150" s="751">
        <f>IF(R151&lt;(M151*L150), INT(R151),(M151*L150))</f>
        <v>7</v>
      </c>
      <c r="S150" s="752">
        <f>IF(K150="SIM",(N150*L150*(P150/100)/R150)*L151,0)</f>
        <v>0</v>
      </c>
      <c r="T150" s="390">
        <f>R151*L151</f>
        <v>0</v>
      </c>
    </row>
    <row r="151" spans="7:21" x14ac:dyDescent="0.25">
      <c r="H151" s="1515"/>
      <c r="I151" s="1516"/>
      <c r="L151" s="10" t="str">
        <f>IF(K150="SIM","1","0")</f>
        <v>0</v>
      </c>
      <c r="M151" s="10">
        <f>M149</f>
        <v>51</v>
      </c>
      <c r="N151" s="22"/>
      <c r="O151" s="22"/>
      <c r="R151" s="9">
        <f>O150/(Q150)</f>
        <v>7</v>
      </c>
      <c r="T151"/>
    </row>
    <row r="152" spans="7:21" ht="15.75" thickBot="1" x14ac:dyDescent="0.3">
      <c r="H152" s="1517"/>
      <c r="I152" s="1518"/>
      <c r="J152" s="527">
        <f t="shared" ref="J152" si="139">J150+1</f>
        <v>64</v>
      </c>
      <c r="K152" s="322" t="s">
        <v>189</v>
      </c>
      <c r="L152" s="747">
        <v>2</v>
      </c>
      <c r="M152" s="747" t="s">
        <v>717</v>
      </c>
      <c r="N152" s="748">
        <f>IF((M152=X14),Z14,(IF((M152=X15),Z15,(IF((M152=X16),Z16,(IF((M152=X17),Z17,(IF((M152=X18),Z18,(IF((M152=X19),Z19,(IF((M152=X20),Z20)))))))))))))</f>
        <v>19.899999999999999</v>
      </c>
      <c r="O152" s="749">
        <f>IF((M152=X14),AA14,(IF((M152=X15),AA15,(IF((M152=X16),AA16,(IF((M152=X17),AA17,(IF((M152=X18),AA18,(IF((M152=X19),AA19,(IF((M152=X20),AA20)))))))))))))</f>
        <v>140</v>
      </c>
      <c r="P152" s="750">
        <f>P150</f>
        <v>10</v>
      </c>
      <c r="Q152" s="750">
        <f>Q150</f>
        <v>20</v>
      </c>
      <c r="R152" s="751">
        <f>IF(R154&lt;(M154*L152), INT(R154),(M154*L152))</f>
        <v>7</v>
      </c>
      <c r="S152" s="752">
        <f>IF(K152="SIM",(N152*L152*(P152/100)/R152)*L154,0)</f>
        <v>0</v>
      </c>
      <c r="T152" s="390">
        <f>R154*L154</f>
        <v>0</v>
      </c>
    </row>
    <row r="153" spans="7:21" x14ac:dyDescent="0.25">
      <c r="H153" s="753" t="s">
        <v>724</v>
      </c>
      <c r="I153" s="1508"/>
      <c r="J153" s="1519"/>
      <c r="K153" s="1519"/>
      <c r="L153" s="1519"/>
      <c r="M153" s="1519"/>
      <c r="N153" s="1519"/>
      <c r="O153" s="1519"/>
      <c r="P153" s="1519"/>
      <c r="Q153" s="1519"/>
      <c r="R153" s="1519"/>
      <c r="S153" s="1519"/>
      <c r="T153" s="1520"/>
    </row>
    <row r="154" spans="7:21" ht="18" thickBot="1" x14ac:dyDescent="0.35">
      <c r="K154" s="20"/>
      <c r="L154" s="10" t="str">
        <f>IF(K152="SIM","1","0")</f>
        <v>0</v>
      </c>
      <c r="M154" s="10">
        <f>M151</f>
        <v>51</v>
      </c>
      <c r="N154" s="22"/>
      <c r="O154" s="22"/>
      <c r="R154" s="9">
        <f>O152/(Q152)</f>
        <v>7</v>
      </c>
      <c r="S154" s="528"/>
    </row>
    <row r="155" spans="7:21" x14ac:dyDescent="0.25">
      <c r="G155">
        <f>G146+1</f>
        <v>17</v>
      </c>
      <c r="H155" s="1521" t="str">
        <f>CONCATENATE("MOLDE ",G155)</f>
        <v>MOLDE 17</v>
      </c>
      <c r="I155" s="1522"/>
      <c r="J155" s="527">
        <f>J152+1</f>
        <v>65</v>
      </c>
      <c r="K155" s="322" t="s">
        <v>189</v>
      </c>
      <c r="L155" s="747">
        <v>1</v>
      </c>
      <c r="M155" s="747" t="s">
        <v>717</v>
      </c>
      <c r="N155" s="748">
        <f>IF((M155=X14),Z14,(IF((M155=X15),Z15,(IF((M155=X16),Z16,(IF((M155=X17),Z17,(IF((M155=X18),Z18,(IF((M155=X19),Z19,(IF((M155=X20),Z20)))))))))))))</f>
        <v>19.899999999999999</v>
      </c>
      <c r="O155" s="749">
        <f>IF((M155=X14),AA14,(IF((M155=X15),AA15,(IF((M155=X16),AA16,(IF((M155=X17),AA17,(IF((M155=X18),AA18,(IF((M155=X19),AA19,(IF((M155=X20),AA20)))))))))))))</f>
        <v>140</v>
      </c>
      <c r="P155" s="713">
        <v>10</v>
      </c>
      <c r="Q155" s="713">
        <v>20</v>
      </c>
      <c r="R155" s="751">
        <f>IF(R156&lt;(M156*L155), INT(R156),(M156*L155))</f>
        <v>7</v>
      </c>
      <c r="S155" s="752">
        <f>IF(K155="SIM",(N155*L155*(P155/100)/R155)*L156,0)</f>
        <v>0</v>
      </c>
      <c r="T155" s="390">
        <f>R156*L156</f>
        <v>0</v>
      </c>
      <c r="U155" s="400">
        <f>IF(K155="SIM",1,IF(K157="SIM",1,IF(K159="SIM",1,IF(K161="SIM",1,0))))</f>
        <v>0</v>
      </c>
    </row>
    <row r="156" spans="7:21" ht="17.25" x14ac:dyDescent="0.3">
      <c r="H156" s="1515" t="s">
        <v>331</v>
      </c>
      <c r="I156" s="1516"/>
      <c r="L156" s="10" t="str">
        <f>IF(K155="SIM","1","0")</f>
        <v>0</v>
      </c>
      <c r="M156" s="10">
        <f>M151</f>
        <v>51</v>
      </c>
      <c r="N156" s="22"/>
      <c r="O156" s="22"/>
      <c r="P156" s="34"/>
      <c r="Q156" s="34"/>
      <c r="R156" s="9">
        <f>O155/(Q155)</f>
        <v>7</v>
      </c>
      <c r="S156" s="528"/>
      <c r="U156" s="34"/>
    </row>
    <row r="157" spans="7:21" x14ac:dyDescent="0.25">
      <c r="H157" s="1515"/>
      <c r="I157" s="1516"/>
      <c r="J157" s="527">
        <f t="shared" ref="J157" si="140">J155+1</f>
        <v>66</v>
      </c>
      <c r="K157" s="322" t="s">
        <v>189</v>
      </c>
      <c r="L157" s="747">
        <v>2</v>
      </c>
      <c r="M157" s="747" t="s">
        <v>188</v>
      </c>
      <c r="N157" s="748">
        <f>IF((M157=X14),Z14,(IF((M157=X15),Z15,(IF((M157=X16),Z16,(IF((M157=X17),Z17,(IF((M157=X18),Z18,(IF((M157=X19),Z19,(IF((M157=X20),Z20)))))))))))))</f>
        <v>16</v>
      </c>
      <c r="O157" s="749">
        <f>IF((M157=X14),AA14,(IF((M157=X15),AA15,(IF((M157=X16),AA16,(IF((M157=X17),AA17,(IF((M157=X18),AA18,(IF((M157=X19),AA19,(IF((M157=X20),AA20)))))))))))))</f>
        <v>75</v>
      </c>
      <c r="P157" s="750">
        <f>P155</f>
        <v>10</v>
      </c>
      <c r="Q157" s="750">
        <f>Q155</f>
        <v>20</v>
      </c>
      <c r="R157" s="751">
        <f>IF(R158&lt;(M158*L157), INT(R158),(M158*L157))</f>
        <v>3</v>
      </c>
      <c r="S157" s="752">
        <f>IF(K157="SIM",(N157*L157*(P157/100)/R157)*L158,0)</f>
        <v>0</v>
      </c>
      <c r="T157" s="390">
        <f>R158*L158</f>
        <v>0</v>
      </c>
      <c r="U157" s="34"/>
    </row>
    <row r="158" spans="7:21" ht="17.25" x14ac:dyDescent="0.3">
      <c r="H158" s="1515"/>
      <c r="I158" s="1516"/>
      <c r="L158" s="10" t="str">
        <f>IF(K157="SIM","1","0")</f>
        <v>0</v>
      </c>
      <c r="M158" s="10">
        <f>M156</f>
        <v>51</v>
      </c>
      <c r="N158" s="22"/>
      <c r="O158" s="22"/>
      <c r="P158" s="34"/>
      <c r="Q158" s="34"/>
      <c r="R158" s="9">
        <f>O157/(Q157)</f>
        <v>3.75</v>
      </c>
      <c r="S158" s="528"/>
      <c r="U158" s="34"/>
    </row>
    <row r="159" spans="7:21" x14ac:dyDescent="0.25">
      <c r="H159" s="1515"/>
      <c r="I159" s="1516"/>
      <c r="J159" s="527">
        <f>J157+1</f>
        <v>67</v>
      </c>
      <c r="K159" s="322" t="s">
        <v>189</v>
      </c>
      <c r="L159" s="747">
        <v>2</v>
      </c>
      <c r="M159" s="747" t="s">
        <v>717</v>
      </c>
      <c r="N159" s="748">
        <f>IF((M159=X14),Z14,(IF((M159=X15),Z15,(IF((M159=X16),Z16,(IF((M159=X17),Z17,(IF((M159=X18),Z18,(IF((M159=X19),Z19,(IF((M159=X20),Z20)))))))))))))</f>
        <v>19.899999999999999</v>
      </c>
      <c r="O159" s="749">
        <f>IF((M159=X14),AA14,(IF((M159=X15),AA15,(IF((M159=X16),AA16,(IF((M159=X17),AA17,(IF((M159=X18),AA18,(IF((M159=X19),AA19,(IF((M159=X20),AA20)))))))))))))</f>
        <v>140</v>
      </c>
      <c r="P159" s="750">
        <f>P157</f>
        <v>10</v>
      </c>
      <c r="Q159" s="750">
        <f>Q157</f>
        <v>20</v>
      </c>
      <c r="R159" s="751">
        <f>IF(R160&lt;(M160*L159), INT(R160),(M160*L159))</f>
        <v>7</v>
      </c>
      <c r="S159" s="752">
        <f>IF(K159="SIM",(N159*L159*(P159/100)/R159)*L160,0)</f>
        <v>0</v>
      </c>
      <c r="T159" s="390">
        <f>R160*L160</f>
        <v>0</v>
      </c>
    </row>
    <row r="160" spans="7:21" x14ac:dyDescent="0.25">
      <c r="H160" s="1515"/>
      <c r="I160" s="1516"/>
      <c r="L160" s="10" t="str">
        <f>IF(K159="SIM","1","0")</f>
        <v>0</v>
      </c>
      <c r="M160" s="10">
        <f>M158</f>
        <v>51</v>
      </c>
      <c r="N160" s="22"/>
      <c r="O160" s="22"/>
      <c r="R160" s="9">
        <f>O159/(Q159)</f>
        <v>7</v>
      </c>
      <c r="T160"/>
    </row>
    <row r="161" spans="7:21" ht="15.75" thickBot="1" x14ac:dyDescent="0.3">
      <c r="H161" s="1517"/>
      <c r="I161" s="1518"/>
      <c r="J161" s="527">
        <f t="shared" ref="J161" si="141">J159+1</f>
        <v>68</v>
      </c>
      <c r="K161" s="322" t="s">
        <v>189</v>
      </c>
      <c r="L161" s="747">
        <v>2</v>
      </c>
      <c r="M161" s="747" t="s">
        <v>717</v>
      </c>
      <c r="N161" s="748">
        <f>IF((M161=X14),Z14,(IF((M161=X15),Z15,(IF((M161=X16),Z16,(IF((M161=X17),Z17,(IF((M161=X18),Z18,(IF((M161=X19),Z19,(IF((M161=X20),Z20)))))))))))))</f>
        <v>19.899999999999999</v>
      </c>
      <c r="O161" s="749">
        <f>IF((M161=X14),AA14,(IF((M161=X15),AA15,(IF((M161=X16),AA16,(IF((M161=X17),AA17,(IF((M161=X18),AA18,(IF((M161=X19),AA19,(IF((M161=X20),AA20)))))))))))))</f>
        <v>140</v>
      </c>
      <c r="P161" s="750">
        <f>P159</f>
        <v>10</v>
      </c>
      <c r="Q161" s="750">
        <f>Q159</f>
        <v>20</v>
      </c>
      <c r="R161" s="751">
        <f>IF(R163&lt;(M163*L161), INT(R163),(M163*L161))</f>
        <v>7</v>
      </c>
      <c r="S161" s="752">
        <f>IF(K161="SIM",(N161*L161*(P161/100)/R161)*L163,0)</f>
        <v>0</v>
      </c>
      <c r="T161" s="390">
        <f>R163*L163</f>
        <v>0</v>
      </c>
    </row>
    <row r="162" spans="7:21" x14ac:dyDescent="0.25">
      <c r="H162" s="753" t="s">
        <v>724</v>
      </c>
      <c r="I162" s="1508"/>
      <c r="J162" s="1519"/>
      <c r="K162" s="1519"/>
      <c r="L162" s="1519"/>
      <c r="M162" s="1519"/>
      <c r="N162" s="1519"/>
      <c r="O162" s="1519"/>
      <c r="P162" s="1519"/>
      <c r="Q162" s="1519"/>
      <c r="R162" s="1519"/>
      <c r="S162" s="1519"/>
      <c r="T162" s="1520"/>
    </row>
    <row r="163" spans="7:21" ht="18" thickBot="1" x14ac:dyDescent="0.35">
      <c r="K163" s="20"/>
      <c r="L163" s="10" t="str">
        <f>IF(K161="SIM","1","0")</f>
        <v>0</v>
      </c>
      <c r="M163" s="10">
        <f>M160</f>
        <v>51</v>
      </c>
      <c r="N163" s="22"/>
      <c r="O163" s="22"/>
      <c r="R163" s="9">
        <f>O161/(Q161)</f>
        <v>7</v>
      </c>
      <c r="S163" s="528"/>
    </row>
    <row r="164" spans="7:21" x14ac:dyDescent="0.25">
      <c r="G164">
        <f>G155+1</f>
        <v>18</v>
      </c>
      <c r="H164" s="1521" t="str">
        <f>CONCATENATE("MOLDE ",G164)</f>
        <v>MOLDE 18</v>
      </c>
      <c r="I164" s="1522"/>
      <c r="J164" s="527">
        <f>J161+1</f>
        <v>69</v>
      </c>
      <c r="K164" s="322" t="s">
        <v>189</v>
      </c>
      <c r="L164" s="747">
        <v>2</v>
      </c>
      <c r="M164" s="747" t="s">
        <v>722</v>
      </c>
      <c r="N164" s="748">
        <f>IF((M164=X14),Z14,(IF((M164=X15),Z15,(IF((M164=X16),Z16,(IF((M164=X17),Z17,(IF((M164=X18),Z18,(IF((M164=X19),Z19,(IF((M164=X20),Z20)))))))))))))</f>
        <v>49.9</v>
      </c>
      <c r="O164" s="749">
        <f>IF((M164=X14),AA14,(IF((M164=X15),AA15,(IF((M164=X16),AA16,(IF((M164=X17),AA17,(IF((M164=X18),AA18,(IF((M164=X19),AA19,(IF((M164=X20),AA20)))))))))))))</f>
        <v>140</v>
      </c>
      <c r="P164" s="713">
        <v>10</v>
      </c>
      <c r="Q164" s="713">
        <v>20</v>
      </c>
      <c r="R164" s="751">
        <f>IF(R165&lt;(M165*L164), INT(R165),(M165*L164))</f>
        <v>7</v>
      </c>
      <c r="S164" s="752">
        <f>IF(K164="SIM",(N164*L164*(P164/100)/R164)*L165,0)</f>
        <v>0</v>
      </c>
      <c r="T164" s="390">
        <f>R165*L165</f>
        <v>0</v>
      </c>
      <c r="U164" s="400">
        <f>IF(K164="SIM",1,IF(K166="SIM",1,IF(K168="SIM",1,IF(K170="SIM",1,0))))</f>
        <v>0</v>
      </c>
    </row>
    <row r="165" spans="7:21" ht="17.25" x14ac:dyDescent="0.3">
      <c r="H165" s="1515" t="s">
        <v>331</v>
      </c>
      <c r="I165" s="1516"/>
      <c r="L165" s="10" t="str">
        <f>IF(K164="SIM","1","0")</f>
        <v>0</v>
      </c>
      <c r="M165" s="10">
        <f>M160</f>
        <v>51</v>
      </c>
      <c r="N165" s="22"/>
      <c r="O165" s="22"/>
      <c r="P165" s="34"/>
      <c r="Q165" s="34"/>
      <c r="R165" s="9">
        <f>O164/(Q164)</f>
        <v>7</v>
      </c>
      <c r="S165" s="528"/>
      <c r="U165" s="34"/>
    </row>
    <row r="166" spans="7:21" x14ac:dyDescent="0.25">
      <c r="H166" s="1515"/>
      <c r="I166" s="1516"/>
      <c r="J166" s="527">
        <f t="shared" ref="J166" si="142">J164+1</f>
        <v>70</v>
      </c>
      <c r="K166" s="322" t="s">
        <v>189</v>
      </c>
      <c r="L166" s="747">
        <v>2</v>
      </c>
      <c r="M166" s="747" t="s">
        <v>188</v>
      </c>
      <c r="N166" s="748">
        <f>IF((M166=X14),Z14,(IF((M166=X15),Z15,(IF((M166=X16),Z16,(IF((M166=X17),Z17,(IF((M166=X18),Z18,(IF((M166=X19),Z19,(IF((M166=X20),Z20)))))))))))))</f>
        <v>16</v>
      </c>
      <c r="O166" s="749">
        <f>IF((M166=X14),AA14,(IF((M166=X15),AA15,(IF((M166=X16),AA16,(IF((M166=X17),AA17,(IF((M166=X18),AA18,(IF((M166=X19),AA19,(IF((M166=X20),AA20)))))))))))))</f>
        <v>75</v>
      </c>
      <c r="P166" s="750">
        <f>P164</f>
        <v>10</v>
      </c>
      <c r="Q166" s="750">
        <f>Q164</f>
        <v>20</v>
      </c>
      <c r="R166" s="751">
        <f>IF(R167&lt;(M167*L166), INT(R167),(M167*L166))</f>
        <v>3</v>
      </c>
      <c r="S166" s="752">
        <f>IF(K166="SIM",(N166*L166*(P166/100)/R166)*L167,0)</f>
        <v>0</v>
      </c>
      <c r="T166" s="390">
        <f>R167*L167</f>
        <v>0</v>
      </c>
      <c r="U166" s="34"/>
    </row>
    <row r="167" spans="7:21" ht="17.25" x14ac:dyDescent="0.3">
      <c r="H167" s="1515"/>
      <c r="I167" s="1516"/>
      <c r="L167" s="10" t="str">
        <f>IF(K166="SIM","1","0")</f>
        <v>0</v>
      </c>
      <c r="M167" s="10">
        <f>M165</f>
        <v>51</v>
      </c>
      <c r="N167" s="22"/>
      <c r="O167" s="22"/>
      <c r="P167" s="34"/>
      <c r="Q167" s="34"/>
      <c r="R167" s="9">
        <f>O166/(Q166)</f>
        <v>3.75</v>
      </c>
      <c r="S167" s="528"/>
    </row>
    <row r="168" spans="7:21" x14ac:dyDescent="0.25">
      <c r="H168" s="1515"/>
      <c r="I168" s="1516"/>
      <c r="J168" s="527">
        <f>J166+1</f>
        <v>71</v>
      </c>
      <c r="K168" s="322" t="s">
        <v>189</v>
      </c>
      <c r="L168" s="747">
        <v>2</v>
      </c>
      <c r="M168" s="747" t="s">
        <v>722</v>
      </c>
      <c r="N168" s="748">
        <f>IF((M168=X14),Z14,(IF((M168=X15),Z15,(IF((M168=X16),Z16,(IF((M168=X17),Z17,(IF((M168=X18),Z18,(IF((M168=X19),Z19,(IF((M168=X20),Z20)))))))))))))</f>
        <v>49.9</v>
      </c>
      <c r="O168" s="749">
        <f>IF((M168=X14),AA14,(IF((M168=X15),AA15,(IF((M168=X16),AA16,(IF((M168=X17),AA17,(IF((M168=X18),AA18,(IF((M168=X19),AA19,(IF((M168=X20),AA20)))))))))))))</f>
        <v>140</v>
      </c>
      <c r="P168" s="750">
        <f>P166</f>
        <v>10</v>
      </c>
      <c r="Q168" s="750">
        <f>Q166</f>
        <v>20</v>
      </c>
      <c r="R168" s="751">
        <f>IF(R169&lt;(M169*L168), INT(R169),(M169*L168))</f>
        <v>7</v>
      </c>
      <c r="S168" s="752">
        <f>IF(K168="SIM",(N168*L168*(P168/100)/R168)*L169,0)</f>
        <v>0</v>
      </c>
      <c r="T168" s="390">
        <f>R169*L169</f>
        <v>0</v>
      </c>
    </row>
    <row r="169" spans="7:21" x14ac:dyDescent="0.25">
      <c r="H169" s="1515"/>
      <c r="I169" s="1516"/>
      <c r="L169" s="10" t="str">
        <f>IF(K168="SIM","1","0")</f>
        <v>0</v>
      </c>
      <c r="M169" s="10">
        <f>M167</f>
        <v>51</v>
      </c>
      <c r="N169" s="22"/>
      <c r="O169" s="22"/>
      <c r="R169" s="9">
        <f>O168/(Q168)</f>
        <v>7</v>
      </c>
      <c r="T169"/>
    </row>
    <row r="170" spans="7:21" ht="15.75" thickBot="1" x14ac:dyDescent="0.3">
      <c r="H170" s="1517"/>
      <c r="I170" s="1518"/>
      <c r="J170" s="527">
        <f t="shared" ref="J170" si="143">J168+1</f>
        <v>72</v>
      </c>
      <c r="K170" s="322" t="s">
        <v>189</v>
      </c>
      <c r="L170" s="747">
        <v>2</v>
      </c>
      <c r="M170" s="747" t="s">
        <v>717</v>
      </c>
      <c r="N170" s="748">
        <f>IF((M170=X14),Z14,(IF((M170=X15),Z15,(IF((M170=X16),Z16,(IF((M170=X17),Z17,(IF((M170=X18),Z18,(IF((M170=X19),Z19,(IF((M170=X20),Z20)))))))))))))</f>
        <v>19.899999999999999</v>
      </c>
      <c r="O170" s="749">
        <f>IF((M170=X14),AA14,(IF((M170=X15),AA15,(IF((M170=X16),AA16,(IF((M170=X17),AA17,(IF((M170=X18),AA18,(IF((M170=X19),AA19,(IF((M170=X20),AA20)))))))))))))</f>
        <v>140</v>
      </c>
      <c r="P170" s="750">
        <f>P168</f>
        <v>10</v>
      </c>
      <c r="Q170" s="750">
        <f>Q168</f>
        <v>20</v>
      </c>
      <c r="R170" s="751">
        <f>IF(R172&lt;(M172*L170), INT(R172),(M172*L170))</f>
        <v>7</v>
      </c>
      <c r="S170" s="752">
        <f>IF(K170="SIM",(N170*L170*(P170/100)/R170)*L172,0)</f>
        <v>0</v>
      </c>
      <c r="T170" s="390">
        <f>R172*L172</f>
        <v>0</v>
      </c>
    </row>
    <row r="171" spans="7:21" x14ac:dyDescent="0.25">
      <c r="H171" s="753" t="s">
        <v>724</v>
      </c>
      <c r="I171" s="1508"/>
      <c r="J171" s="1519"/>
      <c r="K171" s="1519"/>
      <c r="L171" s="1519"/>
      <c r="M171" s="1519"/>
      <c r="N171" s="1519"/>
      <c r="O171" s="1519"/>
      <c r="P171" s="1519"/>
      <c r="Q171" s="1519"/>
      <c r="R171" s="1519"/>
      <c r="S171" s="1519"/>
      <c r="T171" s="1520"/>
    </row>
    <row r="172" spans="7:21" ht="18" thickBot="1" x14ac:dyDescent="0.35">
      <c r="K172" s="20"/>
      <c r="L172" s="10" t="str">
        <f>IF(K170="SIM","1","0")</f>
        <v>0</v>
      </c>
      <c r="M172" s="10">
        <f>M169</f>
        <v>51</v>
      </c>
      <c r="N172" s="22"/>
      <c r="O172" s="22"/>
      <c r="R172" s="9">
        <f>O170/(Q170)</f>
        <v>7</v>
      </c>
      <c r="S172" s="528"/>
    </row>
    <row r="173" spans="7:21" x14ac:dyDescent="0.25">
      <c r="G173">
        <f>G164+1</f>
        <v>19</v>
      </c>
      <c r="H173" s="1521" t="str">
        <f>CONCATENATE("MOLDE ",G173)</f>
        <v>MOLDE 19</v>
      </c>
      <c r="I173" s="1522"/>
      <c r="J173" s="527">
        <f>J170+1</f>
        <v>73</v>
      </c>
      <c r="K173" s="322" t="s">
        <v>189</v>
      </c>
      <c r="L173" s="747">
        <v>1</v>
      </c>
      <c r="M173" s="747" t="s">
        <v>717</v>
      </c>
      <c r="N173" s="748">
        <f>IF((M173=X14),Z14,(IF((M173=X15),Z15,(IF((M173=X16),Z16,(IF((M173=X17),Z17,(IF((M173=X18),Z18,(IF((M173=X19),Z19,(IF((M173=X20),Z20)))))))))))))</f>
        <v>19.899999999999999</v>
      </c>
      <c r="O173" s="749">
        <f>IF((M173=X14),AA14,(IF((M173=X15),AA15,(IF((M173=X16),AA16,(IF((M173=X17),AA17,(IF((M173=X18),AA18,(IF((M173=X19),AA19,(IF((M173=X20),AA20)))))))))))))</f>
        <v>140</v>
      </c>
      <c r="P173" s="713">
        <f>P137-(Z128/2)</f>
        <v>10</v>
      </c>
      <c r="Q173" s="713">
        <f>Q155</f>
        <v>20</v>
      </c>
      <c r="R173" s="751">
        <f>IF(R174&lt;(M174*L173), INT(R174),(M174*L173))</f>
        <v>7</v>
      </c>
      <c r="S173" s="752">
        <f>IF(K173="SIM",(N173*L173*(P173/100)/R173)*L174,0)</f>
        <v>0</v>
      </c>
      <c r="T173" s="390">
        <f>R174*L174</f>
        <v>0</v>
      </c>
      <c r="U173" s="400">
        <f>IF(K173="SIM",1,IF(K175="SIM",1,IF(K177="SIM",1,IF(K179="SIM",1,0))))</f>
        <v>0</v>
      </c>
    </row>
    <row r="174" spans="7:21" ht="17.25" x14ac:dyDescent="0.3">
      <c r="H174" s="1515" t="s">
        <v>331</v>
      </c>
      <c r="I174" s="1516"/>
      <c r="L174" s="10" t="str">
        <f>IF(K173="SIM","1","0")</f>
        <v>0</v>
      </c>
      <c r="M174" s="10">
        <f>M169</f>
        <v>51</v>
      </c>
      <c r="N174" s="22"/>
      <c r="O174" s="22"/>
      <c r="P174" s="34"/>
      <c r="Q174" s="34"/>
      <c r="R174" s="9">
        <f>O173/(Q173)</f>
        <v>7</v>
      </c>
      <c r="S174" s="528"/>
    </row>
    <row r="175" spans="7:21" x14ac:dyDescent="0.25">
      <c r="H175" s="1515"/>
      <c r="I175" s="1516"/>
      <c r="J175" s="527">
        <f t="shared" ref="J175" si="144">J173+1</f>
        <v>74</v>
      </c>
      <c r="K175" s="322" t="s">
        <v>189</v>
      </c>
      <c r="L175" s="747">
        <v>1</v>
      </c>
      <c r="M175" s="747" t="s">
        <v>188</v>
      </c>
      <c r="N175" s="748">
        <f>IF((M175=X14),Z14,(IF((M175=X15),Z15,(IF((M175=X16),Z16,(IF((M175=X17),Z17,(IF((M175=X18),Z18,(IF((M175=X19),Z19,(IF((M175=X20),Z20)))))))))))))</f>
        <v>16</v>
      </c>
      <c r="O175" s="749">
        <f>IF((M175=X14),AA14,(IF((M175=X15),AA15,(IF((M175=X16),AA16,(IF((M175=X17),AA17,(IF((M123=X18),AA18,(IF((M175=X19),AA19,(IF((M175=X20),AA20)))))))))))))</f>
        <v>75</v>
      </c>
      <c r="P175" s="750">
        <f>P173</f>
        <v>10</v>
      </c>
      <c r="Q175" s="750">
        <f>Q173</f>
        <v>20</v>
      </c>
      <c r="R175" s="751">
        <f>IF(R176&lt;(M176*L175), INT(R176),(M176*L175))</f>
        <v>3</v>
      </c>
      <c r="S175" s="752">
        <f>IF(K175="SIM",(N175*L175*(P175/100)/R175)*L176,0)</f>
        <v>0</v>
      </c>
      <c r="T175" s="390">
        <f>R176*L176</f>
        <v>0</v>
      </c>
    </row>
    <row r="176" spans="7:21" ht="17.25" x14ac:dyDescent="0.3">
      <c r="H176" s="1515"/>
      <c r="I176" s="1516"/>
      <c r="L176" s="10" t="str">
        <f>IF(K175="SIM","1","0")</f>
        <v>0</v>
      </c>
      <c r="M176" s="10">
        <f>M174</f>
        <v>51</v>
      </c>
      <c r="N176" s="22"/>
      <c r="O176" s="22"/>
      <c r="P176" s="34"/>
      <c r="Q176" s="34"/>
      <c r="R176" s="9">
        <f>O175/(Q175)</f>
        <v>3.75</v>
      </c>
      <c r="S176" s="528"/>
    </row>
    <row r="177" spans="7:21" x14ac:dyDescent="0.25">
      <c r="H177" s="1515"/>
      <c r="I177" s="1516"/>
      <c r="J177" s="527">
        <f>J175+1</f>
        <v>75</v>
      </c>
      <c r="K177" s="322" t="s">
        <v>189</v>
      </c>
      <c r="L177" s="747">
        <v>2</v>
      </c>
      <c r="M177" s="747" t="s">
        <v>188</v>
      </c>
      <c r="N177" s="748">
        <f>IF((M177=X14),Z14,(IF((M177=X15),Z15,(IF((M177=X16),Z16,(IF((M177=X17),Z17,(IF((M177=X18),Z18,(IF((M177=X19),Z19,(IF((M177=X20),Z20)))))))))))))</f>
        <v>16</v>
      </c>
      <c r="O177" s="749">
        <f>IF((M177=X14),AA14,(IF((M177=X15),AA15,(IF((M177=X16),AA16,(IF((M177=X17),AA17,(IF((M177=X18),AA18,(IF((M177=X19),AA19,(IF((M177=X20),AA20)))))))))))))</f>
        <v>75</v>
      </c>
      <c r="P177" s="750">
        <f>P175</f>
        <v>10</v>
      </c>
      <c r="Q177" s="750">
        <f>Q175</f>
        <v>20</v>
      </c>
      <c r="R177" s="751">
        <f>IF(R178&lt;(M178*L177), INT(R178),(M178*L177))</f>
        <v>3</v>
      </c>
      <c r="S177" s="752">
        <f>IF(K177="SIM",(N177*L177*(P177/100)/R177)*L178,0)</f>
        <v>0</v>
      </c>
      <c r="T177" s="390">
        <f>R178*L178</f>
        <v>0</v>
      </c>
    </row>
    <row r="178" spans="7:21" x14ac:dyDescent="0.25">
      <c r="H178" s="1515"/>
      <c r="I178" s="1516"/>
      <c r="L178" s="10" t="str">
        <f>IF(K177="SIM","1","0")</f>
        <v>0</v>
      </c>
      <c r="M178" s="10">
        <f>M176</f>
        <v>51</v>
      </c>
      <c r="N178" s="22"/>
      <c r="O178" s="22"/>
      <c r="R178" s="9">
        <f>O177/(Q177)</f>
        <v>3.75</v>
      </c>
      <c r="T178"/>
    </row>
    <row r="179" spans="7:21" ht="15.75" thickBot="1" x14ac:dyDescent="0.3">
      <c r="H179" s="1517"/>
      <c r="I179" s="1518"/>
      <c r="J179" s="527">
        <f t="shared" ref="J179" si="145">J177+1</f>
        <v>76</v>
      </c>
      <c r="K179" s="322" t="s">
        <v>189</v>
      </c>
      <c r="L179" s="747">
        <v>2</v>
      </c>
      <c r="M179" s="747" t="s">
        <v>717</v>
      </c>
      <c r="N179" s="748">
        <f>IF((M179=X14),Z14,(IF((M179=X15),Z15,(IF((M179=X16),Z16,(IF((M179=X17),Z17,(IF((M179=X18),Z18,(IF((M179=X19),Z19,(IF((M179=X20),Z20)))))))))))))</f>
        <v>19.899999999999999</v>
      </c>
      <c r="O179" s="749">
        <f>IF((M179=X14),AA14,(IF((M179=X15),AA15,(IF((M179=X16),AA16,(IF((M179=X17),AA17,(IF((M179=X18),AA18,(IF((M179=X19),AA19,(IF((M179=X20),AA20)))))))))))))</f>
        <v>140</v>
      </c>
      <c r="P179" s="750">
        <f>P177</f>
        <v>10</v>
      </c>
      <c r="Q179" s="750">
        <f>Q177</f>
        <v>20</v>
      </c>
      <c r="R179" s="751">
        <f>IF(R181&lt;(M181*L179), INT(R181),(M181*L179))</f>
        <v>7</v>
      </c>
      <c r="S179" s="752">
        <f>IF(K179="SIM",(N179*L179*(P179/100)/R179)*L181,0)</f>
        <v>0</v>
      </c>
      <c r="T179" s="390">
        <f>R181*L181</f>
        <v>0</v>
      </c>
    </row>
    <row r="180" spans="7:21" x14ac:dyDescent="0.25">
      <c r="H180" s="753" t="s">
        <v>724</v>
      </c>
      <c r="I180" s="1508"/>
      <c r="J180" s="1519"/>
      <c r="K180" s="1519"/>
      <c r="L180" s="1519"/>
      <c r="M180" s="1519"/>
      <c r="N180" s="1519"/>
      <c r="O180" s="1519"/>
      <c r="P180" s="1519"/>
      <c r="Q180" s="1519"/>
      <c r="R180" s="1519"/>
      <c r="S180" s="1519"/>
      <c r="T180" s="1520"/>
    </row>
    <row r="181" spans="7:21" ht="18" thickBot="1" x14ac:dyDescent="0.35">
      <c r="K181" s="20"/>
      <c r="L181" s="10" t="str">
        <f>IF(K179="SIM","1","0")</f>
        <v>0</v>
      </c>
      <c r="M181" s="10">
        <f>M178</f>
        <v>51</v>
      </c>
      <c r="N181" s="22"/>
      <c r="O181" s="22"/>
      <c r="R181" s="9">
        <f>O179/(Q179)</f>
        <v>7</v>
      </c>
      <c r="S181" s="528"/>
    </row>
    <row r="182" spans="7:21" x14ac:dyDescent="0.25">
      <c r="G182">
        <f>G173+1</f>
        <v>20</v>
      </c>
      <c r="H182" s="1521" t="str">
        <f>CONCATENATE("MOLDE ",G182)</f>
        <v>MOLDE 20</v>
      </c>
      <c r="I182" s="1522"/>
      <c r="J182" s="527">
        <f>J179+1</f>
        <v>77</v>
      </c>
      <c r="K182" s="322" t="s">
        <v>189</v>
      </c>
      <c r="L182" s="747">
        <v>2</v>
      </c>
      <c r="M182" s="747" t="s">
        <v>717</v>
      </c>
      <c r="N182" s="748">
        <f>IF((M182=X14),Z14,(IF((M182=X15),Z15,(IF((M182=X16),Z16,(IF((M182=X17),Z17,(IF((M182=X18),Z18,(IF((M182=X19),Z19,(IF((M182=X20),Z20)))))))))))))</f>
        <v>19.899999999999999</v>
      </c>
      <c r="O182" s="749">
        <f>IF((M182=X14),AA14,(IF((M182=X15),AA15,(IF((M182=X16),AA16,(IF((M182=X17),AA17,(IF((M182=X18),AA18,(IF((M182=X19),AA19,(IF((M182=X20),AA20)))))))))))))</f>
        <v>140</v>
      </c>
      <c r="P182" s="713">
        <v>20</v>
      </c>
      <c r="Q182" s="713">
        <f>Q146-(Z128/2)</f>
        <v>20</v>
      </c>
      <c r="R182" s="751">
        <f>IF(R183&lt;(M183*L182), INT(R183),(M183*L182))</f>
        <v>7</v>
      </c>
      <c r="S182" s="752">
        <f>IF(K182="SIM",(N182*L182*(P182/100)/R182)*L183,0)</f>
        <v>0</v>
      </c>
      <c r="T182" s="390">
        <f>R183*L183</f>
        <v>0</v>
      </c>
      <c r="U182" s="400">
        <f>IF(K182="SIM",1,IF(K184="SIM",1,IF(K186="SIM",1,IF(K188="SIM",1,0))))</f>
        <v>0</v>
      </c>
    </row>
    <row r="183" spans="7:21" ht="17.25" x14ac:dyDescent="0.3">
      <c r="H183" s="1515" t="s">
        <v>331</v>
      </c>
      <c r="I183" s="1516"/>
      <c r="L183" s="10" t="str">
        <f>IF(K182="SIM","1","0")</f>
        <v>0</v>
      </c>
      <c r="M183" s="10">
        <f>M178</f>
        <v>51</v>
      </c>
      <c r="N183" s="22"/>
      <c r="O183" s="22"/>
      <c r="P183" s="34"/>
      <c r="Q183" s="34"/>
      <c r="R183" s="9">
        <f>O182/(Q182)</f>
        <v>7</v>
      </c>
      <c r="S183" s="528"/>
    </row>
    <row r="184" spans="7:21" x14ac:dyDescent="0.25">
      <c r="H184" s="1515"/>
      <c r="I184" s="1516"/>
      <c r="J184" s="527">
        <f t="shared" ref="J184" si="146">J182+1</f>
        <v>78</v>
      </c>
      <c r="K184" s="322" t="s">
        <v>189</v>
      </c>
      <c r="L184" s="747">
        <v>1</v>
      </c>
      <c r="M184" s="747" t="s">
        <v>722</v>
      </c>
      <c r="N184" s="748">
        <f>IF((M184=X14),Z14,(IF((M184=X15),Z15,(IF((M184=X16),Z16,(IF((M184=X17),Z17,(IF((M184=X18),Z18,(IF((M184=X19),Z19,(IF((M184=X20),Z20)))))))))))))</f>
        <v>49.9</v>
      </c>
      <c r="O184" s="749">
        <f>IF((M184=X14),AA14,(IF((M184=X15),AA15,(IF((M184=X16),AA16,(IF((M184=X17),AA17,(IF((M184=X18),AA18,(IF((M184=X19),AA19,(IF((M184=X20),AA20)))))))))))))</f>
        <v>140</v>
      </c>
      <c r="P184" s="750">
        <f>P182</f>
        <v>20</v>
      </c>
      <c r="Q184" s="750">
        <f>Q182</f>
        <v>20</v>
      </c>
      <c r="R184" s="751">
        <f>IF(R185&lt;(M185*L184), INT(R185),(M185*L184))</f>
        <v>7</v>
      </c>
      <c r="S184" s="752">
        <f>IF(K184="SIM",(N184*L184*(P184/100)/R184)*L185,0)</f>
        <v>0</v>
      </c>
      <c r="T184" s="390">
        <f>R185*L185</f>
        <v>0</v>
      </c>
    </row>
    <row r="185" spans="7:21" ht="17.25" x14ac:dyDescent="0.3">
      <c r="H185" s="1515"/>
      <c r="I185" s="1516"/>
      <c r="L185" s="10" t="str">
        <f>IF(K184="SIM","1","0")</f>
        <v>0</v>
      </c>
      <c r="M185" s="10">
        <f>M183</f>
        <v>51</v>
      </c>
      <c r="N185" s="12"/>
      <c r="O185" s="12"/>
      <c r="P185" s="34"/>
      <c r="Q185" s="34"/>
      <c r="R185" s="9">
        <f>O184/(Q184)</f>
        <v>7</v>
      </c>
      <c r="S185" s="528"/>
    </row>
    <row r="186" spans="7:21" x14ac:dyDescent="0.25">
      <c r="H186" s="1515"/>
      <c r="I186" s="1516"/>
      <c r="J186" s="527">
        <f>J184+1</f>
        <v>79</v>
      </c>
      <c r="K186" s="322" t="s">
        <v>189</v>
      </c>
      <c r="L186" s="747">
        <v>1</v>
      </c>
      <c r="M186" s="747" t="s">
        <v>717</v>
      </c>
      <c r="N186" s="748">
        <f>IF((M186=X14),Z14,(IF((M186=X15),Z15,(IF((M186=X16),Z16,(IF((M186=X17),Z17,(IF((M186=X18),Z18,(IF((M186=X19),Z19,(IF((M186=X20),Z20)))))))))))))</f>
        <v>19.899999999999999</v>
      </c>
      <c r="O186" s="749">
        <f>IF((M186=X14),AA14,(IF((M186=X15),AA15,(IF((M186=X16),AA16,(IF((M186=X17),AA17,(IF((M186=X18),AA18,(IF((M186=X19),AA19,(IF((M186=X20),AA20)))))))))))))</f>
        <v>140</v>
      </c>
      <c r="P186" s="750">
        <f>P184</f>
        <v>20</v>
      </c>
      <c r="Q186" s="750">
        <f>Q184</f>
        <v>20</v>
      </c>
      <c r="R186" s="751">
        <f>IF(R187&lt;(M187*L186), INT(R187),(M187*L186))</f>
        <v>7</v>
      </c>
      <c r="S186" s="752">
        <f>IF(K186="SIM",(N186*L186*(P186/100)/R186)*L187,0)</f>
        <v>0</v>
      </c>
      <c r="T186" s="390">
        <f>R187*L187</f>
        <v>0</v>
      </c>
    </row>
    <row r="187" spans="7:21" ht="17.25" customHeight="1" x14ac:dyDescent="0.25">
      <c r="H187" s="1515"/>
      <c r="I187" s="1516"/>
      <c r="L187" s="10" t="str">
        <f>IF(K186="SIM","1","0")</f>
        <v>0</v>
      </c>
      <c r="M187" s="10">
        <f>M185</f>
        <v>51</v>
      </c>
      <c r="N187" s="12"/>
      <c r="O187" s="12"/>
      <c r="R187" s="9">
        <f>O186/(Q186)</f>
        <v>7</v>
      </c>
      <c r="T187"/>
    </row>
    <row r="188" spans="7:21" ht="15.75" thickBot="1" x14ac:dyDescent="0.3">
      <c r="H188" s="1517"/>
      <c r="I188" s="1518"/>
      <c r="J188" s="527">
        <f t="shared" ref="J188" si="147">J186+1</f>
        <v>80</v>
      </c>
      <c r="K188" s="322" t="s">
        <v>189</v>
      </c>
      <c r="L188" s="747">
        <v>2</v>
      </c>
      <c r="M188" s="747" t="s">
        <v>717</v>
      </c>
      <c r="N188" s="748">
        <f>IF((M188=X14),Z14,(IF((M188=X15),Z15,(IF((M188=X16),Z16,(IF((M188=X17),Z17,(IF((M188=X18),Z18,(IF((M188=X19),Z19,(IF((M188=X20),Z20)))))))))))))</f>
        <v>19.899999999999999</v>
      </c>
      <c r="O188" s="749">
        <f>IF((M188=X14),AA14,(IF((M188=X15),AA15,(IF((M188=X16),AA16,(IF((M188=X17),AA17,(IF((M188=X18),AA18,(IF((M188=X19),AA19,(IF((M188=X20),AA20)))))))))))))</f>
        <v>140</v>
      </c>
      <c r="P188" s="750">
        <f>P186</f>
        <v>20</v>
      </c>
      <c r="Q188" s="750">
        <f>Q186</f>
        <v>20</v>
      </c>
      <c r="R188" s="751">
        <f>IF(R190&lt;(M190*L188), INT(R190),(M190*L188))</f>
        <v>7</v>
      </c>
      <c r="S188" s="752">
        <f>IF(K188="SIM",(N188*L188*(P188/100)/R188)*L190,0)</f>
        <v>0</v>
      </c>
      <c r="T188" s="390">
        <f>R190*L190</f>
        <v>0</v>
      </c>
    </row>
    <row r="189" spans="7:21" x14ac:dyDescent="0.25">
      <c r="H189" s="753" t="s">
        <v>724</v>
      </c>
      <c r="I189" s="1508"/>
      <c r="J189" s="1519"/>
      <c r="K189" s="1519"/>
      <c r="L189" s="1519"/>
      <c r="M189" s="1519"/>
      <c r="N189" s="1519"/>
      <c r="O189" s="1519"/>
      <c r="P189" s="1519"/>
      <c r="Q189" s="1519"/>
      <c r="R189" s="1519"/>
      <c r="S189" s="1519"/>
      <c r="T189" s="1520"/>
    </row>
    <row r="190" spans="7:21" ht="18" thickBot="1" x14ac:dyDescent="0.35">
      <c r="K190" s="20"/>
      <c r="L190" s="10" t="str">
        <f>IF(K188="SIM","1","0")</f>
        <v>0</v>
      </c>
      <c r="M190" s="10">
        <f>M187</f>
        <v>51</v>
      </c>
      <c r="N190" s="22"/>
      <c r="O190" s="22"/>
      <c r="R190" s="9">
        <f>O188/(Q188)</f>
        <v>7</v>
      </c>
      <c r="S190" s="528"/>
    </row>
    <row r="191" spans="7:21" x14ac:dyDescent="0.25">
      <c r="G191">
        <f>G182+1</f>
        <v>21</v>
      </c>
      <c r="H191" s="1521" t="str">
        <f>CONCATENATE("MOLDE ",G191)</f>
        <v>MOLDE 21</v>
      </c>
      <c r="I191" s="1522"/>
      <c r="J191" s="527">
        <f>J188+1</f>
        <v>81</v>
      </c>
      <c r="K191" s="322" t="s">
        <v>189</v>
      </c>
      <c r="L191" s="747">
        <v>2</v>
      </c>
      <c r="M191" s="747" t="s">
        <v>722</v>
      </c>
      <c r="N191" s="748">
        <f>IF((M191=X14),Z14,(IF((M191=X15),Z15,(IF((M191=X16),Z16,(IF((M191=X17),Z17,(IF((M191=X18),Z18,(IF((M191=X19),Z19,(IF((M191=X20),Z20)))))))))))))</f>
        <v>49.9</v>
      </c>
      <c r="O191" s="749">
        <f>IF((M191=X14),AA14,(IF((M191=X15),AA15,(IF((M191=X16),AA16,(IF((M191=X17),AA17,(IF((M191=X18),AA18,(IF((M191=X19),AA19,(IF((M191=X20),AA20)))))))))))))</f>
        <v>140</v>
      </c>
      <c r="P191" s="713">
        <f>P164</f>
        <v>10</v>
      </c>
      <c r="Q191" s="713">
        <f>Q182</f>
        <v>20</v>
      </c>
      <c r="R191" s="751">
        <f>IF(R192&lt;(M192*L191), INT(R192),(M192*L191))</f>
        <v>7</v>
      </c>
      <c r="S191" s="752">
        <f>IF(K191="SIM",(N191*L191*(P191/100)/R191)*L192,0)</f>
        <v>0</v>
      </c>
      <c r="T191" s="390">
        <f>R192*L192</f>
        <v>0</v>
      </c>
      <c r="U191" s="400">
        <f>IF(K191="SIM",1,IF(K193="SIM",1,IF(K195="SIM",1,IF(K197="SIM",1,0))))</f>
        <v>0</v>
      </c>
    </row>
    <row r="192" spans="7:21" ht="17.25" x14ac:dyDescent="0.3">
      <c r="H192" s="1515" t="s">
        <v>331</v>
      </c>
      <c r="I192" s="1516"/>
      <c r="L192" s="10" t="str">
        <f>IF(K191="SIM","1","0")</f>
        <v>0</v>
      </c>
      <c r="M192" s="10">
        <f>M187</f>
        <v>51</v>
      </c>
      <c r="N192" s="12"/>
      <c r="O192" s="12"/>
      <c r="P192" s="34"/>
      <c r="Q192" s="34"/>
      <c r="R192" s="9">
        <f>O191/(Q191)</f>
        <v>7</v>
      </c>
      <c r="S192" s="528"/>
    </row>
    <row r="193" spans="7:76" x14ac:dyDescent="0.25">
      <c r="H193" s="1515"/>
      <c r="I193" s="1516"/>
      <c r="J193" s="527">
        <f t="shared" ref="J193" si="148">J191+1</f>
        <v>82</v>
      </c>
      <c r="K193" s="322" t="s">
        <v>189</v>
      </c>
      <c r="L193" s="747">
        <v>2</v>
      </c>
      <c r="M193" s="747" t="s">
        <v>188</v>
      </c>
      <c r="N193" s="748">
        <f>IF((M193=X14),Z14,(IF((M193=X15),Z15,(IF((M193=X16),Z16,(IF((M193=X17),Z17,(IF((M193=X18),Z18,(IF((M193=X19),Z19,(IF((M193=X20),Z20)))))))))))))</f>
        <v>16</v>
      </c>
      <c r="O193" s="749">
        <f>IF((M193=X14),AA14,(IF((M193=X15),AA15,(IF((M193=X16),AA16,(IF((M193=X17),AA17,(IF((M193=X18),AA18,(IF((M193=X19),AA19,(IF((M193=X20),AA20)))))))))))))</f>
        <v>75</v>
      </c>
      <c r="P193" s="750">
        <f>P191</f>
        <v>10</v>
      </c>
      <c r="Q193" s="750">
        <f>Q191</f>
        <v>20</v>
      </c>
      <c r="R193" s="751">
        <f>IF(R194&lt;(M194*L193), INT(R194),(M194*L193))</f>
        <v>3</v>
      </c>
      <c r="S193" s="752">
        <f>IF(K193="SIM",(N193*L193*(P193/100)/R193)*L194,0)</f>
        <v>0</v>
      </c>
      <c r="T193" s="390">
        <f>R194*L194</f>
        <v>0</v>
      </c>
    </row>
    <row r="194" spans="7:76" ht="17.25" x14ac:dyDescent="0.3">
      <c r="H194" s="1515"/>
      <c r="I194" s="1516"/>
      <c r="L194" s="10" t="str">
        <f>IF(K193="SIM","1","0")</f>
        <v>0</v>
      </c>
      <c r="M194" s="10">
        <f>M192</f>
        <v>51</v>
      </c>
      <c r="N194" s="12"/>
      <c r="O194" s="12"/>
      <c r="P194" s="34"/>
      <c r="Q194" s="34"/>
      <c r="R194" s="9">
        <f>O193/(Q193)</f>
        <v>3.75</v>
      </c>
      <c r="S194" s="528"/>
      <c r="BX194"/>
    </row>
    <row r="195" spans="7:76" x14ac:dyDescent="0.25">
      <c r="H195" s="1515"/>
      <c r="I195" s="1516"/>
      <c r="J195" s="527">
        <f>J193+1</f>
        <v>83</v>
      </c>
      <c r="K195" s="322" t="s">
        <v>189</v>
      </c>
      <c r="L195" s="747">
        <v>2</v>
      </c>
      <c r="M195" s="747" t="s">
        <v>722</v>
      </c>
      <c r="N195" s="748">
        <f>IF((M195=X14),Z14,(IF((M195=X15),Z15,(IF((M195=X16),Z16,(IF((M195=X17),Z17,(IF((M195=X18),Z18,(IF((M195=X19),Z19,(IF((M195=X20),Z20)))))))))))))</f>
        <v>49.9</v>
      </c>
      <c r="O195" s="749">
        <f>IF((M195=X14),AA14,(IF((M195=X15),AA15,(IF((M195=X16),AA16,(IF((M195=X17),AA17,(IF((M195=X18),AA18,(IF((M195=X19),AA19,(IF((M195=X20),AA20)))))))))))))</f>
        <v>140</v>
      </c>
      <c r="P195" s="750">
        <f>P193</f>
        <v>10</v>
      </c>
      <c r="Q195" s="750">
        <f>Q193</f>
        <v>20</v>
      </c>
      <c r="R195" s="751">
        <f>IF(R196&lt;(M196*L195), INT(R196),(M196*L195))</f>
        <v>7</v>
      </c>
      <c r="S195" s="752">
        <f>IF(K195="SIM",(N195*L195*(P195/100)/R195)*L196,0)</f>
        <v>0</v>
      </c>
      <c r="T195" s="390">
        <f>R196*L196</f>
        <v>0</v>
      </c>
    </row>
    <row r="196" spans="7:76" x14ac:dyDescent="0.25">
      <c r="H196" s="1515"/>
      <c r="I196" s="1516"/>
      <c r="L196" s="10" t="str">
        <f>IF(K195="SIM","1","0")</f>
        <v>0</v>
      </c>
      <c r="M196" s="10">
        <f>M194</f>
        <v>51</v>
      </c>
      <c r="N196" s="12"/>
      <c r="O196" s="12"/>
      <c r="R196" s="9">
        <f>O195/(Q195)</f>
        <v>7</v>
      </c>
      <c r="T196"/>
    </row>
    <row r="197" spans="7:76" ht="15.75" thickBot="1" x14ac:dyDescent="0.3">
      <c r="H197" s="1517"/>
      <c r="I197" s="1518"/>
      <c r="J197" s="527">
        <f t="shared" ref="J197" si="149">J195+1</f>
        <v>84</v>
      </c>
      <c r="K197" s="322" t="s">
        <v>189</v>
      </c>
      <c r="L197" s="747">
        <v>2</v>
      </c>
      <c r="M197" s="747" t="s">
        <v>717</v>
      </c>
      <c r="N197" s="748">
        <f>IF((M197=X14),Z14,(IF((M197=X15),Z15,(IF((M197=X16),Z16,(IF((M197=X17),Z17,(IF((M197=X18),Z18,(IF((M197=X19),Z19,(IF((M197=X20),Z20)))))))))))))</f>
        <v>19.899999999999999</v>
      </c>
      <c r="O197" s="749">
        <f>IF((M197=X14),AA14,(IF((M197=X15),AA15,(IF((M197=X16),AA16,(IF((M197=X17),AA17,(IF((M197=X18),AA18,(IF((M197=X19),AA19,(IF((M197=X20),AA20)))))))))))))</f>
        <v>140</v>
      </c>
      <c r="P197" s="750">
        <f>P195</f>
        <v>10</v>
      </c>
      <c r="Q197" s="750">
        <f>Q195</f>
        <v>20</v>
      </c>
      <c r="R197" s="751">
        <f>IF(R199&lt;(M199*L197), INT(R199),(M199*L197))</f>
        <v>7</v>
      </c>
      <c r="S197" s="752">
        <f>IF(K197="SIM",(N197*L197*(P197/100)/R197)*L199,0)</f>
        <v>0</v>
      </c>
      <c r="T197" s="390">
        <f>R199*L199</f>
        <v>0</v>
      </c>
    </row>
    <row r="198" spans="7:76" x14ac:dyDescent="0.25">
      <c r="H198" s="753" t="s">
        <v>724</v>
      </c>
      <c r="I198" s="1508"/>
      <c r="J198" s="1519"/>
      <c r="K198" s="1519"/>
      <c r="L198" s="1519"/>
      <c r="M198" s="1519"/>
      <c r="N198" s="1519"/>
      <c r="O198" s="1519"/>
      <c r="P198" s="1519"/>
      <c r="Q198" s="1519"/>
      <c r="R198" s="1519"/>
      <c r="S198" s="1519"/>
      <c r="T198" s="1520"/>
    </row>
    <row r="199" spans="7:76" ht="18" thickBot="1" x14ac:dyDescent="0.35">
      <c r="K199" s="20"/>
      <c r="L199" s="10" t="str">
        <f>IF(K197="SIM","1","0")</f>
        <v>0</v>
      </c>
      <c r="M199" s="10">
        <f>M196</f>
        <v>51</v>
      </c>
      <c r="N199" s="22"/>
      <c r="O199" s="22"/>
      <c r="R199" s="9">
        <f>O197/(Q197)</f>
        <v>7</v>
      </c>
      <c r="S199" s="528"/>
    </row>
    <row r="200" spans="7:76" x14ac:dyDescent="0.25">
      <c r="G200">
        <f>G191+1</f>
        <v>22</v>
      </c>
      <c r="H200" s="1521" t="str">
        <f>CONCATENATE("MOLDE ",G200)</f>
        <v>MOLDE 22</v>
      </c>
      <c r="I200" s="1522"/>
      <c r="J200" s="527">
        <f>J197+1</f>
        <v>85</v>
      </c>
      <c r="K200" s="322" t="s">
        <v>189</v>
      </c>
      <c r="L200" s="747">
        <v>2</v>
      </c>
      <c r="M200" s="747" t="s">
        <v>717</v>
      </c>
      <c r="N200" s="748">
        <f>IF((M200=X14),Z14,(IF((M200=X15),Z15,(IF((M200=X16),Z16,(IF((M200=X17),Z17,(IF((M200=X18),Z18,(IF((M200=X19),Z19,(IF((M200=X20),Z20)))))))))))))</f>
        <v>19.899999999999999</v>
      </c>
      <c r="O200" s="749">
        <f>IF((M200=X14),AA14,(IF((M200=X15),AA15,(IF((M200=X16),AA16,(IF((M200=X17),AA17,(IF((M200=X18),AA18,(IF((M200=X19),AA19,(IF((M200=X20),AA20)))))))))))))</f>
        <v>140</v>
      </c>
      <c r="P200" s="713">
        <f>IF((2*P182/3)&lt;16,16,2*P182/3)+(2*Z128)</f>
        <v>16</v>
      </c>
      <c r="Q200" s="713">
        <f>Q182</f>
        <v>20</v>
      </c>
      <c r="R200" s="751">
        <f>IF(R201&lt;(M201*L200), INT(R201),(M201*L200))</f>
        <v>7</v>
      </c>
      <c r="S200" s="752">
        <f>IF(K200="SIM",(N200*L200*(P200/100)/R200)*L201,0)</f>
        <v>0</v>
      </c>
      <c r="T200" s="390">
        <f>R201*L201</f>
        <v>0</v>
      </c>
      <c r="U200" s="400">
        <f>IF(K200="SIM",1,IF(K202="SIM",1,IF(K204="SIM",1,IF(K206="SIM",1,0))))</f>
        <v>0</v>
      </c>
    </row>
    <row r="201" spans="7:76" ht="17.25" x14ac:dyDescent="0.3">
      <c r="H201" s="1515" t="s">
        <v>331</v>
      </c>
      <c r="I201" s="1516"/>
      <c r="L201" s="10" t="str">
        <f>IF(K200="SIM","1","0")</f>
        <v>0</v>
      </c>
      <c r="M201" s="10">
        <f>M196</f>
        <v>51</v>
      </c>
      <c r="N201" s="12"/>
      <c r="O201" s="12"/>
      <c r="P201" s="34"/>
      <c r="Q201" s="34"/>
      <c r="R201" s="9">
        <f>O200/(Q200)</f>
        <v>7</v>
      </c>
      <c r="S201" s="528"/>
    </row>
    <row r="202" spans="7:76" ht="15" customHeight="1" x14ac:dyDescent="0.25">
      <c r="H202" s="1515"/>
      <c r="I202" s="1516"/>
      <c r="J202" s="527">
        <f t="shared" ref="J202" si="150">J200+1</f>
        <v>86</v>
      </c>
      <c r="K202" s="322" t="s">
        <v>189</v>
      </c>
      <c r="L202" s="747">
        <v>1</v>
      </c>
      <c r="M202" s="747" t="s">
        <v>188</v>
      </c>
      <c r="N202" s="748">
        <f>IF((M202=X14),Z14,(IF((M202=X15),Z15,(IF((M202=X16),Z16,(IF((M202=X17),Z17,(IF((M202=X18),Z18,(IF((M202=X19),Z19,(IF((M202=X20),Z20)))))))))))))</f>
        <v>16</v>
      </c>
      <c r="O202" s="749">
        <f>IF((M202=X14),AA14,(IF((M202=X15),AA15,(IF((M202=X16),AA16,(IF((M202=X17),AA17,(IF((M202=X18),AA18,(IF((M202=X19),AA19,(IF((M202=X20),AA20)))))))))))))</f>
        <v>75</v>
      </c>
      <c r="P202" s="750">
        <f>P200</f>
        <v>16</v>
      </c>
      <c r="Q202" s="750">
        <f>Q200</f>
        <v>20</v>
      </c>
      <c r="R202" s="751">
        <f>IF(R203&lt;(M203*L202), INT(R203),(M203*L202))</f>
        <v>3</v>
      </c>
      <c r="S202" s="752">
        <f>IF(K202="SIM",(N202*L202*(P202/100)/R202)*L203,0)</f>
        <v>0</v>
      </c>
      <c r="T202" s="390">
        <f>R203*L203</f>
        <v>0</v>
      </c>
    </row>
    <row r="203" spans="7:76" ht="17.25" x14ac:dyDescent="0.3">
      <c r="H203" s="1515"/>
      <c r="I203" s="1516"/>
      <c r="L203" s="10" t="str">
        <f>IF(K202="SIM","1","0")</f>
        <v>0</v>
      </c>
      <c r="M203" s="10">
        <f>M201</f>
        <v>51</v>
      </c>
      <c r="N203" s="12"/>
      <c r="O203" s="12"/>
      <c r="P203" s="34"/>
      <c r="Q203" s="34"/>
      <c r="R203" s="9">
        <f>O202/(Q202)</f>
        <v>3.75</v>
      </c>
      <c r="S203" s="528"/>
    </row>
    <row r="204" spans="7:76" ht="15" customHeight="1" x14ac:dyDescent="0.25">
      <c r="H204" s="1515"/>
      <c r="I204" s="1516"/>
      <c r="J204" s="527">
        <f>J202+1</f>
        <v>87</v>
      </c>
      <c r="K204" s="322" t="s">
        <v>189</v>
      </c>
      <c r="L204" s="747">
        <v>1</v>
      </c>
      <c r="M204" s="747" t="s">
        <v>722</v>
      </c>
      <c r="N204" s="748">
        <f>IF((M204=X14),Z14,(IF((M204=X15),Z15,(IF((M204=X16),Z16,(IF((M204=X17),Z17,(IF((M204=X18),Z18,(IF((M204=X19),Z19,(IF((M204=X20),Z20)))))))))))))</f>
        <v>49.9</v>
      </c>
      <c r="O204" s="749">
        <f>IF((M204=X14),AA14,(IF((M204=X15),AA15,(IF((M204=X16),AA16,(IF((M204=X17),AA17,(IF((M204=X18),AA18,(IF((M204=X19),AA19,(IF((M204=X20),AA20)))))))))))))</f>
        <v>140</v>
      </c>
      <c r="P204" s="750">
        <f>P202</f>
        <v>16</v>
      </c>
      <c r="Q204" s="750">
        <f>Q202</f>
        <v>20</v>
      </c>
      <c r="R204" s="751">
        <f>IF(R205&lt;(M205*L204), INT(R205),(M205*L204))</f>
        <v>7</v>
      </c>
      <c r="S204" s="752">
        <f>IF(K204="SIM",(N204*L204*(P204/100)/R204)*L205,0)</f>
        <v>0</v>
      </c>
      <c r="T204" s="390">
        <f>R205*L205</f>
        <v>0</v>
      </c>
    </row>
    <row r="205" spans="7:76" ht="15" customHeight="1" x14ac:dyDescent="0.25">
      <c r="H205" s="1515"/>
      <c r="I205" s="1516"/>
      <c r="L205" s="10" t="str">
        <f>IF(K204="SIM","1","0")</f>
        <v>0</v>
      </c>
      <c r="M205" s="10">
        <f>M203</f>
        <v>51</v>
      </c>
      <c r="N205" s="12"/>
      <c r="O205" s="12"/>
      <c r="R205" s="9">
        <f>O204/(Q204)</f>
        <v>7</v>
      </c>
      <c r="T205"/>
    </row>
    <row r="206" spans="7:76" ht="15" customHeight="1" thickBot="1" x14ac:dyDescent="0.3">
      <c r="H206" s="1517"/>
      <c r="I206" s="1518"/>
      <c r="J206" s="527">
        <f t="shared" ref="J206" si="151">J204+1</f>
        <v>88</v>
      </c>
      <c r="K206" s="322" t="s">
        <v>189</v>
      </c>
      <c r="L206" s="747">
        <v>2</v>
      </c>
      <c r="M206" s="747" t="s">
        <v>717</v>
      </c>
      <c r="N206" s="748">
        <f>IF((M206=X14),Z14,(IF((M206=X15),Z15,(IF((M206=X16),Z16,(IF((M206=X17),Z17,(IF((M206=X18),Z18,(IF((M206=X19),Z19,(IF((M206=X20),Z20)))))))))))))</f>
        <v>19.899999999999999</v>
      </c>
      <c r="O206" s="749">
        <f>IF((M206=X14),AA14,(IF((M206=X15),AA15,(IF((M206=X16),AA16,(IF((M206=X17),AA17,(IF((M206=X18),AA18,(IF((M206=X19),AA19,(IF((M206=X20),AA20)))))))))))))</f>
        <v>140</v>
      </c>
      <c r="P206" s="750">
        <f>P204</f>
        <v>16</v>
      </c>
      <c r="Q206" s="750">
        <f>Q204</f>
        <v>20</v>
      </c>
      <c r="R206" s="751">
        <f>IF(R208&lt;(M208*L206), INT(R208),(M208*L206))</f>
        <v>7</v>
      </c>
      <c r="S206" s="752">
        <f>IF(K206="SIM",(N206*L206*(P206/100)/R206)*L208,0)</f>
        <v>0</v>
      </c>
      <c r="T206" s="390">
        <f>R208*L208</f>
        <v>0</v>
      </c>
    </row>
    <row r="207" spans="7:76" x14ac:dyDescent="0.25">
      <c r="H207" s="753" t="s">
        <v>724</v>
      </c>
      <c r="I207" s="1508"/>
      <c r="J207" s="1519"/>
      <c r="K207" s="1519"/>
      <c r="L207" s="1519"/>
      <c r="M207" s="1519"/>
      <c r="N207" s="1519"/>
      <c r="O207" s="1519"/>
      <c r="P207" s="1519"/>
      <c r="Q207" s="1519"/>
      <c r="R207" s="1519"/>
      <c r="S207" s="1519"/>
      <c r="T207" s="1520"/>
    </row>
    <row r="208" spans="7:76" ht="18" thickBot="1" x14ac:dyDescent="0.35">
      <c r="K208" s="20"/>
      <c r="L208" s="10" t="str">
        <f>IF(K206="SIM","1","0")</f>
        <v>0</v>
      </c>
      <c r="M208" s="10">
        <f>M205</f>
        <v>51</v>
      </c>
      <c r="N208" s="22"/>
      <c r="O208" s="22"/>
      <c r="R208" s="9">
        <f>O206/(Q206)</f>
        <v>7</v>
      </c>
      <c r="S208" s="528"/>
    </row>
    <row r="209" spans="7:21" x14ac:dyDescent="0.25">
      <c r="G209">
        <f>G200+1</f>
        <v>23</v>
      </c>
      <c r="H209" s="1521" t="str">
        <f>CONCATENATE("MOLDE ",G209)</f>
        <v>MOLDE 23</v>
      </c>
      <c r="I209" s="1522"/>
      <c r="J209" s="527">
        <f>J206+1</f>
        <v>89</v>
      </c>
      <c r="K209" s="322" t="s">
        <v>189</v>
      </c>
      <c r="L209" s="747">
        <v>1</v>
      </c>
      <c r="M209" s="747" t="s">
        <v>717</v>
      </c>
      <c r="N209" s="748">
        <f>IF((M209=X14),Z14,(IF((M209=X15),Z15,(IF((M209=X16),Z16,(IF((M209=X17),Z17,(IF((M209=X18),Z18,(IF((M209=X19),Z19,(IF((M209=X20),Z20)))))))))))))</f>
        <v>19.899999999999999</v>
      </c>
      <c r="O209" s="749">
        <f>IF((M209=X14),AA14,(IF((M209=X15),AA15,(IF((M209=X16),AA16,(IF((M209=X17),AA17,(IF((M209=X18),AA18,(IF((M209=X19),AA19,(IF((M209=X20),AA20)))))))))))))</f>
        <v>140</v>
      </c>
      <c r="P209" s="713">
        <f>P200</f>
        <v>16</v>
      </c>
      <c r="Q209" s="713">
        <f>Q155</f>
        <v>20</v>
      </c>
      <c r="R209" s="751">
        <f>IF(R210&lt;(M210*L209), INT(R210),(M210*L209))</f>
        <v>7</v>
      </c>
      <c r="S209" s="752">
        <f>IF(K209="SIM",(N209*L209*(P209/100)/R209)*L210,0)</f>
        <v>0</v>
      </c>
      <c r="T209" s="390">
        <f>R210*L210</f>
        <v>0</v>
      </c>
      <c r="U209" s="400">
        <f>IF(K209="SIM",1,IF(K211="SIM",1,IF(K213="SIM",1,IF(K215="SIM",1,0))))</f>
        <v>0</v>
      </c>
    </row>
    <row r="210" spans="7:21" ht="17.25" x14ac:dyDescent="0.3">
      <c r="H210" s="1515" t="s">
        <v>331</v>
      </c>
      <c r="I210" s="1516"/>
      <c r="L210" s="10" t="str">
        <f>IF(K209="SIM","1","0")</f>
        <v>0</v>
      </c>
      <c r="M210" s="10">
        <f>M205</f>
        <v>51</v>
      </c>
      <c r="N210" s="12"/>
      <c r="O210" s="12"/>
      <c r="P210" s="34"/>
      <c r="Q210" s="34"/>
      <c r="R210" s="9">
        <f>O209/(Q209)</f>
        <v>7</v>
      </c>
      <c r="S210" s="528"/>
    </row>
    <row r="211" spans="7:21" ht="15" customHeight="1" x14ac:dyDescent="0.25">
      <c r="H211" s="1515"/>
      <c r="I211" s="1516"/>
      <c r="J211" s="527">
        <f t="shared" ref="J211" si="152">J209+1</f>
        <v>90</v>
      </c>
      <c r="K211" s="322" t="s">
        <v>189</v>
      </c>
      <c r="L211" s="747">
        <v>1</v>
      </c>
      <c r="M211" s="747" t="s">
        <v>722</v>
      </c>
      <c r="N211" s="748">
        <f>IF((M211=X14),Z14,(IF((M211=X15),Z15,(IF((M211=X16),Z16,(IF((M211=X17),Z17,(IF((M211=X18),Z18,(IF((M211=X19),Z19,(IF((M211=X20),Z20)))))))))))))</f>
        <v>49.9</v>
      </c>
      <c r="O211" s="749">
        <f>IF((M211=X14),AA14,(IF((M211=X15),AA15,(IF((M211=X16),AA16,(IF((M211=X17),AA17,(IF((M211=X18),AA18,(IF((M211=X19),AA19,(IF((M211=X20),AA20)))))))))))))</f>
        <v>140</v>
      </c>
      <c r="P211" s="750">
        <f>P209</f>
        <v>16</v>
      </c>
      <c r="Q211" s="750">
        <f>Q209</f>
        <v>20</v>
      </c>
      <c r="R211" s="751">
        <f>IF(R212&lt;(M212*L211), INT(R212),(M212*L211))</f>
        <v>7</v>
      </c>
      <c r="S211" s="752">
        <f>IF(K211="SIM",(N211*L211*(P211/100)/R211)*L212,0)</f>
        <v>0</v>
      </c>
      <c r="T211" s="390">
        <f>R212*L212</f>
        <v>0</v>
      </c>
    </row>
    <row r="212" spans="7:21" ht="17.25" x14ac:dyDescent="0.3">
      <c r="H212" s="1515"/>
      <c r="I212" s="1516"/>
      <c r="L212" s="10" t="str">
        <f>IF(K211="SIM","1","0")</f>
        <v>0</v>
      </c>
      <c r="M212" s="10">
        <f>M210</f>
        <v>51</v>
      </c>
      <c r="N212" s="12"/>
      <c r="O212" s="12"/>
      <c r="P212" s="34"/>
      <c r="Q212" s="34"/>
      <c r="R212" s="9">
        <f>O211/(Q211)</f>
        <v>7</v>
      </c>
      <c r="S212" s="528"/>
    </row>
    <row r="213" spans="7:21" ht="15" customHeight="1" x14ac:dyDescent="0.25">
      <c r="H213" s="1515"/>
      <c r="I213" s="1516"/>
      <c r="J213" s="527">
        <f>J211+1</f>
        <v>91</v>
      </c>
      <c r="K213" s="322" t="s">
        <v>189</v>
      </c>
      <c r="L213" s="747">
        <v>1</v>
      </c>
      <c r="M213" s="747" t="s">
        <v>722</v>
      </c>
      <c r="N213" s="748">
        <f>IF((M213=X14),Z14,(IF((M213=X15),Z15,(IF((M213=X16),Z16,(IF((M213=X17),Z17,(IF((M213=X18),Z18,(IF((M213=X19),Z19,(IF((M213=X20),Z20)))))))))))))</f>
        <v>49.9</v>
      </c>
      <c r="O213" s="749">
        <f>IF((M213=X14),AA14,(IF((M213=X15),AA15,(IF((M213=X16),AA16,(IF((M213=X17),AA17,(IF((M213=X18),AA18,(IF((M213=X19),AA19,(IF((M213=X20),AA20)))))))))))))</f>
        <v>140</v>
      </c>
      <c r="P213" s="750">
        <f>P211</f>
        <v>16</v>
      </c>
      <c r="Q213" s="750">
        <f>Q211</f>
        <v>20</v>
      </c>
      <c r="R213" s="751">
        <f>IF(R214&lt;(M214*L213), INT(R214),(M214*L213))</f>
        <v>7</v>
      </c>
      <c r="S213" s="752">
        <f>IF(K213="SIM",(N213*L213*(P213/100)/R213)*L214,0)</f>
        <v>0</v>
      </c>
      <c r="T213" s="390">
        <f>R214*L214</f>
        <v>0</v>
      </c>
    </row>
    <row r="214" spans="7:21" ht="15" customHeight="1" x14ac:dyDescent="0.25">
      <c r="H214" s="1515"/>
      <c r="I214" s="1516"/>
      <c r="L214" s="10" t="str">
        <f>IF(K213="SIM","1","0")</f>
        <v>0</v>
      </c>
      <c r="M214" s="10">
        <f>M212</f>
        <v>51</v>
      </c>
      <c r="N214" s="12"/>
      <c r="O214" s="12"/>
      <c r="R214" s="9">
        <f>O213/(Q213)</f>
        <v>7</v>
      </c>
      <c r="T214"/>
    </row>
    <row r="215" spans="7:21" ht="15" customHeight="1" thickBot="1" x14ac:dyDescent="0.3">
      <c r="H215" s="1517"/>
      <c r="I215" s="1518"/>
      <c r="J215" s="527">
        <f t="shared" ref="J215" si="153">J213+1</f>
        <v>92</v>
      </c>
      <c r="K215" s="322" t="s">
        <v>189</v>
      </c>
      <c r="L215" s="747">
        <v>2</v>
      </c>
      <c r="M215" s="747" t="s">
        <v>717</v>
      </c>
      <c r="N215" s="748">
        <f>IF((M215=X14),Z14,(IF((M215=X15),Z15,(IF((M215=X16),Z16,(IF((M215=X17),Z17,(IF((M215=X18),Z18,(IF((M215=X19),Z19,(IF((M215=X20),Z20)))))))))))))</f>
        <v>19.899999999999999</v>
      </c>
      <c r="O215" s="749">
        <f>IF((M215=X14),AA14,(IF((M215=X15),AA15,(IF((M215=X16),AA16,(IF((M215=X17),AA17,(IF((M215=X18),AA18,(IF((M215=X19),AA19,(IF((M215=X20),AA20)))))))))))))</f>
        <v>140</v>
      </c>
      <c r="P215" s="750">
        <f>P213</f>
        <v>16</v>
      </c>
      <c r="Q215" s="750">
        <f>Q213</f>
        <v>20</v>
      </c>
      <c r="R215" s="751">
        <f>IF(R217&lt;(M217*L215), INT(R217),(M217*L215))</f>
        <v>7</v>
      </c>
      <c r="S215" s="752">
        <f>IF(K215="SIM",(N215*L215*(P215/100)/R215)*L217,0)</f>
        <v>0</v>
      </c>
      <c r="T215" s="390">
        <f>R217*L217</f>
        <v>0</v>
      </c>
    </row>
    <row r="216" spans="7:21" x14ac:dyDescent="0.25">
      <c r="H216" s="753" t="s">
        <v>724</v>
      </c>
      <c r="I216" s="1508"/>
      <c r="J216" s="1519"/>
      <c r="K216" s="1519"/>
      <c r="L216" s="1519"/>
      <c r="M216" s="1519"/>
      <c r="N216" s="1519"/>
      <c r="O216" s="1519"/>
      <c r="P216" s="1519"/>
      <c r="Q216" s="1519"/>
      <c r="R216" s="1519"/>
      <c r="S216" s="1519"/>
      <c r="T216" s="1520"/>
    </row>
    <row r="217" spans="7:21" ht="18" thickBot="1" x14ac:dyDescent="0.35">
      <c r="K217" s="20"/>
      <c r="L217" s="10" t="str">
        <f>IF(K215="SIM","1","0")</f>
        <v>0</v>
      </c>
      <c r="M217" s="10">
        <f>M214</f>
        <v>51</v>
      </c>
      <c r="N217" s="22"/>
      <c r="O217" s="22"/>
      <c r="R217" s="9">
        <f>O215/(Q215)</f>
        <v>7</v>
      </c>
      <c r="S217" s="528"/>
    </row>
    <row r="218" spans="7:21" x14ac:dyDescent="0.25">
      <c r="G218">
        <f>G209+1</f>
        <v>24</v>
      </c>
      <c r="H218" s="1521" t="str">
        <f>CONCATENATE("MOLDE ",G218)</f>
        <v>MOLDE 24</v>
      </c>
      <c r="I218" s="1522"/>
      <c r="J218" s="527">
        <f>J215+1</f>
        <v>93</v>
      </c>
      <c r="K218" s="322" t="s">
        <v>189</v>
      </c>
      <c r="L218" s="747">
        <v>1</v>
      </c>
      <c r="M218" s="747" t="s">
        <v>717</v>
      </c>
      <c r="N218" s="748">
        <f>IF((M218=X14),Z14,(IF((M218=X15),Z15,(IF((M218=X16),Z16,(IF((M218=X17),Z17,(IF((M218=X18),Z18,(IF((M218=X19),Z19,(IF((M218=X20),Z20)))))))))))))</f>
        <v>19.899999999999999</v>
      </c>
      <c r="O218" s="749">
        <f>IF((M218=X14),AA14,(IF((M218=X15),AA15,(IF((M218=X16),AA16,(IF((M218=X17),AA17,(IF((M218=X18),AA18,(IF((M218=X19),AA19,(IF((M218=X20),AA20)))))))))))))</f>
        <v>140</v>
      </c>
      <c r="P218" s="713">
        <v>36</v>
      </c>
      <c r="Q218" s="713">
        <v>24</v>
      </c>
      <c r="R218" s="751">
        <f t="shared" ref="R218" si="154">IF(R219&lt;(M219*L218), INT(R219),(M219*L218))</f>
        <v>5</v>
      </c>
      <c r="S218" s="752">
        <f>IF(K218="SIM",(N218*L218*(P218/100)/R218)*L219,0)</f>
        <v>0</v>
      </c>
      <c r="T218" s="390">
        <f t="shared" ref="T218" si="155">R219*L219</f>
        <v>0</v>
      </c>
      <c r="U218" s="400">
        <f>IF(K218="SIM",1,IF(K220="SIM",1,IF(K222="SIM",1,IF(K224="SIM",1,0))))</f>
        <v>0</v>
      </c>
    </row>
    <row r="219" spans="7:21" ht="17.25" x14ac:dyDescent="0.3">
      <c r="H219" s="1515" t="s">
        <v>331</v>
      </c>
      <c r="I219" s="1516"/>
      <c r="L219" s="10" t="str">
        <f>IF(K218="SIM","1","0")</f>
        <v>0</v>
      </c>
      <c r="M219" s="10">
        <f>M214</f>
        <v>51</v>
      </c>
      <c r="N219" s="12"/>
      <c r="O219" s="12"/>
      <c r="P219" s="34"/>
      <c r="Q219" s="34"/>
      <c r="R219" s="9">
        <f t="shared" ref="R219" si="156">O218/(Q218)</f>
        <v>5.833333333333333</v>
      </c>
      <c r="S219" s="528"/>
    </row>
    <row r="220" spans="7:21" ht="15" customHeight="1" x14ac:dyDescent="0.25">
      <c r="H220" s="1515"/>
      <c r="I220" s="1516"/>
      <c r="J220" s="527">
        <f t="shared" ref="J220" si="157">J218+1</f>
        <v>94</v>
      </c>
      <c r="K220" s="322" t="s">
        <v>189</v>
      </c>
      <c r="L220" s="747">
        <v>1</v>
      </c>
      <c r="M220" s="747" t="s">
        <v>722</v>
      </c>
      <c r="N220" s="748">
        <f>IF((M220=X14),Z14,(IF((M220=X15),Z15,(IF((M220=X16),Z16,(IF((M220=X17),Z17,(IF((M220=X18),Z18,(IF((M220=X19),Z19,(IF((M220=X20),Z20)))))))))))))</f>
        <v>49.9</v>
      </c>
      <c r="O220" s="749">
        <f>IF((M220=X14),AA14,(IF((M220=X15),AA15,(IF((M220=X16),AA16,(IF((M220=X17),AA17,(IF((M220=X18),AA18,(IF((M220=X19),AA19,(IF((M220=X20),AA20)))))))))))))</f>
        <v>140</v>
      </c>
      <c r="P220" s="750">
        <f>P218</f>
        <v>36</v>
      </c>
      <c r="Q220" s="750">
        <f>Q218</f>
        <v>24</v>
      </c>
      <c r="R220" s="751">
        <f t="shared" ref="R220" si="158">IF(R221&lt;(M221*L220), INT(R221),(M221*L220))</f>
        <v>5</v>
      </c>
      <c r="S220" s="752">
        <f>IF(K220="SIM",(N220*L220*(P220/100)/R220)*L221,0)</f>
        <v>0</v>
      </c>
      <c r="T220" s="390">
        <f t="shared" ref="T220" si="159">R221*L221</f>
        <v>0</v>
      </c>
    </row>
    <row r="221" spans="7:21" ht="17.25" x14ac:dyDescent="0.3">
      <c r="H221" s="1515"/>
      <c r="I221" s="1516"/>
      <c r="L221" s="10" t="str">
        <f>IF(K220="SIM","1","0")</f>
        <v>0</v>
      </c>
      <c r="M221" s="10">
        <f t="shared" ref="M221" si="160">M219</f>
        <v>51</v>
      </c>
      <c r="N221" s="12"/>
      <c r="O221" s="12"/>
      <c r="P221" s="34"/>
      <c r="Q221" s="34"/>
      <c r="R221" s="9">
        <f t="shared" ref="R221" si="161">O220/(Q220)</f>
        <v>5.833333333333333</v>
      </c>
      <c r="S221" s="528"/>
    </row>
    <row r="222" spans="7:21" ht="15" customHeight="1" x14ac:dyDescent="0.25">
      <c r="H222" s="1515"/>
      <c r="I222" s="1516"/>
      <c r="J222" s="527">
        <f>J220+1</f>
        <v>95</v>
      </c>
      <c r="K222" s="322" t="s">
        <v>189</v>
      </c>
      <c r="L222" s="747">
        <v>1</v>
      </c>
      <c r="M222" s="747" t="s">
        <v>722</v>
      </c>
      <c r="N222" s="748">
        <f>IF((M222=X14),Z14,(IF((M222=X15),Z15,(IF((M222=X16),Z16,(IF((M222=X17),Z17,(IF((M222=X18),Z18,(IF((M222=X19),Z19,(IF((M222=X20),Z20)))))))))))))</f>
        <v>49.9</v>
      </c>
      <c r="O222" s="749">
        <f>IF((M222=X14),AA14,(IF((M222=X15),AA15,(IF((M222=X16),AA16,(IF((M222=X17),AA17,(IF((M222=X18),AA18,(IF((M222=X19),AA19,(IF((M222=X20),AA20)))))))))))))</f>
        <v>140</v>
      </c>
      <c r="P222" s="750">
        <f>P220</f>
        <v>36</v>
      </c>
      <c r="Q222" s="750">
        <f>Q220</f>
        <v>24</v>
      </c>
      <c r="R222" s="751">
        <f>IF(R223&lt;(M223*L222), INT(R223),(M223*L222))</f>
        <v>5</v>
      </c>
      <c r="S222" s="752">
        <f>IF(K222="SIM",(N222*L222*(P222/100)/R222)*L223,0)</f>
        <v>0</v>
      </c>
      <c r="T222" s="390">
        <f>R223*L223</f>
        <v>0</v>
      </c>
    </row>
    <row r="223" spans="7:21" ht="15" customHeight="1" x14ac:dyDescent="0.25">
      <c r="H223" s="1515"/>
      <c r="I223" s="1516"/>
      <c r="L223" s="10" t="str">
        <f>IF(K222="SIM","1","0")</f>
        <v>0</v>
      </c>
      <c r="M223" s="10">
        <f>M221</f>
        <v>51</v>
      </c>
      <c r="N223" s="12"/>
      <c r="O223" s="12"/>
      <c r="R223" s="9">
        <f>O222/(Q222)</f>
        <v>5.833333333333333</v>
      </c>
      <c r="T223"/>
    </row>
    <row r="224" spans="7:21" ht="15" customHeight="1" thickBot="1" x14ac:dyDescent="0.3">
      <c r="H224" s="1517"/>
      <c r="I224" s="1518"/>
      <c r="J224" s="527">
        <f t="shared" ref="J224" si="162">J222+1</f>
        <v>96</v>
      </c>
      <c r="K224" s="322" t="s">
        <v>189</v>
      </c>
      <c r="L224" s="747">
        <v>2</v>
      </c>
      <c r="M224" s="747" t="s">
        <v>717</v>
      </c>
      <c r="N224" s="748">
        <f>IF((M224=X14),Z14,(IF((M224=X15),Z15,(IF((M224=X16),Z16,(IF((M224=X17),Z17,(IF((M224=X18),Z18,(IF((M224=X19),Z19,(IF((M224=X20),Z20)))))))))))))</f>
        <v>19.899999999999999</v>
      </c>
      <c r="O224" s="749">
        <f>IF((M224=X14),AA14,(IF((M224=X15),AA15,(IF((M224=X16),AA16,(IF((M224=X17),AA17,(IF((M224=X18),AA18,(IF((M224=X19),AA19,(IF((M224=X20),AA20)))))))))))))</f>
        <v>140</v>
      </c>
      <c r="P224" s="750">
        <f>P222</f>
        <v>36</v>
      </c>
      <c r="Q224" s="750">
        <f>Q222</f>
        <v>24</v>
      </c>
      <c r="R224" s="751">
        <f>IF(R226&lt;(M226*L224), INT(R226),(M226*L224))</f>
        <v>5</v>
      </c>
      <c r="S224" s="752">
        <f>IF(K224="SIM",(N224*L224*(P224/100)/R224)*L226,0)</f>
        <v>0</v>
      </c>
      <c r="T224" s="390">
        <f>R226*L226</f>
        <v>0</v>
      </c>
    </row>
    <row r="225" spans="7:21" x14ac:dyDescent="0.25">
      <c r="H225" s="753" t="s">
        <v>724</v>
      </c>
      <c r="I225" s="1508"/>
      <c r="J225" s="1519"/>
      <c r="K225" s="1519"/>
      <c r="L225" s="1519"/>
      <c r="M225" s="1519"/>
      <c r="N225" s="1519"/>
      <c r="O225" s="1519"/>
      <c r="P225" s="1519"/>
      <c r="Q225" s="1519"/>
      <c r="R225" s="1519"/>
      <c r="S225" s="1519"/>
      <c r="T225" s="1520"/>
    </row>
    <row r="226" spans="7:21" ht="18" thickBot="1" x14ac:dyDescent="0.35">
      <c r="K226" s="20"/>
      <c r="L226" s="10" t="str">
        <f>IF(K224="SIM","1","0")</f>
        <v>0</v>
      </c>
      <c r="M226" s="10">
        <f>M223</f>
        <v>51</v>
      </c>
      <c r="N226" s="22"/>
      <c r="O226" s="22"/>
      <c r="R226" s="9">
        <f>O224/(Q224)</f>
        <v>5.833333333333333</v>
      </c>
      <c r="S226" s="528"/>
    </row>
    <row r="227" spans="7:21" x14ac:dyDescent="0.25">
      <c r="G227">
        <f>G218+1</f>
        <v>25</v>
      </c>
      <c r="H227" s="1521" t="str">
        <f>CONCATENATE("MOLDE ",G227)</f>
        <v>MOLDE 25</v>
      </c>
      <c r="I227" s="1522"/>
      <c r="J227" s="527">
        <f>J224+1</f>
        <v>97</v>
      </c>
      <c r="K227" s="322" t="s">
        <v>189</v>
      </c>
      <c r="L227" s="747">
        <v>1</v>
      </c>
      <c r="M227" s="747" t="s">
        <v>188</v>
      </c>
      <c r="N227" s="748">
        <f>IF((M227=X14),Z14,(IF((M227=X15),Z15,(IF((M227=X16),Z16,(IF((M227=X17),Z17,(IF((M227=X18),Z18,(IF((M227=X19),Z19,(IF((M227=X20),Z20)))))))))))))</f>
        <v>16</v>
      </c>
      <c r="O227" s="749">
        <f>IF((M227=X14),AA14,(IF((M227=X15),AA15,(IF((M227=X16),AA16,(IF((M227=X17),AA17,(IF((M227=X18),AA18,(IF((M227=X19),AA19,(IF((M227=X20),AA20)))))))))))))</f>
        <v>75</v>
      </c>
      <c r="P227" s="713">
        <v>6</v>
      </c>
      <c r="Q227" s="713">
        <v>24</v>
      </c>
      <c r="R227" s="751">
        <f t="shared" ref="R227" si="163">IF(R228&lt;(M228*L227), INT(R228),(M228*L227))</f>
        <v>3</v>
      </c>
      <c r="S227" s="752">
        <f>IF(K227="SIM",(N227*L227*(P227/100)/R227)*L228,0)</f>
        <v>0</v>
      </c>
      <c r="T227" s="390">
        <f t="shared" ref="T227" si="164">R228*L228</f>
        <v>0</v>
      </c>
      <c r="U227" s="400">
        <f>IF(K227="SIM",1,IF(K229="SIM",1,IF(K231="SIM",1,IF(K233="SIM",1,0))))</f>
        <v>0</v>
      </c>
    </row>
    <row r="228" spans="7:21" ht="17.25" x14ac:dyDescent="0.3">
      <c r="H228" s="1515" t="s">
        <v>331</v>
      </c>
      <c r="I228" s="1516"/>
      <c r="L228" s="10" t="str">
        <f>IF(K227="SIM","1","0")</f>
        <v>0</v>
      </c>
      <c r="M228" s="10">
        <f>M223</f>
        <v>51</v>
      </c>
      <c r="N228" s="12"/>
      <c r="O228" s="12"/>
      <c r="P228" s="34"/>
      <c r="Q228" s="34"/>
      <c r="R228" s="9">
        <f t="shared" ref="R228" si="165">O227/(Q227)</f>
        <v>3.125</v>
      </c>
      <c r="S228" s="528"/>
    </row>
    <row r="229" spans="7:21" ht="15" customHeight="1" x14ac:dyDescent="0.25">
      <c r="H229" s="1515"/>
      <c r="I229" s="1516"/>
      <c r="J229" s="527">
        <f t="shared" ref="J229" si="166">J227+1</f>
        <v>98</v>
      </c>
      <c r="K229" s="322" t="s">
        <v>189</v>
      </c>
      <c r="L229" s="747">
        <v>1</v>
      </c>
      <c r="M229" s="747" t="s">
        <v>722</v>
      </c>
      <c r="N229" s="748">
        <f>IF((M229=X14),Z14,(IF((M229=X15),Z15,(IF((M229=X16),Z16,(IF((M229=X17),Z17,(IF((M229=X18),Z18,(IF((M229=X19),Z19,(IF((M229=X20),Z20)))))))))))))</f>
        <v>49.9</v>
      </c>
      <c r="O229" s="749">
        <f>IF((M229=X14),AA14,(IF((M229=X15),AA15,(IF((M229=X16),AA16,(IF((M229=X17),AA17,(IF((M229=X18),AA18,(IF((M229=X19),AA19,(IF((M229=X20),AA20)))))))))))))</f>
        <v>140</v>
      </c>
      <c r="P229" s="750">
        <f>P227</f>
        <v>6</v>
      </c>
      <c r="Q229" s="750">
        <f>Q227</f>
        <v>24</v>
      </c>
      <c r="R229" s="751">
        <f t="shared" ref="R229" si="167">IF(R230&lt;(M230*L229), INT(R230),(M230*L229))</f>
        <v>5</v>
      </c>
      <c r="S229" s="752">
        <f>IF(K229="SIM",(N229*L229*(P229/100)/R229)*L230,0)</f>
        <v>0</v>
      </c>
      <c r="T229" s="390">
        <f t="shared" ref="T229" si="168">R230*L230</f>
        <v>0</v>
      </c>
    </row>
    <row r="230" spans="7:21" ht="17.25" x14ac:dyDescent="0.3">
      <c r="H230" s="1515"/>
      <c r="I230" s="1516"/>
      <c r="L230" s="10" t="str">
        <f>IF(K229="SIM","1","0")</f>
        <v>0</v>
      </c>
      <c r="M230" s="10">
        <f t="shared" ref="M230" si="169">M228</f>
        <v>51</v>
      </c>
      <c r="N230" s="12"/>
      <c r="O230" s="12"/>
      <c r="P230" s="34"/>
      <c r="Q230" s="34"/>
      <c r="R230" s="9">
        <f t="shared" ref="R230" si="170">O229/(Q229)</f>
        <v>5.833333333333333</v>
      </c>
      <c r="S230" s="528"/>
    </row>
    <row r="231" spans="7:21" ht="15" customHeight="1" x14ac:dyDescent="0.25">
      <c r="H231" s="1515"/>
      <c r="I231" s="1516"/>
      <c r="J231" s="527">
        <f>J229+1</f>
        <v>99</v>
      </c>
      <c r="K231" s="322" t="s">
        <v>189</v>
      </c>
      <c r="L231" s="747">
        <v>1</v>
      </c>
      <c r="M231" s="747" t="s">
        <v>722</v>
      </c>
      <c r="N231" s="748">
        <f>IF((M231=X14),Z14,(IF((M231=X15),Z15,(IF((M231=X16),Z16,(IF((M231=X17),Z17,(IF((M231=X18),Z18,(IF((M231=X19),Z19,(IF((M231=X20),Z20)))))))))))))</f>
        <v>49.9</v>
      </c>
      <c r="O231" s="749">
        <f>IF((M231=X14),AA14,(IF((M231=X15),AA15,(IF((M231=X16),AA16,(IF((M231=X17),AA17,(IF((M231=X18),AA18,(IF((M231=X19),AA19,(IF((M231=X20),AA20)))))))))))))</f>
        <v>140</v>
      </c>
      <c r="P231" s="750">
        <f>P229</f>
        <v>6</v>
      </c>
      <c r="Q231" s="750">
        <f>Q229</f>
        <v>24</v>
      </c>
      <c r="R231" s="751">
        <f>IF(R232&lt;(M232*L231), INT(R232),(M232*L231))</f>
        <v>5</v>
      </c>
      <c r="S231" s="752">
        <f>IF(K231="SIM",(N231*L231*(P231/100)/R231)*L232,0)</f>
        <v>0</v>
      </c>
      <c r="T231" s="390">
        <f>R232*L232</f>
        <v>0</v>
      </c>
    </row>
    <row r="232" spans="7:21" ht="15" customHeight="1" x14ac:dyDescent="0.25">
      <c r="H232" s="1515"/>
      <c r="I232" s="1516"/>
      <c r="L232" s="554" t="str">
        <f>IF(K231="SIM","1","0")</f>
        <v>0</v>
      </c>
      <c r="M232" s="554">
        <f>M230</f>
        <v>51</v>
      </c>
      <c r="N232" s="12"/>
      <c r="O232" s="12"/>
      <c r="R232" s="555">
        <f>O231/(Q231)</f>
        <v>5.833333333333333</v>
      </c>
      <c r="T232"/>
    </row>
    <row r="233" spans="7:21" ht="15" customHeight="1" thickBot="1" x14ac:dyDescent="0.3">
      <c r="H233" s="1517"/>
      <c r="I233" s="1518"/>
      <c r="J233" s="527">
        <f t="shared" ref="J233" si="171">J231+1</f>
        <v>100</v>
      </c>
      <c r="K233" s="322" t="s">
        <v>189</v>
      </c>
      <c r="L233" s="747">
        <v>2</v>
      </c>
      <c r="M233" s="747" t="s">
        <v>717</v>
      </c>
      <c r="N233" s="748">
        <f>IF((M233=X14),Z14,(IF((M233=X15),Z15,(IF((M233=X16),Z16,(IF((M233=X17),Z17,(IF((M233=X18),Z18,(IF((M233=X19),Z19,(IF((M233=X20),Z20)))))))))))))</f>
        <v>19.899999999999999</v>
      </c>
      <c r="O233" s="749">
        <f>IF((M233=X14),AA14,(IF((M233=X15),AA15,(IF((M233=X16),AA16,(IF((M233=X17),AA17,(IF((M233=X18),AA18,(IF((M233=X19),AA19,(IF((M233=X20),AA20)))))))))))))</f>
        <v>140</v>
      </c>
      <c r="P233" s="750">
        <f>P231</f>
        <v>6</v>
      </c>
      <c r="Q233" s="750">
        <f>Q231</f>
        <v>24</v>
      </c>
      <c r="R233" s="751">
        <f>IF(R235&lt;(M235*L233), INT(R235),(M235*L233))</f>
        <v>5</v>
      </c>
      <c r="S233" s="752">
        <f>IF(K233="SIM",(N233*L233*(P233/100)/R233)*L235,0)</f>
        <v>0</v>
      </c>
      <c r="T233" s="390">
        <f>R235*L235</f>
        <v>0</v>
      </c>
    </row>
    <row r="234" spans="7:21" x14ac:dyDescent="0.25">
      <c r="H234" s="753" t="s">
        <v>724</v>
      </c>
      <c r="I234" s="1508"/>
      <c r="J234" s="1519"/>
      <c r="K234" s="1519"/>
      <c r="L234" s="1519"/>
      <c r="M234" s="1519"/>
      <c r="N234" s="1519"/>
      <c r="O234" s="1519"/>
      <c r="P234" s="1519"/>
      <c r="Q234" s="1519"/>
      <c r="R234" s="1519"/>
      <c r="S234" s="1519"/>
      <c r="T234" s="1520"/>
    </row>
    <row r="235" spans="7:21" ht="18" thickBot="1" x14ac:dyDescent="0.35">
      <c r="K235" s="20"/>
      <c r="L235" s="10" t="str">
        <f>IF(K233="SIM","1","0")</f>
        <v>0</v>
      </c>
      <c r="M235" s="10">
        <f>M232</f>
        <v>51</v>
      </c>
      <c r="N235" s="22"/>
      <c r="O235" s="22"/>
      <c r="R235" s="9">
        <f>O233/(Q233)</f>
        <v>5.833333333333333</v>
      </c>
      <c r="S235" s="528"/>
    </row>
    <row r="236" spans="7:21" x14ac:dyDescent="0.25">
      <c r="G236">
        <f>G227+1</f>
        <v>26</v>
      </c>
      <c r="H236" s="1521" t="str">
        <f>CONCATENATE("MOLDE ",G236)</f>
        <v>MOLDE 26</v>
      </c>
      <c r="I236" s="1522"/>
      <c r="J236" s="527">
        <f>J233+1</f>
        <v>101</v>
      </c>
      <c r="K236" s="322" t="s">
        <v>189</v>
      </c>
      <c r="L236" s="747">
        <v>2</v>
      </c>
      <c r="M236" s="747" t="s">
        <v>722</v>
      </c>
      <c r="N236" s="748">
        <f>IF((M236=X14),Z14,(IF((M236=X15),Z15,(IF((M236=X16),Z16,(IF((M236=X17),Z17,(IF((M236=X18),Z18,(IF((M236=X19),Z19,(IF((M236=X20),Z20)))))))))))))</f>
        <v>49.9</v>
      </c>
      <c r="O236" s="749">
        <f>IF((M236=X14),AA14,(IF((M236=X15),AA15,(IF((M236=X16),AA16,(IF((M236=X17),AA17,(IF((M236=X18),AA18,(IF((M236=X19),AA19,(IF((M236=X20),AA20)))))))))))))</f>
        <v>140</v>
      </c>
      <c r="P236" s="713">
        <v>10</v>
      </c>
      <c r="Q236" s="713">
        <v>20</v>
      </c>
      <c r="R236" s="751">
        <f t="shared" ref="R236" si="172">IF(R237&lt;(M237*L236), INT(R237),(M237*L236))</f>
        <v>7</v>
      </c>
      <c r="S236" s="752">
        <f>IF(K236="SIM",(N236*L236*(P236/100)/R236)*L237,0)</f>
        <v>0</v>
      </c>
      <c r="T236" s="390">
        <f t="shared" ref="T236" si="173">R237*L237</f>
        <v>0</v>
      </c>
      <c r="U236" s="400">
        <f>IF(K236="SIM",1,IF(K238="SIM",1,IF(K240="SIM",1,IF(K242="SIM",1,0))))</f>
        <v>0</v>
      </c>
    </row>
    <row r="237" spans="7:21" ht="15" customHeight="1" x14ac:dyDescent="0.3">
      <c r="H237" s="1515" t="s">
        <v>331</v>
      </c>
      <c r="I237" s="1516"/>
      <c r="L237" s="10" t="str">
        <f>IF(K236="SIM","1","0")</f>
        <v>0</v>
      </c>
      <c r="M237" s="10">
        <f>M232</f>
        <v>51</v>
      </c>
      <c r="N237" s="12"/>
      <c r="O237" s="12"/>
      <c r="P237" s="34"/>
      <c r="Q237" s="34"/>
      <c r="R237" s="9">
        <f>O236/(Q236)</f>
        <v>7</v>
      </c>
      <c r="S237" s="528"/>
    </row>
    <row r="238" spans="7:21" x14ac:dyDescent="0.25">
      <c r="H238" s="1515"/>
      <c r="I238" s="1516"/>
      <c r="J238" s="527">
        <f t="shared" ref="J238" si="174">J236+1</f>
        <v>102</v>
      </c>
      <c r="K238" s="322" t="s">
        <v>189</v>
      </c>
      <c r="L238" s="747">
        <v>2</v>
      </c>
      <c r="M238" s="747" t="s">
        <v>188</v>
      </c>
      <c r="N238" s="748">
        <f>IF((M238=X14),Z14,(IF((M238=X15),Z15,(IF((M238=X16),Z16,(IF((M238=X17),Z17,(IF((M238=X18),Z18,(IF((M238=X19),Z19,(IF((M238=X20),Z20)))))))))))))</f>
        <v>16</v>
      </c>
      <c r="O238" s="749">
        <f>IF((M238=X14),AA14,(IF((M238=X15),AA15,(IF((M238=X16),AA16,(IF((M238=X17),AA17,(IF((M238=X18),AA18,(IF((M238=X19),AA19,(IF((M238=X20),AA20)))))))))))))</f>
        <v>75</v>
      </c>
      <c r="P238" s="750">
        <f>P236</f>
        <v>10</v>
      </c>
      <c r="Q238" s="750">
        <f>Q236</f>
        <v>20</v>
      </c>
      <c r="R238" s="751">
        <f t="shared" ref="R238" si="175">IF(R239&lt;(M239*L238), INT(R239),(M239*L238))</f>
        <v>3</v>
      </c>
      <c r="S238" s="752">
        <f>IF(K238="SIM",(N238*L238*(P238/100)/R238)*L239,0)</f>
        <v>0</v>
      </c>
      <c r="T238" s="390">
        <f t="shared" ref="T238" si="176">R239*L239</f>
        <v>0</v>
      </c>
    </row>
    <row r="239" spans="7:21" ht="17.25" x14ac:dyDescent="0.3">
      <c r="H239" s="1515"/>
      <c r="I239" s="1516"/>
      <c r="L239" s="10" t="str">
        <f>IF(K238="SIM","1","0")</f>
        <v>0</v>
      </c>
      <c r="M239" s="10">
        <f t="shared" ref="M239" si="177">M237</f>
        <v>51</v>
      </c>
      <c r="N239" s="12"/>
      <c r="O239" s="12"/>
      <c r="P239" s="34"/>
      <c r="Q239" s="34"/>
      <c r="R239" s="9">
        <f t="shared" ref="R239" si="178">O238/(Q238)</f>
        <v>3.75</v>
      </c>
      <c r="S239" s="528"/>
    </row>
    <row r="240" spans="7:21" x14ac:dyDescent="0.25">
      <c r="H240" s="1515"/>
      <c r="I240" s="1516"/>
      <c r="J240" s="527">
        <f>J238+1</f>
        <v>103</v>
      </c>
      <c r="K240" s="322" t="s">
        <v>189</v>
      </c>
      <c r="L240" s="747">
        <v>2</v>
      </c>
      <c r="M240" s="747" t="s">
        <v>188</v>
      </c>
      <c r="N240" s="748">
        <f>IF((M240=X14),Z14,(IF((M240=X15),Z15,(IF((M240=X16),Z16,(IF((M240=X17),Z17,(IF((M240=X18),Z18,(IF((M240=X19),Z19,(IF((M240=X20),Z20)))))))))))))</f>
        <v>16</v>
      </c>
      <c r="O240" s="749">
        <f>IF((M240=X14),AA14,(IF((M240=X15),AA15,(IF((M240=X16),AA16,(IF((M240=X17),AA17,(IF((M240=X18),AA18,(IF((M240=X19),AA19,(IF((M240=X20),AA20)))))))))))))</f>
        <v>75</v>
      </c>
      <c r="P240" s="750">
        <f>P238</f>
        <v>10</v>
      </c>
      <c r="Q240" s="750">
        <f>Q238</f>
        <v>20</v>
      </c>
      <c r="R240" s="751">
        <f>IF(R241&lt;(M241*L240), INT(R241),(M241*L240))</f>
        <v>3</v>
      </c>
      <c r="S240" s="752">
        <f>IF(K240="SIM",(N240*L240*(P240/100)/R240)*L241,0)</f>
        <v>0</v>
      </c>
      <c r="T240" s="390">
        <f>R241*L241</f>
        <v>0</v>
      </c>
    </row>
    <row r="241" spans="7:78" x14ac:dyDescent="0.25">
      <c r="H241" s="1515"/>
      <c r="I241" s="1516"/>
      <c r="L241" s="10" t="str">
        <f>IF(K240="SIM","1","0")</f>
        <v>0</v>
      </c>
      <c r="M241" s="10">
        <f>M239</f>
        <v>51</v>
      </c>
      <c r="N241" s="12"/>
      <c r="O241" s="12"/>
      <c r="P241" s="34"/>
      <c r="Q241" s="34"/>
      <c r="R241" s="9">
        <f>O240/(Q240)</f>
        <v>3.75</v>
      </c>
      <c r="T241"/>
    </row>
    <row r="242" spans="7:78" ht="15.75" thickBot="1" x14ac:dyDescent="0.3">
      <c r="H242" s="1517"/>
      <c r="I242" s="1518"/>
      <c r="J242" s="527">
        <f t="shared" ref="J242" si="179">J240+1</f>
        <v>104</v>
      </c>
      <c r="K242" s="322" t="s">
        <v>189</v>
      </c>
      <c r="L242" s="747">
        <v>2</v>
      </c>
      <c r="M242" s="747" t="s">
        <v>717</v>
      </c>
      <c r="N242" s="748">
        <f>IF((M242=X14),Z14,(IF((M242=X15),Z15,(IF((M242=X16),Z16,(IF((M242=X17),Z17,(IF((M242=X18),Z18,(IF((M242=X19),Z19,(IF((M242=X20),Z20)))))))))))))</f>
        <v>19.899999999999999</v>
      </c>
      <c r="O242" s="749">
        <f>IF((M242=X14),AA14,(IF((M242=X15),AA15,(IF((M242=X16),AA16,(IF((M242=X17),AA17,(IF((M242=X18),AA18,(IF((M242=X19),AA19,(IF((M242=X20),AA20)))))))))))))</f>
        <v>140</v>
      </c>
      <c r="P242" s="750">
        <f>P240</f>
        <v>10</v>
      </c>
      <c r="Q242" s="750">
        <f>Q240</f>
        <v>20</v>
      </c>
      <c r="R242" s="751">
        <f>IF(R244&lt;(M244*L242), INT(R244),(M244*L242))</f>
        <v>7</v>
      </c>
      <c r="S242" s="752">
        <f>IF(K242="SIM",(N242*L242*(P242/100)/R242)*L244,0)</f>
        <v>0</v>
      </c>
      <c r="T242" s="390">
        <f>R244*L244</f>
        <v>0</v>
      </c>
    </row>
    <row r="243" spans="7:78" x14ac:dyDescent="0.25">
      <c r="H243" s="753" t="s">
        <v>724</v>
      </c>
      <c r="I243" s="1508"/>
      <c r="J243" s="1509"/>
      <c r="K243" s="1509"/>
      <c r="L243" s="1509"/>
      <c r="M243" s="1509"/>
      <c r="N243" s="1509"/>
      <c r="O243" s="1509"/>
      <c r="P243" s="1509"/>
      <c r="Q243" s="1509"/>
      <c r="R243" s="1509"/>
      <c r="S243" s="1509"/>
      <c r="T243" s="1510"/>
    </row>
    <row r="244" spans="7:78" x14ac:dyDescent="0.25">
      <c r="K244" s="20"/>
      <c r="L244" s="10" t="str">
        <f>IF(K242="SIM","1","0")</f>
        <v>0</v>
      </c>
      <c r="M244" s="10">
        <f>M241</f>
        <v>51</v>
      </c>
      <c r="N244" s="22"/>
      <c r="O244" s="22"/>
      <c r="R244" s="9">
        <f>O242/(Q242)</f>
        <v>7</v>
      </c>
      <c r="S244" s="529"/>
    </row>
    <row r="245" spans="7:78" ht="15.75" thickBot="1" x14ac:dyDescent="0.3">
      <c r="T245"/>
    </row>
    <row r="246" spans="7:78" ht="15.75" thickBot="1" x14ac:dyDescent="0.3">
      <c r="Q246" s="1565" t="s">
        <v>256</v>
      </c>
      <c r="R246" s="1566"/>
      <c r="S246" s="530">
        <f>SUM(S11:S244)</f>
        <v>11.3004</v>
      </c>
    </row>
    <row r="247" spans="7:78" ht="15.75" thickBot="1" x14ac:dyDescent="0.3">
      <c r="Q247" s="524"/>
      <c r="R247" s="524"/>
      <c r="S247" s="525"/>
    </row>
    <row r="248" spans="7:78" x14ac:dyDescent="0.25">
      <c r="Q248" s="524"/>
      <c r="R248" s="524"/>
      <c r="S248" s="525"/>
      <c r="T248" s="1637" t="s">
        <v>709</v>
      </c>
      <c r="U248" s="1637" t="s">
        <v>710</v>
      </c>
    </row>
    <row r="249" spans="7:78" x14ac:dyDescent="0.25">
      <c r="T249" s="1638"/>
      <c r="U249" s="1638"/>
    </row>
    <row r="250" spans="7:78" ht="15.75" thickBot="1" x14ac:dyDescent="0.3">
      <c r="T250" s="526">
        <f>SUM(U11:U243)+K260+K261+K262+K263+K267+K268+K269+K270+K274+K275+K276+K277+K281+K282+K283+K284</f>
        <v>2</v>
      </c>
      <c r="U250" s="526">
        <f>((L12*L11)+(L14*L13)+(L16*L15))+((L21*L20)+(L23*L22)+(L25*L24))+((L30*L29)+(L32*L31)+(L34*L33))+((L39*L38)+(L41*L40)+(L43*L42))+((L48*L47)+(L50*L49)+(L52*L51))+((L57*L56)+(L59*L58)+(L61*L60))+((L66*L65)+(L68*L67)+(L70*L69))+((L75*L74)+(L77*L76)+(L79*L78))+((L84*L83)+(L86*L85)+(L88*L87))+((L93*L92)+(L95*L94)+(L97*L96))+((L102*L101)+(L104*L103)+(L106*L105))+((L111*L110)+(L113*L112)+(L115*L114))+((L120*L119)+(L122*L121)+(L124*L123))+((L128*L129)+(L130*L131)+(L132*L133))+((L137*L138)+(L139*L140)+(L141*L142))+((L146*L147)+(L148*L149)+(L150*L151))+((L155*L156)+(L157*L158)+(L159*L160))+((L164*L165)+(L166*L167)+(L168*L169))+((L173*L174)+(L175*L176)+(L177*L178))+((L182*L183)+(L184*L185)+(L186*L187))+((L191*L192)+(L193*L194)+(L195*L196))+((L200*L201)+(L202*L203)+(L204*L205))+((L209*L210)+(L211*L212)+(L213*L214))+((L218*L219)+(L220*L221)+(L222*L223))+((L227*L228)+(L229*L230)+(L231*L232))+((L236*L237)+(L238*L239)+(L240*L241))+(J260*K260)+(J261*K261)+(J262*K262)+(J263*K263)+(J267*K267)+(J268*K268)+(J269*K269)+(J270*K270)+(J274*K274)+(J275*K275)+(J276*K276)+(J277*K277)+(J281*K281)+(J282*K282)+(J283*K283)+(J284*K284)</f>
        <v>4</v>
      </c>
    </row>
    <row r="253" spans="7:78" x14ac:dyDescent="0.25">
      <c r="I253" s="1536" t="str">
        <f>IF(Z40="SIM","Determinando comprimentos e tecidos para ALÇAS","!!ESTA REFERÊNCIA NÃO POSSUI ALÇAS!!")</f>
        <v>Determinando comprimentos e tecidos para ALÇAS</v>
      </c>
      <c r="J253" s="1536"/>
      <c r="K253" s="1536"/>
      <c r="L253" s="1536"/>
      <c r="M253" s="1536"/>
      <c r="N253" s="1536"/>
      <c r="O253" s="1536"/>
      <c r="P253" s="1536"/>
      <c r="Q253" s="1536"/>
      <c r="R253" s="1536"/>
      <c r="T253"/>
    </row>
    <row r="254" spans="7:78" x14ac:dyDescent="0.25">
      <c r="S254" s="48" t="s">
        <v>365</v>
      </c>
      <c r="T254"/>
    </row>
    <row r="255" spans="7:78" ht="15.75" thickBot="1" x14ac:dyDescent="0.3">
      <c r="G255" s="1313" t="s">
        <v>401</v>
      </c>
      <c r="H255" s="1344"/>
      <c r="I255" s="192" t="str">
        <f>'NOME + Nº'!E62</f>
        <v>NÃO</v>
      </c>
      <c r="T255"/>
      <c r="BX255"/>
      <c r="BZ255" s="49"/>
    </row>
    <row r="256" spans="7:78" x14ac:dyDescent="0.25">
      <c r="I256" s="10" t="str">
        <f>IF('NOME + Nº'!E62="SIM","1","0")</f>
        <v>0</v>
      </c>
      <c r="K256" s="1538" t="s">
        <v>411</v>
      </c>
      <c r="L256" s="1539"/>
      <c r="M256" s="1512" t="s">
        <v>911</v>
      </c>
      <c r="N256" s="1513"/>
      <c r="O256" s="1514"/>
      <c r="P256" s="1572" t="s">
        <v>912</v>
      </c>
      <c r="Q256" s="1573"/>
      <c r="R256" s="1574"/>
      <c r="S256" s="1567" t="s">
        <v>240</v>
      </c>
      <c r="T256" s="1538"/>
      <c r="U256" s="905" t="s">
        <v>194</v>
      </c>
      <c r="W256" s="35"/>
      <c r="BX256"/>
      <c r="BZ256" s="49"/>
    </row>
    <row r="257" spans="7:78" ht="15.75" thickBot="1" x14ac:dyDescent="0.3">
      <c r="K257" s="1540" t="s">
        <v>412</v>
      </c>
      <c r="L257" s="1541" t="s">
        <v>409</v>
      </c>
      <c r="M257" s="1554" t="s">
        <v>241</v>
      </c>
      <c r="N257" s="1555" t="s">
        <v>376</v>
      </c>
      <c r="O257" s="1556" t="s">
        <v>242</v>
      </c>
      <c r="P257" s="1511" t="s">
        <v>241</v>
      </c>
      <c r="Q257" s="1555" t="s">
        <v>376</v>
      </c>
      <c r="R257" s="1556" t="s">
        <v>242</v>
      </c>
      <c r="S257" s="1568" t="s">
        <v>243</v>
      </c>
      <c r="T257" s="1569" t="s">
        <v>677</v>
      </c>
      <c r="U257" s="1570" t="s">
        <v>245</v>
      </c>
      <c r="V257" s="1571" t="s">
        <v>39</v>
      </c>
      <c r="W257" s="1537" t="s">
        <v>246</v>
      </c>
      <c r="BX257"/>
      <c r="BZ257" s="49"/>
    </row>
    <row r="258" spans="7:78" ht="15.75" thickBot="1" x14ac:dyDescent="0.3">
      <c r="H258" s="1534" t="str">
        <f>CONCATENATE("MOLDE ",G258)</f>
        <v xml:space="preserve">MOLDE </v>
      </c>
      <c r="I258" s="1535"/>
      <c r="J258" s="906" t="s">
        <v>43</v>
      </c>
      <c r="K258" s="1540"/>
      <c r="L258" s="1541"/>
      <c r="M258" s="1554"/>
      <c r="N258" s="1555"/>
      <c r="O258" s="1556"/>
      <c r="P258" s="1511"/>
      <c r="Q258" s="1555"/>
      <c r="R258" s="1556"/>
      <c r="S258" s="1568"/>
      <c r="T258" s="1569"/>
      <c r="U258" s="1570"/>
      <c r="V258" s="1571"/>
      <c r="W258" s="1537"/>
      <c r="BX258"/>
      <c r="BZ258" s="49"/>
    </row>
    <row r="259" spans="7:78" x14ac:dyDescent="0.25">
      <c r="G259">
        <f>G236+1</f>
        <v>27</v>
      </c>
      <c r="H259" s="351" t="s">
        <v>61</v>
      </c>
      <c r="I259" s="907" t="str">
        <f>IF(I255="NÃO", "TECIDO","ALÇA PRONTA")</f>
        <v>TECIDO</v>
      </c>
      <c r="J259" s="900">
        <f>IF(SUM(J260:J263)&lt;&gt;0,1,0)</f>
        <v>1</v>
      </c>
      <c r="K259" s="884" t="str">
        <f>Y21</f>
        <v>Alça ANNA B 30mm</v>
      </c>
      <c r="L259" s="1021" t="e">
        <f>IF(K259&lt;&gt;0,LOOKUP(K259,ListaDeEstoque[DESCRIÇÃO],ListaDeEstoque[Largura e Dimensões]),0)</f>
        <v>#N/A</v>
      </c>
      <c r="M259" s="1023" t="s">
        <v>722</v>
      </c>
      <c r="N259" s="883">
        <f>IF('NOME + Nº'!E62="SIM",IF((K259=Y21),Z21,(IF((K259=Y22),Z22,(IF((K259=Y23),Z23,(IF((K259=Y24),Z24,(IF((K259=Y25),Z25,(IF((K259=Y26),Z26))))))))))),IF((M259=X14),Z14,(IF((M259=X15),Z15,(IF((M259=X16),Z16,(IF((M259=X17),Z17,(IF((M259=X18),Z18,(IF((M259=X19),Z19,(IF((M259=X20),Z20,(IF((M259=X20),AA20))))))))))))))))</f>
        <v>49.9</v>
      </c>
      <c r="O259" s="1024">
        <f>IF((M259=X14),AA14,(IF((M259=X15),AA15,(IF((M259=X16),AA16,(IF((M259=X17),AA17,(IF((M259=X18),AA18,(IF((M259=X19),AA19,(IF((M259=X20),AA20)))))))))))))</f>
        <v>140</v>
      </c>
      <c r="P259" s="1023" t="s">
        <v>188</v>
      </c>
      <c r="Q259" s="883">
        <f>IF((P259=X14),Z14,(IF((P259=X15),Z15,(IF((P259=X16),Z16,(IF((P259=X17),Z17,(IF((P259=X18),Z18,(IF((P259=X19),Z19,(IF((P259=X20),Z20,(IF((P259=X20),AA20)))))))))))))))</f>
        <v>16</v>
      </c>
      <c r="R259" s="1024">
        <f>IF((P259=X14),AA14,(IF((P259=X15),AA15,(IF((P259=X16),AA16,(IF((P259=X17),AA17,(IF((P259=X18),AA18,(IF((P259=X19),AA19,(IF((P259=X20),AA20)))))))))))))</f>
        <v>75</v>
      </c>
      <c r="S259" s="1037">
        <f>(S260*K260*J260)+(S261*K261*J261)+(S262*K262*J262)+(S263*K263*J263)</f>
        <v>12.4</v>
      </c>
      <c r="T259" s="885">
        <f>2*Z42+2*Z37</f>
        <v>8</v>
      </c>
      <c r="U259" s="903">
        <f>IF(U260&lt;(J265*J259), INT(U260),(J265*J259))</f>
        <v>17</v>
      </c>
      <c r="V259" s="898">
        <f>IF(H259="NÃO",0,IF(Z40="NÃO",0,IF(I255="SIM",(N259*J259*S259/100)*I265,(N259*J259*(S259/100)/U259)*I265)))</f>
        <v>0.36397647058823529</v>
      </c>
      <c r="W259" s="904">
        <f>IF(I255="NÃO",U260*I265,0)</f>
        <v>17.5</v>
      </c>
      <c r="BX259"/>
      <c r="BZ259" s="49"/>
    </row>
    <row r="260" spans="7:78" x14ac:dyDescent="0.25">
      <c r="H260" s="438">
        <v>1</v>
      </c>
      <c r="I260" s="885" t="s">
        <v>919</v>
      </c>
      <c r="J260" s="885">
        <v>1</v>
      </c>
      <c r="K260" s="901">
        <f>IF(K259="SEM equivalência",0,IF(H259="NÃO",0,IF(J260&gt;0,1,0)))</f>
        <v>1</v>
      </c>
      <c r="L260" s="1022"/>
      <c r="M260" s="1025"/>
      <c r="N260" s="902"/>
      <c r="O260" s="1026"/>
      <c r="P260" s="1041" t="s">
        <v>61</v>
      </c>
      <c r="Q260" s="901">
        <f>IF(P260="SIM",1,0)</f>
        <v>1</v>
      </c>
      <c r="R260" s="1042"/>
      <c r="S260" s="1038">
        <f>Z33+2*Z38+1</f>
        <v>12.4</v>
      </c>
      <c r="T260" s="131">
        <f>IF((R259/(T259))&lt;(J265*J259), INT(R259/(T259)),(J265*J259))</f>
        <v>9</v>
      </c>
      <c r="U260" s="9">
        <f>O259/(T259)</f>
        <v>17.5</v>
      </c>
      <c r="V260" s="899">
        <f>IF(P260="NÃO",0,IF(H259="NÃO",0,IF(Z40="NÃO",0,IF(I255="SIM",(Q259*J260*S260/100)*I265,IF(J260=0,0,(Q259*J260*(S260/100)/T260)*I265)))))</f>
        <v>0.22044444444444444</v>
      </c>
      <c r="BX260"/>
      <c r="BZ260" s="49"/>
    </row>
    <row r="261" spans="7:78" x14ac:dyDescent="0.25">
      <c r="H261" s="439">
        <v>2</v>
      </c>
      <c r="I261" s="885"/>
      <c r="J261" s="885"/>
      <c r="K261" s="886">
        <f>IF(K259="SEM equivalência",0,IF(H259="NÃO",0,IF(J261&gt;0,1,0)))</f>
        <v>0</v>
      </c>
      <c r="L261" s="897"/>
      <c r="M261" s="1027"/>
      <c r="N261" s="887"/>
      <c r="O261" s="1028"/>
      <c r="P261" s="1043" t="s">
        <v>189</v>
      </c>
      <c r="Q261" s="886">
        <f t="shared" ref="Q261:Q263" si="180">IF(P261="SIM",1,0)</f>
        <v>0</v>
      </c>
      <c r="R261" s="1028"/>
      <c r="S261" s="1039"/>
      <c r="T261" s="131">
        <f>(S260*Q260*J260)+(S261*Q261*J261)+(S262*Q262*J262)+(S263*Q263*J263)</f>
        <v>12.4</v>
      </c>
      <c r="U261" s="131">
        <f>IF(I255="NÃO",IF(H259="NÃO",0,((J265*S259/(U259/J259))/100)),0)</f>
        <v>0.14588235294117646</v>
      </c>
      <c r="V261" s="899">
        <f>IF(P261="NÃO",0,IF(H259="NÃO",0,IF(Z40="NÃO",0,IF(I255="SIM",(Q259*J261*S261/100)*I265,IF(J261=0,0,(Q259*J261*(S261/100)/T260)*I265)))))</f>
        <v>0</v>
      </c>
      <c r="BX261"/>
      <c r="BZ261" s="49"/>
    </row>
    <row r="262" spans="7:78" x14ac:dyDescent="0.25">
      <c r="H262" s="439">
        <v>3</v>
      </c>
      <c r="I262" s="885"/>
      <c r="J262" s="885"/>
      <c r="K262" s="886">
        <f>IF(K259="SEM equivalência",0,IF(H259="NÃO",0,IF(J262&gt;0,1,0)))</f>
        <v>0</v>
      </c>
      <c r="L262" s="897"/>
      <c r="M262" s="1027"/>
      <c r="N262" s="887"/>
      <c r="O262" s="1028"/>
      <c r="P262" s="1043" t="s">
        <v>189</v>
      </c>
      <c r="Q262" s="886">
        <f t="shared" si="180"/>
        <v>0</v>
      </c>
      <c r="R262" s="1028"/>
      <c r="S262" s="1039"/>
      <c r="T262" s="1002">
        <f>IF(SUM(V260:V263)&gt;0,((J265*T261/(T260/J259))/100),0)</f>
        <v>0.27555555555555555</v>
      </c>
      <c r="V262" s="899">
        <f>IF(P262="NÃO",0,IF(H259="NÃO",0,IF(Z40="NÃO",0,IF(I255="SIM",(Q259*J262*S262/100)*I265,IF(J262=0,0,(Q259*J262*(S262/100)/T260)*I265)))))</f>
        <v>0</v>
      </c>
      <c r="BX262"/>
      <c r="BZ262" s="49"/>
    </row>
    <row r="263" spans="7:78" ht="15.75" thickBot="1" x14ac:dyDescent="0.3">
      <c r="H263" s="439">
        <v>4</v>
      </c>
      <c r="I263" s="885"/>
      <c r="J263" s="885"/>
      <c r="K263" s="886">
        <f>IF(K259="SEM equivalência",0,IF(H259="NÃO",0,IF(J263&gt;0,1,0)))</f>
        <v>0</v>
      </c>
      <c r="L263" s="897"/>
      <c r="M263" s="1029"/>
      <c r="N263" s="1030"/>
      <c r="O263" s="1031"/>
      <c r="P263" s="1044" t="s">
        <v>189</v>
      </c>
      <c r="Q263" s="1045">
        <f t="shared" si="180"/>
        <v>0</v>
      </c>
      <c r="R263" s="1031"/>
      <c r="S263" s="1039"/>
      <c r="T263"/>
      <c r="V263" s="899">
        <f>IF(P263="NÃO",0,IF(H259="NÃO",0,IF(Z40="NÃO",0,IF(I255="SIM",(Q259*J263*S263/100)*I265,IF(J263=0,0,(Q259*J263*(S263/100)/T260)*I265)))))</f>
        <v>0</v>
      </c>
      <c r="BX263"/>
      <c r="BZ263" s="49"/>
    </row>
    <row r="264" spans="7:78" x14ac:dyDescent="0.25">
      <c r="H264" s="557" t="s">
        <v>724</v>
      </c>
      <c r="I264" s="1651"/>
      <c r="J264" s="1651"/>
      <c r="K264" s="1651"/>
      <c r="L264" s="1651"/>
      <c r="M264" s="1651"/>
      <c r="N264" s="1651"/>
      <c r="O264" s="1651"/>
      <c r="P264" s="1651"/>
      <c r="Q264" s="1651"/>
      <c r="R264" s="1651"/>
      <c r="S264" s="1651"/>
      <c r="T264" s="1652"/>
      <c r="U264" s="1652"/>
      <c r="V264" s="1651"/>
      <c r="W264" s="1652"/>
      <c r="BX264"/>
      <c r="BZ264" s="49"/>
    </row>
    <row r="265" spans="7:78" ht="18" thickBot="1" x14ac:dyDescent="0.35">
      <c r="H265" s="20"/>
      <c r="I265" s="10" t="str">
        <f>IF(H259="SIM","1","0")</f>
        <v>1</v>
      </c>
      <c r="J265" s="457">
        <f>J8</f>
        <v>20</v>
      </c>
      <c r="L265" s="454"/>
      <c r="N265" s="22"/>
      <c r="O265" s="455"/>
      <c r="S265" s="889"/>
      <c r="T265" s="454"/>
      <c r="U265" s="456"/>
      <c r="V265" s="23"/>
      <c r="W265" s="35"/>
      <c r="BX265"/>
      <c r="BZ265" s="49"/>
    </row>
    <row r="266" spans="7:78" x14ac:dyDescent="0.25">
      <c r="G266">
        <f>G259+1</f>
        <v>28</v>
      </c>
      <c r="H266" s="888" t="s">
        <v>61</v>
      </c>
      <c r="I266" s="890" t="str">
        <f>IF(I255="NÃO", "TECIDO","ALÇA PRONTA")</f>
        <v>TECIDO</v>
      </c>
      <c r="J266" s="884">
        <f>IF(SUM(J267:J270)&lt;&gt;0,1,0)</f>
        <v>1</v>
      </c>
      <c r="K266" s="884" t="str">
        <f>IF(Y22&lt;&gt;0,Y22,"SEM equivalência")</f>
        <v>SEM equivalência</v>
      </c>
      <c r="L266" s="1021">
        <f>IF(K266&lt;&gt;0,LOOKUP(K266,ListaDeEstoque[DESCRIÇÃO],ListaDeEstoque[Largura e Dimensões]),0)</f>
        <v>140</v>
      </c>
      <c r="M266" s="1032" t="s">
        <v>722</v>
      </c>
      <c r="N266" s="1033">
        <f>IF('NOME + Nº'!E62="SIM",IF((K266=Y21),Z21,(IF((K266=Y22),Z22,(IF((K266=Y23),Z23,(IF((K266=Y24),Z24,(IF((K266=Y25),Z25,(IF((K266=Y26),Z26,0))))))))))),IF((M266=X14),Z14,(IF((M266=X15),Z15,(IF((M266=X16),Z16,(IF((M266=X17),Z17,(IF((M266=X18),Z18,(IF((M266=X19),Z19,(IF((M266=X20),Z20,(IF((M266=X20),AA20))))))))))))))))</f>
        <v>49.9</v>
      </c>
      <c r="O266" s="1034">
        <f>IF((M266=X14),AA14,(IF((M266=X15),AA15,(IF((M266=X16),AA16,(IF((M266=X17),AA17,(IF((M266=X18),AA18,(IF((M266=X19),AA19)))))))))))</f>
        <v>140</v>
      </c>
      <c r="P266" s="1032" t="s">
        <v>188</v>
      </c>
      <c r="Q266" s="1033">
        <f>IF((P266=X14),Z14,(IF((P266=X15),Z15,(IF((P266=X16),Z16,(IF((P266=X17),Z17,(IF((P266=X18),Z18,(IF((P266=X19),Z19,(IF((P266=X20),Z20,(IF((P266=X20),AA20)))))))))))))))</f>
        <v>16</v>
      </c>
      <c r="R266" s="1046">
        <f>IF((P266=X14),AA14,(IF((P266=X15),AA15,(IF((P266=X16),AA16,(IF((P266=X17),AA17,(IF((P266=X18),AA18,(IF((P266=X19),AA19,(IF((P259=X20),AA20)))))))))))))</f>
        <v>75</v>
      </c>
      <c r="S266" s="1037">
        <f>(S267*K267*J267)+(S268*K268*J268)+(S269*K269*J269)+(S270*K270*J270)</f>
        <v>0</v>
      </c>
      <c r="T266" s="896">
        <v>4</v>
      </c>
      <c r="U266" s="891">
        <f>IF(U267&lt;(J272*J266), INT(U267),(J272*J266))</f>
        <v>20</v>
      </c>
      <c r="V266" s="387">
        <f>IF(H266="NÃO",0,IF(Z40="NÃO",0,IF(I255="SIM",(N266*J266*S266/100)*I272,(N266*J266*(S266/100)/U266)*I272)))</f>
        <v>0</v>
      </c>
      <c r="W266" s="390">
        <f>IF(I255="NÃO",U267*I272,0)</f>
        <v>35</v>
      </c>
      <c r="BX266"/>
      <c r="BZ266" s="49"/>
    </row>
    <row r="267" spans="7:78" x14ac:dyDescent="0.25">
      <c r="H267" s="438">
        <v>1</v>
      </c>
      <c r="I267" s="885" t="s">
        <v>920</v>
      </c>
      <c r="J267" s="885">
        <v>1</v>
      </c>
      <c r="K267" s="886">
        <f>IF(K266="SEM equivalência",0,IF(H266="NÃO",0,IF(J267&gt;0,1,0)))</f>
        <v>0</v>
      </c>
      <c r="L267" s="897"/>
      <c r="M267" s="1027"/>
      <c r="N267" s="887"/>
      <c r="O267" s="1028"/>
      <c r="P267" s="1043" t="s">
        <v>61</v>
      </c>
      <c r="Q267" s="901">
        <f>IF(P267="SIM",1,0)</f>
        <v>1</v>
      </c>
      <c r="R267" s="1047"/>
      <c r="S267" s="1056">
        <f>Q20+1</f>
        <v>16.5</v>
      </c>
      <c r="T267" s="131">
        <f>IF((R266/(T266))&lt;(J272*J266), INT(R266/(T266)),(J272*J266))</f>
        <v>18</v>
      </c>
      <c r="U267" s="895">
        <f>O266/(T266)</f>
        <v>35</v>
      </c>
      <c r="V267" s="899">
        <f>IF(P267="NÃO",0,IF(H266="NÃO",0,IF(Z47="NÃO",0,IF(I255="SIM",(Q266*J267*S267/100)*I272,IF(J267=0,0,(Q266*J267*(S267/100)/T267)*I272)))))</f>
        <v>0.14666666666666667</v>
      </c>
      <c r="BX267"/>
      <c r="BZ267" s="49"/>
    </row>
    <row r="268" spans="7:78" x14ac:dyDescent="0.25">
      <c r="H268" s="439">
        <v>2</v>
      </c>
      <c r="I268" s="885"/>
      <c r="J268" s="885"/>
      <c r="K268" s="886">
        <f>IF(K266="SEM equivalência",0,IF(H266="NÃO",0,IF(J268&gt;0,1,0)))</f>
        <v>0</v>
      </c>
      <c r="L268" s="897"/>
      <c r="M268" s="1027"/>
      <c r="N268" s="887"/>
      <c r="O268" s="1028"/>
      <c r="P268" s="1043" t="s">
        <v>189</v>
      </c>
      <c r="Q268" s="886">
        <f t="shared" ref="Q268:Q270" si="181">IF(P268="SIM",1,0)</f>
        <v>0</v>
      </c>
      <c r="R268" s="1028"/>
      <c r="S268" s="1040"/>
      <c r="T268" s="131">
        <f>(S267*Q267*J267)+(S268*Q268*J268)+(S269*Q269*J269)+(S270*Q270*J270)</f>
        <v>16.5</v>
      </c>
      <c r="U268" s="892">
        <f>IF(I255="NÃO",IF(H266="NÃO",0,((J272*S266/(U266/J266))/100)),0)</f>
        <v>0</v>
      </c>
      <c r="V268" s="899">
        <f>IF(P268="NÃO",0,IF(H266="NÃO",0,IF(Z47="NÃO",0,IF(I255="SIM",(Q266*J268*S268/100)*I272,IF(J268=0,0,(Q266*J268*(S268/100)/T267)*I272)))))</f>
        <v>0</v>
      </c>
      <c r="BX268"/>
      <c r="BZ268" s="49"/>
    </row>
    <row r="269" spans="7:78" x14ac:dyDescent="0.25">
      <c r="H269" s="439">
        <v>3</v>
      </c>
      <c r="I269" s="885"/>
      <c r="J269" s="885"/>
      <c r="K269" s="886">
        <f>IF(K266="SEM equivalência",0,IF(H266="NÃO",0,IF(J269&gt;0,1,0)))</f>
        <v>0</v>
      </c>
      <c r="L269" s="897"/>
      <c r="M269" s="1027"/>
      <c r="N269" s="887"/>
      <c r="O269" s="1028"/>
      <c r="P269" s="1043" t="s">
        <v>189</v>
      </c>
      <c r="Q269" s="886">
        <f t="shared" si="181"/>
        <v>0</v>
      </c>
      <c r="R269" s="1028"/>
      <c r="S269" s="1040"/>
      <c r="T269" s="1002">
        <f>IF(SUM(V267:V270)&gt;0,((J272*T268/(T267/J266))/100),0)</f>
        <v>0.18333333333333332</v>
      </c>
      <c r="V269" s="899">
        <f>IF(P269="NÃO",0,IF(H266="NÃO",0,IF(Z47="NÃO",0,IF(I255="SIM",(Q266*J269*S269/100)*I272,IF(J269=0,0,(Q266*J269*(S269/100)/T267)*I272)))))</f>
        <v>0</v>
      </c>
      <c r="BX269"/>
      <c r="BZ269" s="49"/>
    </row>
    <row r="270" spans="7:78" ht="15.75" thickBot="1" x14ac:dyDescent="0.3">
      <c r="H270" s="439">
        <v>4</v>
      </c>
      <c r="I270" s="885"/>
      <c r="J270" s="885"/>
      <c r="K270" s="886">
        <f>IF(K266="SEM equivalência",0,IF(H266="NÃO",0,IF(J270&gt;0,1,0)))</f>
        <v>0</v>
      </c>
      <c r="L270" s="897"/>
      <c r="M270" s="1029"/>
      <c r="N270" s="1030"/>
      <c r="O270" s="1031"/>
      <c r="P270" s="1044" t="s">
        <v>189</v>
      </c>
      <c r="Q270" s="1045">
        <f t="shared" si="181"/>
        <v>0</v>
      </c>
      <c r="R270" s="1031"/>
      <c r="S270" s="1039"/>
      <c r="T270" s="894"/>
      <c r="U270" s="893"/>
      <c r="V270" s="899">
        <f>IF(P270="NÃO",0,IF(H266="NÃO",0,IF(Z47="NÃO",0,IF(I255="SIM",(Q266*J270*S270/100)*I272,IF(J270=0,0,(Q266*J270*(S270/100)/T267)*I272)))))</f>
        <v>0</v>
      </c>
      <c r="BX270"/>
      <c r="BZ270" s="49"/>
    </row>
    <row r="271" spans="7:78" x14ac:dyDescent="0.25">
      <c r="H271" s="557" t="s">
        <v>724</v>
      </c>
      <c r="I271" s="1651"/>
      <c r="J271" s="1651"/>
      <c r="K271" s="1651"/>
      <c r="L271" s="1651"/>
      <c r="M271" s="1651"/>
      <c r="N271" s="1651"/>
      <c r="O271" s="1651"/>
      <c r="P271" s="1651"/>
      <c r="Q271" s="1651"/>
      <c r="R271" s="1651"/>
      <c r="S271" s="1651"/>
      <c r="T271" s="1652"/>
      <c r="U271" s="1652"/>
      <c r="V271" s="1652"/>
      <c r="W271" s="1652"/>
      <c r="BX271"/>
      <c r="BZ271" s="49"/>
    </row>
    <row r="272" spans="7:78" ht="18" thickBot="1" x14ac:dyDescent="0.35">
      <c r="H272" s="20"/>
      <c r="I272" s="10" t="str">
        <f>IF(H266="SIM","1","0")</f>
        <v>1</v>
      </c>
      <c r="J272" s="457">
        <f>J265</f>
        <v>20</v>
      </c>
      <c r="L272" s="454"/>
      <c r="N272" s="22"/>
      <c r="O272" s="455"/>
      <c r="T272" s="454"/>
      <c r="U272" s="456"/>
      <c r="V272" s="23"/>
      <c r="W272" s="35"/>
      <c r="BX272"/>
      <c r="BZ272" s="49"/>
    </row>
    <row r="273" spans="7:78" x14ac:dyDescent="0.25">
      <c r="G273">
        <f>G266+1</f>
        <v>29</v>
      </c>
      <c r="H273" s="888" t="s">
        <v>189</v>
      </c>
      <c r="I273" s="890" t="str">
        <f>IF(I255="NÃO", "TECIDO","ALÇA PRONTA")</f>
        <v>TECIDO</v>
      </c>
      <c r="J273" s="884">
        <f>IF(SUM(J274:J277)&lt;&gt;0,1,0)</f>
        <v>1</v>
      </c>
      <c r="K273" s="884" t="str">
        <f>IF(Y23&lt;&gt;0,Y23,"SEM equivalência")</f>
        <v>SEM equivalência</v>
      </c>
      <c r="L273" s="1021">
        <f>IF(K273&lt;&gt;0,LOOKUP(K273,ListaDeEstoque[DESCRIÇÃO],ListaDeEstoque[Largura e Dimensões]),0)</f>
        <v>140</v>
      </c>
      <c r="M273" s="1035" t="s">
        <v>717</v>
      </c>
      <c r="N273" s="1036">
        <f>IF('NOME + Nº'!E62="SIM",IF((K273=Y21),Z21,(IF((K273=Y22),Z22,(IF((K273=Y23),Z23,(IF((K273=Y24),Z24,(IF((K273=Y25),Z25,(IF((K273=Y26),Z26,0))))))))))),IF((M273=X14),Z14,(IF((M273=X15),Z15,(IF((M273=X16),Z16,(IF((M273=X17),Z17,(IF((M273=X18),Z18,(IF((M273=X19),Z19,(IF((M273=X20),Z20,(IF((M273=X20),AA20))))))))))))))))</f>
        <v>19.899999999999999</v>
      </c>
      <c r="O273" s="1034">
        <f>IF((M273=X14),AA14,(IF((M273=X15),AA15,(IF((M273=X16),AA16,(IF((M273=X17),AA17,(IF((M273=X18),AA18,(IF((M273=X19),AA19)))))))))))</f>
        <v>140</v>
      </c>
      <c r="P273" s="1032" t="s">
        <v>188</v>
      </c>
      <c r="Q273" s="1033">
        <f>IF((P273=X14),Z14,(IF((P273=X15),Z15,(IF((P273=X16),Z16,(IF((P273=X17),Z17,(IF((P273=X18),Z18,(IF((P273=X19),Z19,(IF((P273=X20),Z20,(IF((P273=X20),AA20)))))))))))))))</f>
        <v>16</v>
      </c>
      <c r="R273" s="1046">
        <f>IF((P273=X14),AA14,(IF((P273=X15),AA15,(IF((P273=X16),AA16,(IF((P273=X17),AA17,(IF((P273=X18),AA18,(IF((P273=X19),AA19,(IF((P259=X20),AA20)))))))))))))</f>
        <v>75</v>
      </c>
      <c r="S273" s="1037">
        <f>(S274*K274*J274)+(S275*K275*J275)+(S276*K276*J276)+(S277*K277*J277)</f>
        <v>0</v>
      </c>
      <c r="T273" s="896">
        <v>8</v>
      </c>
      <c r="U273" s="891">
        <f>IF(U274&lt;(J279*J273), INT(U274),(J279*J273))</f>
        <v>17</v>
      </c>
      <c r="V273" s="387">
        <f>IF(H273="NÃO",0,IF(Z40="NÃO",0,IF(I255="SIM",(N273*J273*S273/100)*I279,(N273*J273*(S273/100)/U273)*I279)))</f>
        <v>0</v>
      </c>
      <c r="W273" s="390">
        <f>IF(I255="NÃO",U274*I279,0)</f>
        <v>0</v>
      </c>
      <c r="BX273"/>
      <c r="BZ273" s="49"/>
    </row>
    <row r="274" spans="7:78" x14ac:dyDescent="0.25">
      <c r="H274" s="438">
        <v>1</v>
      </c>
      <c r="I274" s="885" t="s">
        <v>672</v>
      </c>
      <c r="J274" s="885">
        <v>2</v>
      </c>
      <c r="K274" s="886">
        <f>IF(K273="SEM equivalência",0,IF(H273="NÃO",0,IF(J274&gt;0,1,0)))</f>
        <v>0</v>
      </c>
      <c r="L274" s="897"/>
      <c r="M274" s="1027"/>
      <c r="N274" s="887"/>
      <c r="O274" s="1028"/>
      <c r="P274" s="1043" t="s">
        <v>189</v>
      </c>
      <c r="Q274" s="901">
        <f>IF(P274="SIM",1,0)</f>
        <v>0</v>
      </c>
      <c r="R274" s="1047"/>
      <c r="S274" s="1040">
        <v>10</v>
      </c>
      <c r="T274" s="131">
        <f>IF((R273/(T273))&lt;(J279*J273), INT(R273/(T273)),(J279*J273))</f>
        <v>9</v>
      </c>
      <c r="U274" s="895">
        <f>O273/(T273)</f>
        <v>17.5</v>
      </c>
      <c r="V274" s="899">
        <f>IF(P274="NÃO",0,IF(H273="NÃO",0,IF(Z54="NÃO",0,IF(I255="SIM",(Q273*J274*S274/100)*I279,IF(J274=0,0,(Q273*J274*(S274/100)/T274)*I279)))))</f>
        <v>0</v>
      </c>
      <c r="BX274"/>
      <c r="BZ274" s="49"/>
    </row>
    <row r="275" spans="7:78" x14ac:dyDescent="0.25">
      <c r="H275" s="439">
        <v>2</v>
      </c>
      <c r="I275" s="885" t="s">
        <v>672</v>
      </c>
      <c r="J275" s="885">
        <v>2</v>
      </c>
      <c r="K275" s="886">
        <f>IF(K273="SEM equivalência",0,IF(H273="NÃO",0,IF(J275&gt;0,1,0)))</f>
        <v>0</v>
      </c>
      <c r="L275" s="897"/>
      <c r="M275" s="1027"/>
      <c r="N275" s="887"/>
      <c r="O275" s="1028"/>
      <c r="P275" s="1043" t="s">
        <v>189</v>
      </c>
      <c r="Q275" s="886">
        <f t="shared" ref="Q275:Q277" si="182">IF(P275="SIM",1,0)</f>
        <v>0</v>
      </c>
      <c r="R275" s="1028"/>
      <c r="S275" s="1040">
        <v>15</v>
      </c>
      <c r="T275" s="131">
        <f>(S274*Q274*J274)+(S275*Q275*J275)+(S276*Q276*J276)+(S277*Q277*J277)</f>
        <v>7</v>
      </c>
      <c r="U275" s="892">
        <f>IF(I255="NÃO",IF(H273="NÃO",0,((J279*S273/(U273/J273))/100)),0)</f>
        <v>0</v>
      </c>
      <c r="V275" s="899">
        <f>IF(P275="NÃO",0,IF(H273="NÃO",0,IF(Z54="NÃO",0,IF(I255="SIM",(Q273*J275*S275/100)*I279,IF(J275=0,0,(Q273*J275*(S275/100)/T274)*I279)))))</f>
        <v>0</v>
      </c>
      <c r="BX275"/>
      <c r="BZ275" s="49"/>
    </row>
    <row r="276" spans="7:78" x14ac:dyDescent="0.25">
      <c r="H276" s="439">
        <v>3</v>
      </c>
      <c r="I276" s="885" t="s">
        <v>672</v>
      </c>
      <c r="J276" s="885">
        <v>1</v>
      </c>
      <c r="K276" s="886">
        <f>IF(K273="SEM equivalência",0,IF(H273="NÃO",0,IF(J276&gt;0,1,0)))</f>
        <v>0</v>
      </c>
      <c r="L276" s="897"/>
      <c r="M276" s="1027"/>
      <c r="N276" s="887"/>
      <c r="O276" s="1028"/>
      <c r="P276" s="1043" t="s">
        <v>189</v>
      </c>
      <c r="Q276" s="886">
        <f t="shared" si="182"/>
        <v>0</v>
      </c>
      <c r="R276" s="1028"/>
      <c r="S276" s="1040">
        <v>10</v>
      </c>
      <c r="T276" s="1002">
        <f>IF(SUM(V274:V277)&gt;0,((J279*T275/(T274/J273))/100),0)</f>
        <v>0</v>
      </c>
      <c r="V276" s="899">
        <f>IF(P276="NÃO",0,IF(H273="NÃO",0,IF(Z54="NÃO",0,IF(I255="SIM",(Q273*J276*S276/100)*I279,IF(J276=0,0,(Q273*J276*(S276/100)/T274)*I279)))))</f>
        <v>0</v>
      </c>
      <c r="BX276"/>
      <c r="BZ276" s="49"/>
    </row>
    <row r="277" spans="7:78" ht="15.75" thickBot="1" x14ac:dyDescent="0.3">
      <c r="H277" s="439">
        <v>4</v>
      </c>
      <c r="I277" s="885" t="s">
        <v>672</v>
      </c>
      <c r="J277" s="885">
        <v>1</v>
      </c>
      <c r="K277" s="886">
        <f>IF(K273="SEM equivalência",0,IF(H273="NÃO",0,IF(J277&gt;0,1,0)))</f>
        <v>0</v>
      </c>
      <c r="L277" s="897"/>
      <c r="M277" s="1029"/>
      <c r="N277" s="1030"/>
      <c r="O277" s="1031"/>
      <c r="P277" s="1044" t="s">
        <v>61</v>
      </c>
      <c r="Q277" s="1045">
        <f t="shared" si="182"/>
        <v>1</v>
      </c>
      <c r="R277" s="1031"/>
      <c r="S277" s="1040">
        <v>7</v>
      </c>
      <c r="T277" s="894"/>
      <c r="U277" s="893"/>
      <c r="V277" s="899">
        <f>IF(P277="NÃO",0,IF(H273="NÃO",0,IF(Z54="NÃO",0,IF(I255="SIM",(Q273*J277*S277/100)*I279,IF(J277=0,0,(Q273*J277*(S277/100)/T274)*I279)))))</f>
        <v>0</v>
      </c>
      <c r="BX277"/>
      <c r="BZ277" s="49"/>
    </row>
    <row r="278" spans="7:78" x14ac:dyDescent="0.25">
      <c r="H278" s="557" t="s">
        <v>724</v>
      </c>
      <c r="I278" s="1651" t="s">
        <v>915</v>
      </c>
      <c r="J278" s="1651"/>
      <c r="K278" s="1651"/>
      <c r="L278" s="1651"/>
      <c r="M278" s="1651"/>
      <c r="N278" s="1651"/>
      <c r="O278" s="1651"/>
      <c r="P278" s="1651"/>
      <c r="Q278" s="1651"/>
      <c r="R278" s="1651"/>
      <c r="S278" s="1651"/>
      <c r="T278" s="1651"/>
      <c r="U278" s="1651"/>
      <c r="V278" s="1652"/>
      <c r="W278" s="1652"/>
      <c r="BX278"/>
      <c r="BZ278" s="49"/>
    </row>
    <row r="279" spans="7:78" ht="18" thickBot="1" x14ac:dyDescent="0.35">
      <c r="H279" s="20"/>
      <c r="I279" s="10" t="str">
        <f>IF(H273="SIM","1","0")</f>
        <v>0</v>
      </c>
      <c r="J279" s="457">
        <f>J272</f>
        <v>20</v>
      </c>
      <c r="L279" s="454"/>
      <c r="N279" s="22"/>
      <c r="O279" s="455"/>
      <c r="T279" s="454"/>
      <c r="U279" s="456"/>
      <c r="V279" s="23"/>
      <c r="W279" s="35"/>
      <c r="BX279"/>
      <c r="BZ279" s="49"/>
    </row>
    <row r="280" spans="7:78" x14ac:dyDescent="0.25">
      <c r="G280">
        <f t="shared" ref="G280" si="183">G273+1</f>
        <v>30</v>
      </c>
      <c r="H280" s="888" t="s">
        <v>189</v>
      </c>
      <c r="I280" s="890" t="str">
        <f>IF(I255="NÃO", "TECIDO","ALÇA PRONTA")</f>
        <v>TECIDO</v>
      </c>
      <c r="J280" s="884">
        <f>IF(SUM(J281:J284)&lt;&gt;0,1,0)</f>
        <v>1</v>
      </c>
      <c r="K280" s="884" t="str">
        <f>IF(Y24&lt;&gt;0,Y24,"SEM equivalência")</f>
        <v>SEM equivalência</v>
      </c>
      <c r="L280" s="1021">
        <f>IF(K280&lt;&gt;0,LOOKUP(K280,ListaDeEstoque[DESCRIÇÃO],ListaDeEstoque[Largura e Dimensões]),0)</f>
        <v>140</v>
      </c>
      <c r="M280" s="1035" t="s">
        <v>722</v>
      </c>
      <c r="N280" s="1036">
        <f>IF('NOME + Nº'!E62="SIM",IF((K280=Y21),Z21,(IF((K280=Y22),Z22,(IF((K280=Y23),Z23,(IF((K280=Y24),Z24,(IF((K280=Y25),Z25,(IF((K280=Y26),Z26,0))))))))))),IF((M280=X14),Z14,(IF((M280=X15),Z15,(IF((M280=X16),Z16,(IF((M280=X17),Z17,(IF((M280=X18),Z18,(IF((M280=X19),Z19,(IF((M280=X20),Z20,(IF((M280=X20),AA20))))))))))))))))</f>
        <v>49.9</v>
      </c>
      <c r="O280" s="1034">
        <f>IF((M280=X14),AA14,(IF((M280=X15),AA15,(IF((M280=X16),AA16,(IF((M280=X17),AA17,(IF((M280=X18),AA18,(IF((M280=X19),AA19)))))))))))</f>
        <v>140</v>
      </c>
      <c r="P280" s="1032" t="s">
        <v>188</v>
      </c>
      <c r="Q280" s="1033">
        <f>IF((P280=X14),Z14,(IF((P280=X15),Z15,(IF((P280=X16),Z16,(IF((P280=X17),Z17,(IF((P280=X18),Z18,(IF((P280=X19),Z19,(IF((P280=X20),Z20,(IF((P280=X20),AA20)))))))))))))))</f>
        <v>16</v>
      </c>
      <c r="R280" s="1046">
        <f>IF((P280=X14),AA14,(IF((P280=X15),AA15,(IF((P280=X16),AA16,(IF((P280=X17),AA17,(IF((P280=X18),AA18,(IF((P280=X19),AA19,(IF((P259=X20),AA20)))))))))))))</f>
        <v>75</v>
      </c>
      <c r="S280" s="1037">
        <f>(S281*K281*J281)+(S282*K282*J282)+(S283*K283*J283)+(S284*K284*J284)</f>
        <v>0</v>
      </c>
      <c r="T280" s="896">
        <v>12.4</v>
      </c>
      <c r="U280" s="891">
        <f>IF(U281&lt;(J286*J280), INT(U281),(J286*J280))</f>
        <v>11</v>
      </c>
      <c r="V280" s="387">
        <f>IF(H280="NÃO",0,IF(Z40="NÃO",0,IF(I255="SIM",(N280*J280*S280/100)*I286,(N280*J280*(S280/100)/U280)*I286)))</f>
        <v>0</v>
      </c>
      <c r="W280" s="390">
        <f>IF(I255="NÃO",U281*I286,0)</f>
        <v>0</v>
      </c>
      <c r="BX280"/>
      <c r="BZ280" s="49"/>
    </row>
    <row r="281" spans="7:78" x14ac:dyDescent="0.25">
      <c r="H281" s="438">
        <v>1</v>
      </c>
      <c r="I281" s="885" t="s">
        <v>672</v>
      </c>
      <c r="J281" s="885">
        <v>1</v>
      </c>
      <c r="K281" s="886">
        <f>IF(K280="SEM equivalência",0,IF(H280="NÃO",0,IF(J281&gt;0,1,0)))</f>
        <v>0</v>
      </c>
      <c r="L281" s="897"/>
      <c r="M281" s="1027"/>
      <c r="N281" s="887"/>
      <c r="O281" s="1028"/>
      <c r="P281" s="1043" t="s">
        <v>61</v>
      </c>
      <c r="Q281" s="901">
        <f>IF(P281="SIM",1,0)</f>
        <v>1</v>
      </c>
      <c r="R281" s="1047"/>
      <c r="S281" s="1040">
        <v>50</v>
      </c>
      <c r="T281" s="131">
        <f>IF((R280/(T280))&lt;(J286*J280), INT(R280/(T280)),(J286*J280))</f>
        <v>6</v>
      </c>
      <c r="U281" s="895">
        <f>O280/(T280)</f>
        <v>11.29032258064516</v>
      </c>
      <c r="V281" s="899">
        <f>IF(P281="NÃO",0,IF(H280="NÃO",0,IF(Z61="NÃO",0,IF(I255="SIM",(Q280*J281*S281/100)*I286,IF(J281=0,0,(Q280*J281*(S281/100)/T281)*I286)))))</f>
        <v>0</v>
      </c>
      <c r="BX281"/>
      <c r="BZ281" s="49"/>
    </row>
    <row r="282" spans="7:78" x14ac:dyDescent="0.25">
      <c r="H282" s="439">
        <v>2</v>
      </c>
      <c r="I282" s="885" t="s">
        <v>672</v>
      </c>
      <c r="J282" s="885">
        <v>1</v>
      </c>
      <c r="K282" s="886">
        <f>IF(K280="SEM equivalência",0,IF(H280="NÃO",0,IF(J282&gt;0,1,0)))</f>
        <v>0</v>
      </c>
      <c r="L282" s="897"/>
      <c r="M282" s="1027"/>
      <c r="N282" s="887"/>
      <c r="O282" s="1028"/>
      <c r="P282" s="1043" t="s">
        <v>61</v>
      </c>
      <c r="Q282" s="886">
        <f t="shared" ref="Q282:Q284" si="184">IF(P282="SIM",1,0)</f>
        <v>1</v>
      </c>
      <c r="R282" s="1028"/>
      <c r="S282" s="1040">
        <v>40</v>
      </c>
      <c r="T282" s="131">
        <f>(S281*Q281*J281)+(S282*Q282*J282)+(S283*Q283*J283)+(S284*Q284*J284)</f>
        <v>120</v>
      </c>
      <c r="U282" s="892">
        <f>IF(I255="NÃO",IF(H280="NÃO",0,((J286*S280/(U280/J280))/100)),0)</f>
        <v>0</v>
      </c>
      <c r="V282" s="899">
        <f>IF(P282="NÃO",0,IF(H280="NÃO",0,IF(Z61="NÃO",0,IF(I255="SIM",(Q280*J282*S282/100)*I286,IF(J282=0,0,(Q280*J282*(S282/100)/T281)*I286)))))</f>
        <v>0</v>
      </c>
      <c r="BX282"/>
      <c r="BZ282" s="49"/>
    </row>
    <row r="283" spans="7:78" x14ac:dyDescent="0.25">
      <c r="H283" s="439">
        <v>3</v>
      </c>
      <c r="I283" s="885" t="s">
        <v>672</v>
      </c>
      <c r="J283" s="885">
        <v>1</v>
      </c>
      <c r="K283" s="886">
        <f>IF(K280="SEM equivalência",0,IF(H280="NÃO",0,IF(J283&gt;0,1,0)))</f>
        <v>0</v>
      </c>
      <c r="L283" s="897"/>
      <c r="M283" s="1027"/>
      <c r="N283" s="887"/>
      <c r="O283" s="1028"/>
      <c r="P283" s="1043" t="s">
        <v>61</v>
      </c>
      <c r="Q283" s="886">
        <f t="shared" si="184"/>
        <v>1</v>
      </c>
      <c r="R283" s="1028"/>
      <c r="S283" s="1040">
        <v>30</v>
      </c>
      <c r="T283" s="1002">
        <f>IF(SUM(V281:V284)&gt;0,((J286*T282/(T281/J280))/100),0)</f>
        <v>0</v>
      </c>
      <c r="V283" s="899">
        <f>IF(P283="NÃO",0,IF(H280="NÃO",0,IF(Z61="NÃO",0,IF(I255="SIM",(Q280*J283*S283/100)*I286,IF(J283=0,0,(Q280*J283*(S283/100)/T281)*I286)))))</f>
        <v>0</v>
      </c>
      <c r="BX283"/>
      <c r="BZ283" s="49"/>
    </row>
    <row r="284" spans="7:78" ht="15.75" thickBot="1" x14ac:dyDescent="0.3">
      <c r="H284" s="439">
        <v>4</v>
      </c>
      <c r="I284" s="885" t="s">
        <v>672</v>
      </c>
      <c r="J284" s="885"/>
      <c r="K284" s="886">
        <f>IF(K280="SEM equivalência",0,IF(H280="NÃO",0,IF(J284&gt;0,1,0)))</f>
        <v>0</v>
      </c>
      <c r="L284" s="897"/>
      <c r="M284" s="1029"/>
      <c r="N284" s="1030"/>
      <c r="O284" s="1031"/>
      <c r="P284" s="1044" t="s">
        <v>61</v>
      </c>
      <c r="Q284" s="1045">
        <f t="shared" si="184"/>
        <v>1</v>
      </c>
      <c r="R284" s="1031"/>
      <c r="S284" s="1040">
        <v>10</v>
      </c>
      <c r="T284" s="894"/>
      <c r="U284" s="893"/>
      <c r="V284" s="899">
        <f>IF(P284="NÃO",0,IF(H280="NÃO",0,IF(Z61="NÃO",0,IF(I255="SIM",(Q280*J284*S284/100)*I286,IF(J284=0,0,(Q280*J284*(S284/100)/T281)*I286)))))</f>
        <v>0</v>
      </c>
      <c r="BX284"/>
      <c r="BZ284" s="49"/>
    </row>
    <row r="285" spans="7:78" x14ac:dyDescent="0.25">
      <c r="H285" s="557" t="s">
        <v>724</v>
      </c>
      <c r="I285" s="1651"/>
      <c r="J285" s="1651"/>
      <c r="K285" s="1651"/>
      <c r="L285" s="1651"/>
      <c r="M285" s="1651"/>
      <c r="N285" s="1651"/>
      <c r="O285" s="1651"/>
      <c r="P285" s="1651"/>
      <c r="Q285" s="1651"/>
      <c r="R285" s="1651"/>
      <c r="S285" s="1651"/>
      <c r="T285" s="1651"/>
      <c r="U285" s="1651"/>
      <c r="V285" s="1652"/>
      <c r="W285" s="1652"/>
      <c r="BX285"/>
      <c r="BZ285" s="49"/>
    </row>
    <row r="286" spans="7:78" ht="18" thickBot="1" x14ac:dyDescent="0.35">
      <c r="H286" s="20"/>
      <c r="I286" s="556" t="str">
        <f>IF(H280="SIM","1","0")</f>
        <v>0</v>
      </c>
      <c r="J286" s="457">
        <f>J279</f>
        <v>20</v>
      </c>
      <c r="Q286" s="12"/>
      <c r="R286" s="12"/>
      <c r="V286" s="23"/>
      <c r="W286" s="35"/>
      <c r="BX286"/>
      <c r="BZ286" s="49"/>
    </row>
    <row r="287" spans="7:78" ht="15.75" thickBot="1" x14ac:dyDescent="0.3">
      <c r="T287" s="1565" t="s">
        <v>256</v>
      </c>
      <c r="U287" s="1566"/>
      <c r="V287" s="410">
        <f>IF(Z40="NÃO",0,SUM(V259:V286))</f>
        <v>0.73108758169934651</v>
      </c>
      <c r="BX287"/>
      <c r="BZ287" s="49"/>
    </row>
    <row r="288" spans="7:78" x14ac:dyDescent="0.25">
      <c r="S288" s="35"/>
      <c r="T288"/>
    </row>
    <row r="289" spans="14:20" ht="15.75" thickBot="1" x14ac:dyDescent="0.3">
      <c r="O289" s="1499" t="s">
        <v>413</v>
      </c>
      <c r="P289" s="1499"/>
      <c r="Q289" s="1499"/>
      <c r="R289" s="1499"/>
      <c r="S289" s="1631"/>
      <c r="T289"/>
    </row>
    <row r="290" spans="14:20" x14ac:dyDescent="0.25">
      <c r="N290" s="388" t="s">
        <v>384</v>
      </c>
      <c r="O290" s="430">
        <v>21</v>
      </c>
      <c r="P290" s="430">
        <v>22</v>
      </c>
      <c r="Q290" s="430">
        <v>23</v>
      </c>
      <c r="R290" s="431">
        <v>24</v>
      </c>
      <c r="S290" s="432" t="s">
        <v>59</v>
      </c>
      <c r="T290"/>
    </row>
    <row r="291" spans="14:20" x14ac:dyDescent="0.25">
      <c r="N291" s="401" t="str">
        <f t="shared" ref="N291:N296" si="185">Y21</f>
        <v>Alça ANNA B 30mm</v>
      </c>
      <c r="O291" s="433">
        <f>IF((K259=Y21), (S259*J259/100)*I265, 0)</f>
        <v>0.124</v>
      </c>
      <c r="P291" s="433" t="s">
        <v>267</v>
      </c>
      <c r="Q291" s="433" t="s">
        <v>267</v>
      </c>
      <c r="R291" s="434" t="s">
        <v>267</v>
      </c>
      <c r="S291" s="436">
        <f>IF('NOME + Nº'!D19="NÃO",0,SUM(O291:R291))</f>
        <v>0.124</v>
      </c>
      <c r="T291"/>
    </row>
    <row r="292" spans="14:20" x14ac:dyDescent="0.25">
      <c r="N292" s="401">
        <f t="shared" si="185"/>
        <v>0</v>
      </c>
      <c r="O292" s="400" t="s">
        <v>267</v>
      </c>
      <c r="P292" s="400">
        <f>IF((K266=Y22), (S266*J266/100)*I272, 0)</f>
        <v>0</v>
      </c>
      <c r="Q292" s="400" t="s">
        <v>267</v>
      </c>
      <c r="R292" s="435" t="s">
        <v>267</v>
      </c>
      <c r="S292" s="436">
        <f>IF('NOME + Nº'!D19="NÃO",0,SUM(O292:R292))</f>
        <v>0</v>
      </c>
      <c r="T292"/>
    </row>
    <row r="293" spans="14:20" x14ac:dyDescent="0.25">
      <c r="N293" s="401">
        <f t="shared" si="185"/>
        <v>0</v>
      </c>
      <c r="O293" s="433" t="s">
        <v>267</v>
      </c>
      <c r="P293" s="433" t="s">
        <v>267</v>
      </c>
      <c r="Q293" s="433">
        <f>IF((K273=Y23),(S273*J273/100)*I279, 0)</f>
        <v>0</v>
      </c>
      <c r="R293" s="434" t="s">
        <v>267</v>
      </c>
      <c r="S293" s="436">
        <f>IF('NOME + Nº'!D19="NÃO",0,SUM(O293:R293))</f>
        <v>0</v>
      </c>
      <c r="T293"/>
    </row>
    <row r="294" spans="14:20" x14ac:dyDescent="0.25">
      <c r="N294" s="401">
        <f t="shared" si="185"/>
        <v>0</v>
      </c>
      <c r="O294" s="400" t="s">
        <v>267</v>
      </c>
      <c r="P294" s="400" t="s">
        <v>267</v>
      </c>
      <c r="Q294" s="400" t="s">
        <v>267</v>
      </c>
      <c r="R294" s="435">
        <f>IF((K280=Y24),(S280*J280/100)*I286, 0)</f>
        <v>0</v>
      </c>
      <c r="S294" s="436">
        <f>IF('NOME + Nº'!D19="NÃO",0,SUM(O294:R294))</f>
        <v>0</v>
      </c>
      <c r="T294"/>
    </row>
    <row r="295" spans="14:20" x14ac:dyDescent="0.25">
      <c r="N295" s="692">
        <f t="shared" si="185"/>
        <v>0</v>
      </c>
      <c r="O295" s="693">
        <f>IF((K259=Y25), (S259*J259/100)*I265, 0)</f>
        <v>0</v>
      </c>
      <c r="P295" s="693">
        <f>IF((K266=Y25), (S266*J266/100)*I272, 0)</f>
        <v>0</v>
      </c>
      <c r="Q295" s="693">
        <f>IF((K273=Y25), (S273*J273/100)*I279, 0)</f>
        <v>0</v>
      </c>
      <c r="R295" s="694">
        <f>IF((K280=Y25), (S280*J280/100)*I286, 0)</f>
        <v>0</v>
      </c>
      <c r="S295" s="695">
        <f>IF('NOME + Nº'!D19="NÃO",0,SUM(O295:R295))</f>
        <v>0</v>
      </c>
      <c r="T295"/>
    </row>
    <row r="296" spans="14:20" ht="15.75" thickBot="1" x14ac:dyDescent="0.3">
      <c r="N296" s="692">
        <f t="shared" si="185"/>
        <v>0</v>
      </c>
      <c r="O296" s="696">
        <f>IF((K280=Y26), (S259*J259/100)*I265, 0)</f>
        <v>0</v>
      </c>
      <c r="P296" s="696">
        <f>IF((K266=Y26), (S266*J266/100)*I272, 0)</f>
        <v>0</v>
      </c>
      <c r="Q296" s="696">
        <f>IF((K273=Y26), (S273*J273/100)*I279, 0)</f>
        <v>0</v>
      </c>
      <c r="R296" s="697">
        <f>IF((K280=Y26), (S280*J280/100)*I286, 0)</f>
        <v>0</v>
      </c>
      <c r="S296" s="698">
        <f>IF('NOME + Nº'!D19="NÃO",0,SUM(O296:R296))</f>
        <v>0</v>
      </c>
      <c r="T296"/>
    </row>
    <row r="297" spans="14:20" ht="15.75" thickBot="1" x14ac:dyDescent="0.3">
      <c r="R297" s="35"/>
      <c r="T297"/>
    </row>
    <row r="298" spans="14:20" ht="15.75" thickBot="1" x14ac:dyDescent="0.3">
      <c r="Q298" s="1549" t="s">
        <v>415</v>
      </c>
      <c r="R298" s="1550"/>
      <c r="S298" s="409">
        <f>SUM(S290:S297)</f>
        <v>0.124</v>
      </c>
      <c r="T298"/>
    </row>
    <row r="304" spans="14:20" x14ac:dyDescent="0.25">
      <c r="S304" s="35"/>
      <c r="T304"/>
    </row>
    <row r="305" spans="20:20" x14ac:dyDescent="0.25">
      <c r="T305"/>
    </row>
  </sheetData>
  <sheetProtection algorithmName="SHA-512" hashValue="WnTTJzVAJK7NWJzFYMcAierxw1rdcmLTJpOlyWYJ/seN2CL5wfiGQXX+dNo7qiATuViGah/OWpyxhLMRU4pSgA==" saltValue="uJmtfsJa2KJUjAPc6rFQ1w==" spinCount="100000" sheet="1" objects="1" scenarios="1"/>
  <mergeCells count="246">
    <mergeCell ref="I285:W285"/>
    <mergeCell ref="I278:W278"/>
    <mergeCell ref="I271:W271"/>
    <mergeCell ref="I264:W264"/>
    <mergeCell ref="H20:I20"/>
    <mergeCell ref="H29:I29"/>
    <mergeCell ref="H38:I38"/>
    <mergeCell ref="H47:I47"/>
    <mergeCell ref="H56:I56"/>
    <mergeCell ref="H65:I65"/>
    <mergeCell ref="H128:I128"/>
    <mergeCell ref="I135:T135"/>
    <mergeCell ref="H30:I35"/>
    <mergeCell ref="H39:I44"/>
    <mergeCell ref="H48:I53"/>
    <mergeCell ref="H57:I62"/>
    <mergeCell ref="H66:I71"/>
    <mergeCell ref="H75:I80"/>
    <mergeCell ref="H84:I89"/>
    <mergeCell ref="H174:I179"/>
    <mergeCell ref="H183:I188"/>
    <mergeCell ref="H227:I227"/>
    <mergeCell ref="I234:T234"/>
    <mergeCell ref="H236:I236"/>
    <mergeCell ref="U9:U10"/>
    <mergeCell ref="T248:T249"/>
    <mergeCell ref="U248:U249"/>
    <mergeCell ref="X9:BT9"/>
    <mergeCell ref="AE33:AF33"/>
    <mergeCell ref="AB12:AE12"/>
    <mergeCell ref="AF12:AI12"/>
    <mergeCell ref="AR12:AU12"/>
    <mergeCell ref="AN12:AQ12"/>
    <mergeCell ref="AJ12:AM12"/>
    <mergeCell ref="AB11:BR11"/>
    <mergeCell ref="X53:Y53"/>
    <mergeCell ref="X12:AA12"/>
    <mergeCell ref="I81:T81"/>
    <mergeCell ref="I90:T90"/>
    <mergeCell ref="AC46:AF46"/>
    <mergeCell ref="AC44:AG44"/>
    <mergeCell ref="I189:T189"/>
    <mergeCell ref="H191:I191"/>
    <mergeCell ref="I144:T144"/>
    <mergeCell ref="H12:I17"/>
    <mergeCell ref="H21:I26"/>
    <mergeCell ref="H83:I83"/>
    <mergeCell ref="H92:I92"/>
    <mergeCell ref="Q298:R298"/>
    <mergeCell ref="B19:F21"/>
    <mergeCell ref="B17:E18"/>
    <mergeCell ref="B16:F16"/>
    <mergeCell ref="B22:F24"/>
    <mergeCell ref="C40:F40"/>
    <mergeCell ref="Q246:R246"/>
    <mergeCell ref="C57:F57"/>
    <mergeCell ref="H101:I101"/>
    <mergeCell ref="O289:S289"/>
    <mergeCell ref="B26:F26"/>
    <mergeCell ref="C56:F56"/>
    <mergeCell ref="C27:F27"/>
    <mergeCell ref="C28:F28"/>
    <mergeCell ref="C29:F29"/>
    <mergeCell ref="C30:F30"/>
    <mergeCell ref="C51:F51"/>
    <mergeCell ref="C52:F52"/>
    <mergeCell ref="C53:F53"/>
    <mergeCell ref="C54:F54"/>
    <mergeCell ref="C55:F55"/>
    <mergeCell ref="H93:I98"/>
    <mergeCell ref="H102:I107"/>
    <mergeCell ref="H111:I116"/>
    <mergeCell ref="AC43:AF43"/>
    <mergeCell ref="C34:F34"/>
    <mergeCell ref="C35:F35"/>
    <mergeCell ref="C36:F36"/>
    <mergeCell ref="C32:F32"/>
    <mergeCell ref="C37:F37"/>
    <mergeCell ref="H146:I146"/>
    <mergeCell ref="H192:I197"/>
    <mergeCell ref="H11:I11"/>
    <mergeCell ref="X44:Y44"/>
    <mergeCell ref="I117:T117"/>
    <mergeCell ref="C48:F48"/>
    <mergeCell ref="C33:F33"/>
    <mergeCell ref="X34:Y34"/>
    <mergeCell ref="X32:Y32"/>
    <mergeCell ref="X39:Y39"/>
    <mergeCell ref="C31:F31"/>
    <mergeCell ref="C46:F46"/>
    <mergeCell ref="C47:F47"/>
    <mergeCell ref="C42:F42"/>
    <mergeCell ref="C43:F43"/>
    <mergeCell ref="C44:F44"/>
    <mergeCell ref="AD28:AE28"/>
    <mergeCell ref="AC41:AF41"/>
    <mergeCell ref="B2:F2"/>
    <mergeCell ref="B3:E3"/>
    <mergeCell ref="B4:E5"/>
    <mergeCell ref="F4:F5"/>
    <mergeCell ref="B13:E14"/>
    <mergeCell ref="F13:F14"/>
    <mergeCell ref="B11:E12"/>
    <mergeCell ref="F11:F12"/>
    <mergeCell ref="B9:E9"/>
    <mergeCell ref="B10:E10"/>
    <mergeCell ref="B6:E6"/>
    <mergeCell ref="B7:E7"/>
    <mergeCell ref="B8:E8"/>
    <mergeCell ref="J4:T4"/>
    <mergeCell ref="N9:N10"/>
    <mergeCell ref="J10:K10"/>
    <mergeCell ref="P8:Q8"/>
    <mergeCell ref="M8:O8"/>
    <mergeCell ref="O9:O10"/>
    <mergeCell ref="P9:P10"/>
    <mergeCell ref="Q9:Q10"/>
    <mergeCell ref="R9:R10"/>
    <mergeCell ref="S9:S10"/>
    <mergeCell ref="M9:M10"/>
    <mergeCell ref="K6:K7"/>
    <mergeCell ref="J6:J7"/>
    <mergeCell ref="J5:T5"/>
    <mergeCell ref="T9:T10"/>
    <mergeCell ref="X42:Y42"/>
    <mergeCell ref="X31:Z31"/>
    <mergeCell ref="X38:Y38"/>
    <mergeCell ref="X37:Y37"/>
    <mergeCell ref="X36:Y36"/>
    <mergeCell ref="X35:Y35"/>
    <mergeCell ref="AC38:AF38"/>
    <mergeCell ref="AC39:AF39"/>
    <mergeCell ref="AC40:AF40"/>
    <mergeCell ref="AC37:AF37"/>
    <mergeCell ref="AC33:AD33"/>
    <mergeCell ref="X33:Y33"/>
    <mergeCell ref="AC32:AG32"/>
    <mergeCell ref="AC36:AF36"/>
    <mergeCell ref="X50:Y50"/>
    <mergeCell ref="AC42:AF42"/>
    <mergeCell ref="X49:Y49"/>
    <mergeCell ref="AE48:AF48"/>
    <mergeCell ref="AE47:AF47"/>
    <mergeCell ref="X48:Y48"/>
    <mergeCell ref="X47:Y47"/>
    <mergeCell ref="T287:U287"/>
    <mergeCell ref="S256:T256"/>
    <mergeCell ref="I72:T72"/>
    <mergeCell ref="S257:S258"/>
    <mergeCell ref="T257:T258"/>
    <mergeCell ref="U257:U258"/>
    <mergeCell ref="V257:V258"/>
    <mergeCell ref="I180:T180"/>
    <mergeCell ref="H182:I182"/>
    <mergeCell ref="I108:T108"/>
    <mergeCell ref="H110:I110"/>
    <mergeCell ref="X45:Y45"/>
    <mergeCell ref="Q257:Q258"/>
    <mergeCell ref="R257:R258"/>
    <mergeCell ref="P256:R256"/>
    <mergeCell ref="H201:I206"/>
    <mergeCell ref="H210:I215"/>
    <mergeCell ref="C49:F49"/>
    <mergeCell ref="C50:F50"/>
    <mergeCell ref="C41:F41"/>
    <mergeCell ref="C38:F38"/>
    <mergeCell ref="C39:F39"/>
    <mergeCell ref="C45:F45"/>
    <mergeCell ref="M257:M258"/>
    <mergeCell ref="N257:N258"/>
    <mergeCell ref="O257:O258"/>
    <mergeCell ref="H119:I119"/>
    <mergeCell ref="I126:T126"/>
    <mergeCell ref="H137:I137"/>
    <mergeCell ref="I225:T225"/>
    <mergeCell ref="H219:I224"/>
    <mergeCell ref="H228:I233"/>
    <mergeCell ref="H237:I242"/>
    <mergeCell ref="I198:T198"/>
    <mergeCell ref="H200:I200"/>
    <mergeCell ref="I207:T207"/>
    <mergeCell ref="H209:I209"/>
    <mergeCell ref="I216:T216"/>
    <mergeCell ref="H218:I218"/>
    <mergeCell ref="I171:T171"/>
    <mergeCell ref="H173:I173"/>
    <mergeCell ref="EI12:EI13"/>
    <mergeCell ref="H258:I258"/>
    <mergeCell ref="I253:R253"/>
    <mergeCell ref="W257:W258"/>
    <mergeCell ref="K256:L256"/>
    <mergeCell ref="K257:K258"/>
    <mergeCell ref="L257:L258"/>
    <mergeCell ref="X43:Y43"/>
    <mergeCell ref="X41:Y41"/>
    <mergeCell ref="X40:Y40"/>
    <mergeCell ref="AC35:AF35"/>
    <mergeCell ref="X51:Y51"/>
    <mergeCell ref="X52:Y52"/>
    <mergeCell ref="G255:H255"/>
    <mergeCell ref="H74:I74"/>
    <mergeCell ref="EG12:EG13"/>
    <mergeCell ref="EE22:EF22"/>
    <mergeCell ref="X46:Y46"/>
    <mergeCell ref="I18:T18"/>
    <mergeCell ref="I27:T27"/>
    <mergeCell ref="I36:T36"/>
    <mergeCell ref="I45:T45"/>
    <mergeCell ref="I54:T54"/>
    <mergeCell ref="I63:T63"/>
    <mergeCell ref="EB12:EE12"/>
    <mergeCell ref="BX12:CA12"/>
    <mergeCell ref="BT12:BW12"/>
    <mergeCell ref="BP12:BS12"/>
    <mergeCell ref="BL12:BO12"/>
    <mergeCell ref="BH12:BK12"/>
    <mergeCell ref="BD12:BG12"/>
    <mergeCell ref="AZ12:BC12"/>
    <mergeCell ref="AV12:AY12"/>
    <mergeCell ref="CB12:CE12"/>
    <mergeCell ref="CF12:CI12"/>
    <mergeCell ref="CJ12:CM12"/>
    <mergeCell ref="CN12:CQ12"/>
    <mergeCell ref="CR12:CU12"/>
    <mergeCell ref="CV12:CY12"/>
    <mergeCell ref="CZ12:DC12"/>
    <mergeCell ref="DD12:DG12"/>
    <mergeCell ref="DH12:DK12"/>
    <mergeCell ref="DL12:DO12"/>
    <mergeCell ref="DP12:DS12"/>
    <mergeCell ref="DT12:DW12"/>
    <mergeCell ref="DX12:EA12"/>
    <mergeCell ref="I243:T243"/>
    <mergeCell ref="P257:P258"/>
    <mergeCell ref="I99:T99"/>
    <mergeCell ref="M256:O256"/>
    <mergeCell ref="H120:I125"/>
    <mergeCell ref="H129:I134"/>
    <mergeCell ref="H138:I143"/>
    <mergeCell ref="H147:I152"/>
    <mergeCell ref="H156:I161"/>
    <mergeCell ref="H165:I170"/>
    <mergeCell ref="I153:T153"/>
    <mergeCell ref="H155:I155"/>
    <mergeCell ref="I162:T162"/>
    <mergeCell ref="H164:I164"/>
  </mergeCells>
  <phoneticPr fontId="20" type="noConversion"/>
  <conditionalFormatting sqref="G280:H284">
    <cfRule type="expression" dxfId="683" priority="651">
      <formula>$Z$40="NÃO"</formula>
    </cfRule>
  </conditionalFormatting>
  <conditionalFormatting sqref="G259:L263 I265:J270 I272:J277 I279:J284 EI12:EI20 EB14:EE20 EI22 AD28:AF28 AB30:AE30 X41:Z42 G255:I256 M256 S256:U256 K256:L257 P256:P257 Q257:W259 M257:O263 J258:L258 Q260:S263 G264:I264 H265 J266:L266 G266:H270 M266:O270 K267:L270 Q267:S270 G271:I271 H272 K274:O277 Q274:S277 G278:I278 H279 K281:O284 Q281:S284 G285:I285 H286:J286 T287:V287 O289 N290:S296 Q298:S298">
    <cfRule type="expression" dxfId="682" priority="659">
      <formula>$Z$40="NÃO"</formula>
    </cfRule>
  </conditionalFormatting>
  <conditionalFormatting sqref="H18">
    <cfRule type="expression" dxfId="681" priority="486">
      <formula>$Z$40="NÃO"</formula>
    </cfRule>
  </conditionalFormatting>
  <conditionalFormatting sqref="H27">
    <cfRule type="expression" dxfId="680" priority="487">
      <formula>$Z$40="NÃO"</formula>
    </cfRule>
  </conditionalFormatting>
  <conditionalFormatting sqref="H36">
    <cfRule type="expression" dxfId="679" priority="488">
      <formula>$Z$40="NÃO"</formula>
    </cfRule>
  </conditionalFormatting>
  <conditionalFormatting sqref="H45">
    <cfRule type="expression" dxfId="678" priority="489">
      <formula>$Z$40="NÃO"</formula>
    </cfRule>
  </conditionalFormatting>
  <conditionalFormatting sqref="H54">
    <cfRule type="expression" dxfId="677" priority="490">
      <formula>$Z$40="NÃO"</formula>
    </cfRule>
  </conditionalFormatting>
  <conditionalFormatting sqref="H63">
    <cfRule type="expression" dxfId="676" priority="491">
      <formula>$Z$40="NÃO"</formula>
    </cfRule>
  </conditionalFormatting>
  <conditionalFormatting sqref="H72">
    <cfRule type="expression" dxfId="675" priority="492">
      <formula>$Z$40="NÃO"</formula>
    </cfRule>
  </conditionalFormatting>
  <conditionalFormatting sqref="H81">
    <cfRule type="expression" dxfId="674" priority="493">
      <formula>$Z$40="NÃO"</formula>
    </cfRule>
  </conditionalFormatting>
  <conditionalFormatting sqref="H90">
    <cfRule type="expression" dxfId="673" priority="494">
      <formula>$Z$40="NÃO"</formula>
    </cfRule>
  </conditionalFormatting>
  <conditionalFormatting sqref="H99">
    <cfRule type="expression" dxfId="672" priority="495">
      <formula>$Z$40="NÃO"</formula>
    </cfRule>
  </conditionalFormatting>
  <conditionalFormatting sqref="H108">
    <cfRule type="expression" dxfId="671" priority="496">
      <formula>$Z$40="NÃO"</formula>
    </cfRule>
  </conditionalFormatting>
  <conditionalFormatting sqref="H117">
    <cfRule type="expression" dxfId="670" priority="497">
      <formula>$Z$40="NÃO"</formula>
    </cfRule>
  </conditionalFormatting>
  <conditionalFormatting sqref="H126">
    <cfRule type="expression" dxfId="669" priority="481">
      <formula>$Z$40="NÃO"</formula>
    </cfRule>
  </conditionalFormatting>
  <conditionalFormatting sqref="H135">
    <cfRule type="expression" dxfId="668" priority="299">
      <formula>$Z$40="NÃO"</formula>
    </cfRule>
  </conditionalFormatting>
  <conditionalFormatting sqref="H144">
    <cfRule type="expression" dxfId="667" priority="300">
      <formula>$Z$40="NÃO"</formula>
    </cfRule>
  </conditionalFormatting>
  <conditionalFormatting sqref="H153">
    <cfRule type="expression" dxfId="666" priority="301">
      <formula>$Z$40="NÃO"</formula>
    </cfRule>
  </conditionalFormatting>
  <conditionalFormatting sqref="H162">
    <cfRule type="expression" dxfId="665" priority="302">
      <formula>$Z$40="NÃO"</formula>
    </cfRule>
  </conditionalFormatting>
  <conditionalFormatting sqref="H171">
    <cfRule type="expression" dxfId="664" priority="303">
      <formula>$Z$40="NÃO"</formula>
    </cfRule>
  </conditionalFormatting>
  <conditionalFormatting sqref="H180">
    <cfRule type="expression" dxfId="663" priority="304">
      <formula>$Z$40="NÃO"</formula>
    </cfRule>
  </conditionalFormatting>
  <conditionalFormatting sqref="H189">
    <cfRule type="expression" dxfId="662" priority="305">
      <formula>$Z$40="NÃO"</formula>
    </cfRule>
  </conditionalFormatting>
  <conditionalFormatting sqref="H198">
    <cfRule type="expression" dxfId="661" priority="306">
      <formula>$Z$40="NÃO"</formula>
    </cfRule>
  </conditionalFormatting>
  <conditionalFormatting sqref="H207">
    <cfRule type="expression" dxfId="660" priority="307">
      <formula>$Z$40="NÃO"</formula>
    </cfRule>
  </conditionalFormatting>
  <conditionalFormatting sqref="H216">
    <cfRule type="expression" dxfId="659" priority="308">
      <formula>$Z$40="NÃO"</formula>
    </cfRule>
  </conditionalFormatting>
  <conditionalFormatting sqref="H225">
    <cfRule type="expression" dxfId="658" priority="309">
      <formula>$Z$40="NÃO"</formula>
    </cfRule>
  </conditionalFormatting>
  <conditionalFormatting sqref="H234">
    <cfRule type="expression" dxfId="657" priority="310">
      <formula>$Z$40="NÃO"</formula>
    </cfRule>
  </conditionalFormatting>
  <conditionalFormatting sqref="H243">
    <cfRule type="expression" dxfId="656" priority="294">
      <formula>$Z$40="NÃO"</formula>
    </cfRule>
  </conditionalFormatting>
  <conditionalFormatting sqref="I253 I259 I266 I273 I280">
    <cfRule type="expression" dxfId="655" priority="650">
      <formula>$I$255="NÃO"</formula>
    </cfRule>
  </conditionalFormatting>
  <conditionalFormatting sqref="I259 I266 I273 I280 I253">
    <cfRule type="expression" dxfId="654" priority="649">
      <formula>$I$255="SIM"</formula>
    </cfRule>
  </conditionalFormatting>
  <conditionalFormatting sqref="I260:J263 S260:S263 I264">
    <cfRule type="expression" dxfId="653" priority="628">
      <formula>$H$259="NÃO"</formula>
    </cfRule>
  </conditionalFormatting>
  <conditionalFormatting sqref="I267:J270 S267:S270 V267:V270 I271">
    <cfRule type="expression" dxfId="652" priority="627">
      <formula>$H$266="NÃO"</formula>
    </cfRule>
  </conditionalFormatting>
  <conditionalFormatting sqref="I274:J277 S274:S277 V274:V277 I278">
    <cfRule type="expression" dxfId="651" priority="626">
      <formula>$H$273="NÃO"</formula>
    </cfRule>
  </conditionalFormatting>
  <conditionalFormatting sqref="I281:J284 S281:S284 V281:V284 I285">
    <cfRule type="expression" dxfId="650" priority="625">
      <formula>$H$280="NÃO"</formula>
    </cfRule>
  </conditionalFormatting>
  <conditionalFormatting sqref="I259:W259 V260:V263">
    <cfRule type="expression" dxfId="649" priority="13">
      <formula>$H$259="NÃO"</formula>
    </cfRule>
  </conditionalFormatting>
  <conditionalFormatting sqref="I266:W266">
    <cfRule type="expression" dxfId="648" priority="3">
      <formula>$H$266="NÃO"</formula>
    </cfRule>
  </conditionalFormatting>
  <conditionalFormatting sqref="I273:W273">
    <cfRule type="expression" dxfId="647" priority="2">
      <formula>$H$273="NÃO"</formula>
    </cfRule>
  </conditionalFormatting>
  <conditionalFormatting sqref="I280:W280">
    <cfRule type="expression" dxfId="646" priority="1">
      <formula>$H$280="NÃO"</formula>
    </cfRule>
  </conditionalFormatting>
  <conditionalFormatting sqref="J273:W273">
    <cfRule type="expression" dxfId="645" priority="10">
      <formula>$Z$40="NÃO"</formula>
    </cfRule>
  </conditionalFormatting>
  <conditionalFormatting sqref="J280:W280">
    <cfRule type="expression" dxfId="644" priority="8">
      <formula>$Z$40="NÃO"</formula>
    </cfRule>
  </conditionalFormatting>
  <conditionalFormatting sqref="L11 L13 L15 L20 L22 L24 L29 L31 L33 L38 L40 L42 L47 L49 L51 L56 L58 L60 L65 L67">
    <cfRule type="cellIs" dxfId="643" priority="739" operator="lessThanOrEqual">
      <formula>0</formula>
    </cfRule>
  </conditionalFormatting>
  <conditionalFormatting sqref="L11 N209:O213 N200:O205 N191:O196 L13 L15:O15 L20 L22 L24 L29 L31 L33 L38 L40 L42 L47 L49 L51 L56 L58 L60 L65 L67 N67:O70 N74:O79 N83:O88 N92:O97">
    <cfRule type="containsErrors" dxfId="642" priority="740">
      <formula>ISERROR(L11)</formula>
    </cfRule>
  </conditionalFormatting>
  <conditionalFormatting sqref="L17">
    <cfRule type="cellIs" dxfId="641" priority="278" operator="lessThanOrEqual">
      <formula>0</formula>
    </cfRule>
  </conditionalFormatting>
  <conditionalFormatting sqref="L26">
    <cfRule type="cellIs" dxfId="640" priority="271" operator="lessThanOrEqual">
      <formula>0</formula>
    </cfRule>
  </conditionalFormatting>
  <conditionalFormatting sqref="L35">
    <cfRule type="cellIs" dxfId="639" priority="264" operator="lessThanOrEqual">
      <formula>0</formula>
    </cfRule>
  </conditionalFormatting>
  <conditionalFormatting sqref="L44">
    <cfRule type="cellIs" dxfId="638" priority="257" operator="lessThanOrEqual">
      <formula>0</formula>
    </cfRule>
  </conditionalFormatting>
  <conditionalFormatting sqref="L53">
    <cfRule type="cellIs" dxfId="637" priority="250" operator="lessThanOrEqual">
      <formula>0</formula>
    </cfRule>
  </conditionalFormatting>
  <conditionalFormatting sqref="L62">
    <cfRule type="cellIs" dxfId="636" priority="243" operator="lessThanOrEqual">
      <formula>0</formula>
    </cfRule>
  </conditionalFormatting>
  <conditionalFormatting sqref="L69">
    <cfRule type="cellIs" dxfId="635" priority="621" operator="lessThanOrEqual">
      <formula>0</formula>
    </cfRule>
    <cfRule type="containsErrors" dxfId="634" priority="622">
      <formula>ISERROR(L69)</formula>
    </cfRule>
  </conditionalFormatting>
  <conditionalFormatting sqref="L71">
    <cfRule type="cellIs" dxfId="633" priority="236" operator="lessThanOrEqual">
      <formula>0</formula>
    </cfRule>
  </conditionalFormatting>
  <conditionalFormatting sqref="L74">
    <cfRule type="containsErrors" dxfId="632" priority="613">
      <formula>ISERROR(L74)</formula>
    </cfRule>
    <cfRule type="cellIs" dxfId="631" priority="612" operator="lessThanOrEqual">
      <formula>0</formula>
    </cfRule>
  </conditionalFormatting>
  <conditionalFormatting sqref="L76">
    <cfRule type="containsErrors" dxfId="630" priority="604">
      <formula>ISERROR(L76)</formula>
    </cfRule>
    <cfRule type="cellIs" dxfId="629" priority="603" operator="lessThanOrEqual">
      <formula>0</formula>
    </cfRule>
  </conditionalFormatting>
  <conditionalFormatting sqref="L78">
    <cfRule type="cellIs" dxfId="628" priority="594" operator="lessThanOrEqual">
      <formula>0</formula>
    </cfRule>
    <cfRule type="containsErrors" dxfId="627" priority="595">
      <formula>ISERROR(L78)</formula>
    </cfRule>
  </conditionalFormatting>
  <conditionalFormatting sqref="L80">
    <cfRule type="cellIs" dxfId="626" priority="229" operator="lessThanOrEqual">
      <formula>0</formula>
    </cfRule>
  </conditionalFormatting>
  <conditionalFormatting sqref="L83">
    <cfRule type="containsErrors" dxfId="625" priority="586">
      <formula>ISERROR(L83)</formula>
    </cfRule>
    <cfRule type="cellIs" dxfId="624" priority="585" operator="lessThanOrEqual">
      <formula>0</formula>
    </cfRule>
  </conditionalFormatting>
  <conditionalFormatting sqref="L85">
    <cfRule type="cellIs" dxfId="623" priority="576" operator="lessThanOrEqual">
      <formula>0</formula>
    </cfRule>
    <cfRule type="containsErrors" dxfId="622" priority="577">
      <formula>ISERROR(L85)</formula>
    </cfRule>
  </conditionalFormatting>
  <conditionalFormatting sqref="L87">
    <cfRule type="containsErrors" dxfId="621" priority="568">
      <formula>ISERROR(L87)</formula>
    </cfRule>
    <cfRule type="cellIs" dxfId="620" priority="567" operator="lessThanOrEqual">
      <formula>0</formula>
    </cfRule>
  </conditionalFormatting>
  <conditionalFormatting sqref="L89">
    <cfRule type="cellIs" dxfId="619" priority="222" operator="lessThanOrEqual">
      <formula>0</formula>
    </cfRule>
  </conditionalFormatting>
  <conditionalFormatting sqref="L92">
    <cfRule type="cellIs" dxfId="618" priority="558" operator="lessThanOrEqual">
      <formula>0</formula>
    </cfRule>
    <cfRule type="containsErrors" dxfId="617" priority="559">
      <formula>ISERROR(L92)</formula>
    </cfRule>
  </conditionalFormatting>
  <conditionalFormatting sqref="L94">
    <cfRule type="containsErrors" dxfId="616" priority="550">
      <formula>ISERROR(L94)</formula>
    </cfRule>
    <cfRule type="cellIs" dxfId="615" priority="549" operator="lessThanOrEqual">
      <formula>0</formula>
    </cfRule>
  </conditionalFormatting>
  <conditionalFormatting sqref="L96">
    <cfRule type="cellIs" dxfId="614" priority="540" operator="lessThanOrEqual">
      <formula>0</formula>
    </cfRule>
    <cfRule type="containsErrors" dxfId="613" priority="541">
      <formula>ISERROR(L96)</formula>
    </cfRule>
  </conditionalFormatting>
  <conditionalFormatting sqref="L98">
    <cfRule type="cellIs" dxfId="612" priority="215" operator="lessThanOrEqual">
      <formula>0</formula>
    </cfRule>
  </conditionalFormatting>
  <conditionalFormatting sqref="L107">
    <cfRule type="cellIs" dxfId="611" priority="208" operator="lessThanOrEqual">
      <formula>0</formula>
    </cfRule>
  </conditionalFormatting>
  <conditionalFormatting sqref="L116">
    <cfRule type="cellIs" dxfId="610" priority="201" operator="lessThanOrEqual">
      <formula>0</formula>
    </cfRule>
  </conditionalFormatting>
  <conditionalFormatting sqref="L125">
    <cfRule type="cellIs" dxfId="609" priority="194" operator="lessThanOrEqual">
      <formula>0</formula>
    </cfRule>
  </conditionalFormatting>
  <conditionalFormatting sqref="L128 L155 L164 L130 L132 L137 L139 L141 L146 L148 L150 L157 L159 L166 L168 L173 L175 L177 L182 L184">
    <cfRule type="cellIs" dxfId="608" priority="447" operator="lessThanOrEqual">
      <formula>0</formula>
    </cfRule>
  </conditionalFormatting>
  <conditionalFormatting sqref="L128 L155 L164 L130 L132:O132 L137 L139 L141 L146 L148 L150 L157 L159 L166 L168 L173 L175 L177 L182 L184">
    <cfRule type="containsErrors" dxfId="607" priority="448">
      <formula>ISERROR(L128)</formula>
    </cfRule>
  </conditionalFormatting>
  <conditionalFormatting sqref="L134">
    <cfRule type="cellIs" dxfId="606" priority="187" operator="lessThanOrEqual">
      <formula>0</formula>
    </cfRule>
  </conditionalFormatting>
  <conditionalFormatting sqref="L143">
    <cfRule type="cellIs" dxfId="605" priority="180" operator="lessThanOrEqual">
      <formula>0</formula>
    </cfRule>
  </conditionalFormatting>
  <conditionalFormatting sqref="L152">
    <cfRule type="cellIs" dxfId="604" priority="173" operator="lessThanOrEqual">
      <formula>0</formula>
    </cfRule>
  </conditionalFormatting>
  <conditionalFormatting sqref="L161">
    <cfRule type="cellIs" dxfId="603" priority="166" operator="lessThanOrEqual">
      <formula>0</formula>
    </cfRule>
  </conditionalFormatting>
  <conditionalFormatting sqref="L170">
    <cfRule type="cellIs" dxfId="602" priority="159" operator="lessThanOrEqual">
      <formula>0</formula>
    </cfRule>
  </conditionalFormatting>
  <conditionalFormatting sqref="L179">
    <cfRule type="cellIs" dxfId="601" priority="152" operator="lessThanOrEqual">
      <formula>0</formula>
    </cfRule>
  </conditionalFormatting>
  <conditionalFormatting sqref="L186">
    <cfRule type="cellIs" dxfId="600" priority="389" operator="lessThanOrEqual">
      <formula>0</formula>
    </cfRule>
    <cfRule type="containsErrors" dxfId="599" priority="390">
      <formula>ISERROR(L186)</formula>
    </cfRule>
  </conditionalFormatting>
  <conditionalFormatting sqref="L188">
    <cfRule type="cellIs" dxfId="598" priority="145" operator="lessThanOrEqual">
      <formula>0</formula>
    </cfRule>
  </conditionalFormatting>
  <conditionalFormatting sqref="L191">
    <cfRule type="cellIs" dxfId="597" priority="383" operator="lessThanOrEqual">
      <formula>0</formula>
    </cfRule>
    <cfRule type="containsErrors" dxfId="596" priority="384">
      <formula>ISERROR(L191)</formula>
    </cfRule>
  </conditionalFormatting>
  <conditionalFormatting sqref="L193">
    <cfRule type="cellIs" dxfId="595" priority="376" operator="lessThanOrEqual">
      <formula>0</formula>
    </cfRule>
    <cfRule type="containsErrors" dxfId="594" priority="377">
      <formula>ISERROR(L193)</formula>
    </cfRule>
  </conditionalFormatting>
  <conditionalFormatting sqref="L195">
    <cfRule type="cellIs" dxfId="593" priority="370" operator="lessThanOrEqual">
      <formula>0</formula>
    </cfRule>
    <cfRule type="containsErrors" dxfId="592" priority="371">
      <formula>ISERROR(L195)</formula>
    </cfRule>
  </conditionalFormatting>
  <conditionalFormatting sqref="L197">
    <cfRule type="cellIs" dxfId="591" priority="138" operator="lessThanOrEqual">
      <formula>0</formula>
    </cfRule>
  </conditionalFormatting>
  <conditionalFormatting sqref="L200">
    <cfRule type="containsErrors" dxfId="590" priority="365">
      <formula>ISERROR(L200)</formula>
    </cfRule>
    <cfRule type="cellIs" dxfId="589" priority="364" operator="lessThanOrEqual">
      <formula>0</formula>
    </cfRule>
  </conditionalFormatting>
  <conditionalFormatting sqref="L202">
    <cfRule type="containsErrors" dxfId="588" priority="358">
      <formula>ISERROR(L202)</formula>
    </cfRule>
    <cfRule type="cellIs" dxfId="587" priority="357" operator="lessThanOrEqual">
      <formula>0</formula>
    </cfRule>
  </conditionalFormatting>
  <conditionalFormatting sqref="L204">
    <cfRule type="containsErrors" dxfId="586" priority="352">
      <formula>ISERROR(L204)</formula>
    </cfRule>
    <cfRule type="cellIs" dxfId="585" priority="351" operator="lessThanOrEqual">
      <formula>0</formula>
    </cfRule>
  </conditionalFormatting>
  <conditionalFormatting sqref="L206">
    <cfRule type="cellIs" dxfId="584" priority="131" operator="lessThanOrEqual">
      <formula>0</formula>
    </cfRule>
  </conditionalFormatting>
  <conditionalFormatting sqref="L209">
    <cfRule type="containsErrors" dxfId="583" priority="346">
      <formula>ISERROR(L209)</formula>
    </cfRule>
    <cfRule type="cellIs" dxfId="582" priority="345" operator="lessThanOrEqual">
      <formula>0</formula>
    </cfRule>
  </conditionalFormatting>
  <conditionalFormatting sqref="L211">
    <cfRule type="cellIs" dxfId="581" priority="338" operator="lessThanOrEqual">
      <formula>0</formula>
    </cfRule>
    <cfRule type="containsErrors" dxfId="580" priority="339">
      <formula>ISERROR(L211)</formula>
    </cfRule>
  </conditionalFormatting>
  <conditionalFormatting sqref="L213">
    <cfRule type="cellIs" dxfId="579" priority="332" operator="lessThanOrEqual">
      <formula>0</formula>
    </cfRule>
    <cfRule type="containsErrors" dxfId="578" priority="333">
      <formula>ISERROR(L213)</formula>
    </cfRule>
  </conditionalFormatting>
  <conditionalFormatting sqref="L215">
    <cfRule type="cellIs" dxfId="577" priority="124" operator="lessThanOrEqual">
      <formula>0</formula>
    </cfRule>
  </conditionalFormatting>
  <conditionalFormatting sqref="L224">
    <cfRule type="cellIs" dxfId="576" priority="96" operator="lessThanOrEqual">
      <formula>0</formula>
    </cfRule>
  </conditionalFormatting>
  <conditionalFormatting sqref="L233">
    <cfRule type="cellIs" dxfId="575" priority="117" operator="lessThanOrEqual">
      <formula>0</formula>
    </cfRule>
  </conditionalFormatting>
  <conditionalFormatting sqref="L242">
    <cfRule type="cellIs" dxfId="574" priority="110" operator="lessThanOrEqual">
      <formula>0</formula>
    </cfRule>
  </conditionalFormatting>
  <conditionalFormatting sqref="L17:O17">
    <cfRule type="containsErrors" dxfId="573" priority="279">
      <formula>ISERROR(L17)</formula>
    </cfRule>
  </conditionalFormatting>
  <conditionalFormatting sqref="L26:O26">
    <cfRule type="containsErrors" dxfId="572" priority="272">
      <formula>ISERROR(L26)</formula>
    </cfRule>
  </conditionalFormatting>
  <conditionalFormatting sqref="L35:O35">
    <cfRule type="containsErrors" dxfId="571" priority="265">
      <formula>ISERROR(L35)</formula>
    </cfRule>
  </conditionalFormatting>
  <conditionalFormatting sqref="L44:O44">
    <cfRule type="containsErrors" dxfId="570" priority="258">
      <formula>ISERROR(L44)</formula>
    </cfRule>
  </conditionalFormatting>
  <conditionalFormatting sqref="L53:O53">
    <cfRule type="containsErrors" dxfId="569" priority="251">
      <formula>ISERROR(L53)</formula>
    </cfRule>
  </conditionalFormatting>
  <conditionalFormatting sqref="L62:O62">
    <cfRule type="containsErrors" dxfId="568" priority="244">
      <formula>ISERROR(L62)</formula>
    </cfRule>
  </conditionalFormatting>
  <conditionalFormatting sqref="L71:O71">
    <cfRule type="containsErrors" dxfId="567" priority="237">
      <formula>ISERROR(L71)</formula>
    </cfRule>
  </conditionalFormatting>
  <conditionalFormatting sqref="L80:O80">
    <cfRule type="containsErrors" dxfId="566" priority="230">
      <formula>ISERROR(L80)</formula>
    </cfRule>
  </conditionalFormatting>
  <conditionalFormatting sqref="L89:O89">
    <cfRule type="containsErrors" dxfId="565" priority="223">
      <formula>ISERROR(L89)</formula>
    </cfRule>
  </conditionalFormatting>
  <conditionalFormatting sqref="L98:O98">
    <cfRule type="containsErrors" dxfId="564" priority="216">
      <formula>ISERROR(L98)</formula>
    </cfRule>
  </conditionalFormatting>
  <conditionalFormatting sqref="L107:O107">
    <cfRule type="containsErrors" dxfId="563" priority="209">
      <formula>ISERROR(L107)</formula>
    </cfRule>
  </conditionalFormatting>
  <conditionalFormatting sqref="L116:O116">
    <cfRule type="containsErrors" dxfId="562" priority="202">
      <formula>ISERROR(L116)</formula>
    </cfRule>
  </conditionalFormatting>
  <conditionalFormatting sqref="L125:O125">
    <cfRule type="containsErrors" dxfId="561" priority="195">
      <formula>ISERROR(L125)</formula>
    </cfRule>
  </conditionalFormatting>
  <conditionalFormatting sqref="L134:O134">
    <cfRule type="containsErrors" dxfId="560" priority="188">
      <formula>ISERROR(L134)</formula>
    </cfRule>
  </conditionalFormatting>
  <conditionalFormatting sqref="L143:O143">
    <cfRule type="containsErrors" dxfId="559" priority="181">
      <formula>ISERROR(L143)</formula>
    </cfRule>
  </conditionalFormatting>
  <conditionalFormatting sqref="L152:O152">
    <cfRule type="containsErrors" dxfId="558" priority="174">
      <formula>ISERROR(L152)</formula>
    </cfRule>
  </conditionalFormatting>
  <conditionalFormatting sqref="L161:O161">
    <cfRule type="containsErrors" dxfId="557" priority="167">
      <formula>ISERROR(L161)</formula>
    </cfRule>
  </conditionalFormatting>
  <conditionalFormatting sqref="L170:O170">
    <cfRule type="containsErrors" dxfId="556" priority="160">
      <formula>ISERROR(L170)</formula>
    </cfRule>
  </conditionalFormatting>
  <conditionalFormatting sqref="L179:O179">
    <cfRule type="containsErrors" dxfId="555" priority="153">
      <formula>ISERROR(L179)</formula>
    </cfRule>
  </conditionalFormatting>
  <conditionalFormatting sqref="L188:O188">
    <cfRule type="containsErrors" dxfId="554" priority="146">
      <formula>ISERROR(L188)</formula>
    </cfRule>
  </conditionalFormatting>
  <conditionalFormatting sqref="L197:O197">
    <cfRule type="containsErrors" dxfId="553" priority="139">
      <formula>ISERROR(L197)</formula>
    </cfRule>
  </conditionalFormatting>
  <conditionalFormatting sqref="L206:O206">
    <cfRule type="containsErrors" dxfId="552" priority="132">
      <formula>ISERROR(L206)</formula>
    </cfRule>
  </conditionalFormatting>
  <conditionalFormatting sqref="L215:O215">
    <cfRule type="containsErrors" dxfId="551" priority="125">
      <formula>ISERROR(L215)</formula>
    </cfRule>
  </conditionalFormatting>
  <conditionalFormatting sqref="L224:O224">
    <cfRule type="containsErrors" dxfId="550" priority="97">
      <formula>ISERROR(L224)</formula>
    </cfRule>
  </conditionalFormatting>
  <conditionalFormatting sqref="L233:O233">
    <cfRule type="containsErrors" dxfId="549" priority="118">
      <formula>ISERROR(L233)</formula>
    </cfRule>
  </conditionalFormatting>
  <conditionalFormatting sqref="L242:O242">
    <cfRule type="containsErrors" dxfId="548" priority="111">
      <formula>ISERROR(L242)</formula>
    </cfRule>
  </conditionalFormatting>
  <conditionalFormatting sqref="L11:T11">
    <cfRule type="expression" dxfId="547" priority="515">
      <formula>$K$11="NÃO"</formula>
    </cfRule>
  </conditionalFormatting>
  <conditionalFormatting sqref="L13:T13">
    <cfRule type="expression" dxfId="546" priority="1087">
      <formula>$K$13="NÃO"</formula>
    </cfRule>
  </conditionalFormatting>
  <conditionalFormatting sqref="L15:T15">
    <cfRule type="expression" dxfId="545" priority="1088">
      <formula>$K$15="NÃO"</formula>
    </cfRule>
  </conditionalFormatting>
  <conditionalFormatting sqref="L17:T17">
    <cfRule type="expression" dxfId="544" priority="281">
      <formula>$K$17="NÃO"</formula>
    </cfRule>
  </conditionalFormatting>
  <conditionalFormatting sqref="L20:T20">
    <cfRule type="expression" dxfId="543" priority="1092">
      <formula>$K$20="NÃO"</formula>
    </cfRule>
  </conditionalFormatting>
  <conditionalFormatting sqref="L22:T22">
    <cfRule type="expression" dxfId="542" priority="1094">
      <formula>$K$22="NÃO"</formula>
    </cfRule>
  </conditionalFormatting>
  <conditionalFormatting sqref="L24:T24">
    <cfRule type="expression" dxfId="541" priority="1095">
      <formula>$K$24="NÃO"</formula>
    </cfRule>
  </conditionalFormatting>
  <conditionalFormatting sqref="L26:T26">
    <cfRule type="expression" dxfId="540" priority="92">
      <formula>$K$26="NÃO"</formula>
    </cfRule>
  </conditionalFormatting>
  <conditionalFormatting sqref="L29:T29">
    <cfRule type="expression" dxfId="539" priority="1099">
      <formula>$K$29="NÃO"</formula>
    </cfRule>
  </conditionalFormatting>
  <conditionalFormatting sqref="L31:T31">
    <cfRule type="expression" dxfId="538" priority="1101">
      <formula>$K$31="NÃO"</formula>
    </cfRule>
  </conditionalFormatting>
  <conditionalFormatting sqref="L33:T33">
    <cfRule type="expression" dxfId="537" priority="1102">
      <formula>$K$33="NÃO"</formula>
    </cfRule>
  </conditionalFormatting>
  <conditionalFormatting sqref="L35:T35">
    <cfRule type="expression" dxfId="536" priority="64">
      <formula>$K$35="NÃO"</formula>
    </cfRule>
  </conditionalFormatting>
  <conditionalFormatting sqref="L38:T38">
    <cfRule type="expression" dxfId="535" priority="1106">
      <formula>$K$38="NÃO"</formula>
    </cfRule>
  </conditionalFormatting>
  <conditionalFormatting sqref="L40:T40">
    <cfRule type="expression" dxfId="534" priority="1108">
      <formula>$K$40="NÃO"</formula>
    </cfRule>
  </conditionalFormatting>
  <conditionalFormatting sqref="L42:T42">
    <cfRule type="expression" dxfId="533" priority="1109">
      <formula>$K$42="NÃO"</formula>
    </cfRule>
  </conditionalFormatting>
  <conditionalFormatting sqref="L44:T44">
    <cfRule type="expression" dxfId="532" priority="89">
      <formula>$K$44="NÃO"</formula>
    </cfRule>
  </conditionalFormatting>
  <conditionalFormatting sqref="L47:T47">
    <cfRule type="expression" dxfId="531" priority="1113">
      <formula>$K$47="NÃO"</formula>
    </cfRule>
  </conditionalFormatting>
  <conditionalFormatting sqref="L49:T49">
    <cfRule type="expression" dxfId="530" priority="1115">
      <formula>$K$49="NÃO"</formula>
    </cfRule>
  </conditionalFormatting>
  <conditionalFormatting sqref="L51:T51">
    <cfRule type="expression" dxfId="529" priority="1116">
      <formula>$K$51="NÃO"</formula>
    </cfRule>
  </conditionalFormatting>
  <conditionalFormatting sqref="L53:T53">
    <cfRule type="expression" dxfId="528" priority="253">
      <formula>$K$53="NÃO"</formula>
    </cfRule>
  </conditionalFormatting>
  <conditionalFormatting sqref="L56:T56">
    <cfRule type="expression" dxfId="527" priority="1120">
      <formula>$K$56="NÃO"</formula>
    </cfRule>
  </conditionalFormatting>
  <conditionalFormatting sqref="L58:T58">
    <cfRule type="expression" dxfId="526" priority="1122">
      <formula>$K$58="NÃO"</formula>
    </cfRule>
  </conditionalFormatting>
  <conditionalFormatting sqref="L60:T60">
    <cfRule type="expression" dxfId="525" priority="1123">
      <formula>$K$60="NÃO"</formula>
    </cfRule>
  </conditionalFormatting>
  <conditionalFormatting sqref="L62:T62">
    <cfRule type="expression" dxfId="524" priority="246">
      <formula>$K$62="NÃO"</formula>
    </cfRule>
  </conditionalFormatting>
  <conditionalFormatting sqref="L65:T65">
    <cfRule type="expression" dxfId="523" priority="1127">
      <formula>$K$65="NÃO"</formula>
    </cfRule>
  </conditionalFormatting>
  <conditionalFormatting sqref="L67:T67">
    <cfRule type="expression" dxfId="522" priority="1129">
      <formula>$K$67="NÃO"</formula>
    </cfRule>
  </conditionalFormatting>
  <conditionalFormatting sqref="L69:T69">
    <cfRule type="expression" dxfId="521" priority="1130">
      <formula>$K$69="NÃO"</formula>
    </cfRule>
  </conditionalFormatting>
  <conditionalFormatting sqref="L71:T71">
    <cfRule type="expression" dxfId="520" priority="239">
      <formula>$K$71="NÃO"</formula>
    </cfRule>
  </conditionalFormatting>
  <conditionalFormatting sqref="L74:T74">
    <cfRule type="expression" dxfId="519" priority="1134">
      <formula>$K$74="NÃO"</formula>
    </cfRule>
  </conditionalFormatting>
  <conditionalFormatting sqref="L76:T76">
    <cfRule type="expression" dxfId="518" priority="1136">
      <formula>$K$76="NÃO"</formula>
    </cfRule>
  </conditionalFormatting>
  <conditionalFormatting sqref="L78:T78">
    <cfRule type="expression" dxfId="517" priority="1137">
      <formula>$K$78="NÃO"</formula>
    </cfRule>
  </conditionalFormatting>
  <conditionalFormatting sqref="L80:T80">
    <cfRule type="expression" dxfId="516" priority="232">
      <formula>$K$80="NÃO"</formula>
    </cfRule>
  </conditionalFormatting>
  <conditionalFormatting sqref="L83:T83">
    <cfRule type="expression" dxfId="515" priority="1141">
      <formula>$K$83="NÃO"</formula>
    </cfRule>
  </conditionalFormatting>
  <conditionalFormatting sqref="L85:T85">
    <cfRule type="expression" dxfId="514" priority="1143">
      <formula>$K$85="NÃO"</formula>
    </cfRule>
  </conditionalFormatting>
  <conditionalFormatting sqref="L87:T87">
    <cfRule type="expression" dxfId="513" priority="1144">
      <formula>$K$87="NÃO"</formula>
    </cfRule>
  </conditionalFormatting>
  <conditionalFormatting sqref="L89:T89">
    <cfRule type="expression" dxfId="512" priority="225">
      <formula>$K$89="NÃO"</formula>
    </cfRule>
  </conditionalFormatting>
  <conditionalFormatting sqref="L92:T92">
    <cfRule type="expression" dxfId="511" priority="1158">
      <formula>$K$92="NÃO"</formula>
    </cfRule>
  </conditionalFormatting>
  <conditionalFormatting sqref="L94:T94">
    <cfRule type="expression" dxfId="510" priority="1165">
      <formula>$K$94="NÃO"</formula>
    </cfRule>
  </conditionalFormatting>
  <conditionalFormatting sqref="L96:T96">
    <cfRule type="expression" dxfId="509" priority="1171">
      <formula>$K$96="NÃO"</formula>
    </cfRule>
  </conditionalFormatting>
  <conditionalFormatting sqref="L98:T98">
    <cfRule type="expression" dxfId="508" priority="218">
      <formula>$K$98="NÃO"</formula>
    </cfRule>
  </conditionalFormatting>
  <conditionalFormatting sqref="L101:T101">
    <cfRule type="expression" dxfId="507" priority="504">
      <formula>$K$101="NÃO"</formula>
    </cfRule>
  </conditionalFormatting>
  <conditionalFormatting sqref="L103:T103">
    <cfRule type="expression" dxfId="506" priority="503">
      <formula>$K$103="NÃO"</formula>
    </cfRule>
  </conditionalFormatting>
  <conditionalFormatting sqref="L105:T105">
    <cfRule type="expression" dxfId="505" priority="502">
      <formula>$K$105="NÃO"</formula>
    </cfRule>
  </conditionalFormatting>
  <conditionalFormatting sqref="L107:T107">
    <cfRule type="expression" dxfId="504" priority="211">
      <formula>$K$107="NÃO"</formula>
    </cfRule>
  </conditionalFormatting>
  <conditionalFormatting sqref="L110:T110">
    <cfRule type="expression" dxfId="503" priority="501">
      <formula>$K$110="NÃO"</formula>
    </cfRule>
  </conditionalFormatting>
  <conditionalFormatting sqref="L112:T112">
    <cfRule type="expression" dxfId="502" priority="500">
      <formula>$K$112="NÃO"</formula>
    </cfRule>
  </conditionalFormatting>
  <conditionalFormatting sqref="L114:T114">
    <cfRule type="expression" dxfId="501" priority="499">
      <formula>$K$114="NÃO"</formula>
    </cfRule>
  </conditionalFormatting>
  <conditionalFormatting sqref="L116:T116">
    <cfRule type="expression" dxfId="500" priority="204">
      <formula>$K$116="NÃO"</formula>
    </cfRule>
  </conditionalFormatting>
  <conditionalFormatting sqref="L119:T119">
    <cfRule type="expression" dxfId="499" priority="485">
      <formula>$K$119="NÃO"</formula>
    </cfRule>
  </conditionalFormatting>
  <conditionalFormatting sqref="L121:T121">
    <cfRule type="expression" dxfId="498" priority="484">
      <formula>$K$121="NÃO"</formula>
    </cfRule>
  </conditionalFormatting>
  <conditionalFormatting sqref="L123:T123">
    <cfRule type="expression" dxfId="497" priority="483">
      <formula>$K$123="NÃO"</formula>
    </cfRule>
  </conditionalFormatting>
  <conditionalFormatting sqref="L125:T125">
    <cfRule type="expression" dxfId="496" priority="197">
      <formula>$K$125="NÃO"</formula>
    </cfRule>
  </conditionalFormatting>
  <conditionalFormatting sqref="L128:T128">
    <cfRule type="expression" dxfId="495" priority="328">
      <formula>$K$128="NÃO"</formula>
    </cfRule>
  </conditionalFormatting>
  <conditionalFormatting sqref="L130:T130">
    <cfRule type="expression" dxfId="494" priority="452">
      <formula>$K$130="NÃO"</formula>
    </cfRule>
  </conditionalFormatting>
  <conditionalFormatting sqref="L132:T132">
    <cfRule type="expression" dxfId="493" priority="453">
      <formula>$K$132="NÃO"</formula>
    </cfRule>
  </conditionalFormatting>
  <conditionalFormatting sqref="L134:T134">
    <cfRule type="expression" dxfId="492" priority="190">
      <formula>$K$134="NÃO"</formula>
    </cfRule>
  </conditionalFormatting>
  <conditionalFormatting sqref="L137:T137">
    <cfRule type="expression" dxfId="491" priority="454">
      <formula>$K$137="NÃO"</formula>
    </cfRule>
  </conditionalFormatting>
  <conditionalFormatting sqref="L139:T139">
    <cfRule type="expression" dxfId="490" priority="455">
      <formula>$K$139="NÃO"</formula>
    </cfRule>
  </conditionalFormatting>
  <conditionalFormatting sqref="L141:T141">
    <cfRule type="expression" dxfId="489" priority="456">
      <formula>$K$141="NÃO"</formula>
    </cfRule>
  </conditionalFormatting>
  <conditionalFormatting sqref="L143:T143">
    <cfRule type="expression" dxfId="488" priority="183">
      <formula>$K$143="NÃO"</formula>
    </cfRule>
  </conditionalFormatting>
  <conditionalFormatting sqref="L146:T146">
    <cfRule type="expression" dxfId="487" priority="457">
      <formula>$K$146="NÃO"</formula>
    </cfRule>
  </conditionalFormatting>
  <conditionalFormatting sqref="L148:T148">
    <cfRule type="expression" dxfId="486" priority="458">
      <formula>$K$148="NÃO"</formula>
    </cfRule>
  </conditionalFormatting>
  <conditionalFormatting sqref="L150:T150">
    <cfRule type="expression" dxfId="485" priority="459">
      <formula>$K$150="NÃO"</formula>
    </cfRule>
  </conditionalFormatting>
  <conditionalFormatting sqref="L152:T152">
    <cfRule type="expression" dxfId="484" priority="176">
      <formula>$K$152="NÃO"</formula>
    </cfRule>
  </conditionalFormatting>
  <conditionalFormatting sqref="L155:T155">
    <cfRule type="expression" dxfId="483" priority="290">
      <formula>$K$155="NÃO"</formula>
    </cfRule>
  </conditionalFormatting>
  <conditionalFormatting sqref="L157:T157">
    <cfRule type="expression" dxfId="482" priority="461">
      <formula>$K$157="NÃO"</formula>
    </cfRule>
  </conditionalFormatting>
  <conditionalFormatting sqref="L159:T159">
    <cfRule type="expression" dxfId="481" priority="462">
      <formula>$K$159="NÃO"</formula>
    </cfRule>
  </conditionalFormatting>
  <conditionalFormatting sqref="L161:T161">
    <cfRule type="expression" dxfId="480" priority="169">
      <formula>$K$161="NÃO"</formula>
    </cfRule>
  </conditionalFormatting>
  <conditionalFormatting sqref="L164:T164">
    <cfRule type="expression" dxfId="479" priority="286">
      <formula>$K$164="NÃO"</formula>
    </cfRule>
  </conditionalFormatting>
  <conditionalFormatting sqref="L166:T166">
    <cfRule type="expression" dxfId="478" priority="464">
      <formula>$K$166="NÃO"</formula>
    </cfRule>
  </conditionalFormatting>
  <conditionalFormatting sqref="L168:T168">
    <cfRule type="expression" dxfId="477" priority="465">
      <formula>$K$168="NÃO"</formula>
    </cfRule>
  </conditionalFormatting>
  <conditionalFormatting sqref="L170:T170">
    <cfRule type="expression" dxfId="476" priority="162">
      <formula>$K$170="NÃO"</formula>
    </cfRule>
  </conditionalFormatting>
  <conditionalFormatting sqref="L173:T173">
    <cfRule type="expression" dxfId="475" priority="466">
      <formula>$K$173="NÃO"</formula>
    </cfRule>
  </conditionalFormatting>
  <conditionalFormatting sqref="L175:T175">
    <cfRule type="expression" dxfId="474" priority="467">
      <formula>$K$175="NÃO"</formula>
    </cfRule>
  </conditionalFormatting>
  <conditionalFormatting sqref="L177:T177">
    <cfRule type="expression" dxfId="473" priority="468">
      <formula>$K$177="NÃO"</formula>
    </cfRule>
  </conditionalFormatting>
  <conditionalFormatting sqref="L179:T179">
    <cfRule type="expression" dxfId="472" priority="155">
      <formula>$K$179="NÃO"</formula>
    </cfRule>
  </conditionalFormatting>
  <conditionalFormatting sqref="L182:T182">
    <cfRule type="expression" dxfId="471" priority="469">
      <formula>$K$182="NÃO"</formula>
    </cfRule>
  </conditionalFormatting>
  <conditionalFormatting sqref="L184:T184">
    <cfRule type="expression" dxfId="470" priority="470">
      <formula>$K$184="NÃO"</formula>
    </cfRule>
  </conditionalFormatting>
  <conditionalFormatting sqref="L186:T186">
    <cfRule type="expression" dxfId="469" priority="471">
      <formula>$K$186="NÃO"</formula>
    </cfRule>
  </conditionalFormatting>
  <conditionalFormatting sqref="L188:T188">
    <cfRule type="expression" dxfId="468" priority="148">
      <formula>$K$188="NÃO"</formula>
    </cfRule>
  </conditionalFormatting>
  <conditionalFormatting sqref="L191:T191">
    <cfRule type="expression" dxfId="467" priority="472">
      <formula>$K$191="NÃO"</formula>
    </cfRule>
  </conditionalFormatting>
  <conditionalFormatting sqref="L193:T193">
    <cfRule type="expression" dxfId="466" priority="473">
      <formula>$K$193="NÃO"</formula>
    </cfRule>
  </conditionalFormatting>
  <conditionalFormatting sqref="L195:T195">
    <cfRule type="expression" dxfId="465" priority="474">
      <formula>$K$195="NÃO"</formula>
    </cfRule>
  </conditionalFormatting>
  <conditionalFormatting sqref="L197:T197">
    <cfRule type="expression" dxfId="464" priority="141">
      <formula>$K$197="NÃO"</formula>
    </cfRule>
  </conditionalFormatting>
  <conditionalFormatting sqref="L200:T200">
    <cfRule type="expression" dxfId="463" priority="475">
      <formula>$K$200="NÃO"</formula>
    </cfRule>
  </conditionalFormatting>
  <conditionalFormatting sqref="L202:T202">
    <cfRule type="expression" dxfId="462" priority="476">
      <formula>$K$202="NÃO"</formula>
    </cfRule>
  </conditionalFormatting>
  <conditionalFormatting sqref="L204:T204">
    <cfRule type="expression" dxfId="461" priority="477">
      <formula>$K$204="NÃO"</formula>
    </cfRule>
  </conditionalFormatting>
  <conditionalFormatting sqref="L206:T206">
    <cfRule type="expression" dxfId="460" priority="134">
      <formula>$K$206="NÃO"</formula>
    </cfRule>
  </conditionalFormatting>
  <conditionalFormatting sqref="L209:T209">
    <cfRule type="expression" dxfId="459" priority="478">
      <formula>$K$209="NÃO"</formula>
    </cfRule>
  </conditionalFormatting>
  <conditionalFormatting sqref="L211:T211">
    <cfRule type="expression" dxfId="458" priority="479">
      <formula>$K$211="NÃO"</formula>
    </cfRule>
  </conditionalFormatting>
  <conditionalFormatting sqref="L213:T213">
    <cfRule type="expression" dxfId="457" priority="480">
      <formula>$K$213="NÃO"</formula>
    </cfRule>
  </conditionalFormatting>
  <conditionalFormatting sqref="L215:T215">
    <cfRule type="expression" dxfId="456" priority="127">
      <formula>$K$215="NÃO"</formula>
    </cfRule>
  </conditionalFormatting>
  <conditionalFormatting sqref="L218:T218">
    <cfRule type="expression" dxfId="455" priority="317">
      <formula>$K$218="NÃO"</formula>
    </cfRule>
  </conditionalFormatting>
  <conditionalFormatting sqref="L220:T220">
    <cfRule type="expression" dxfId="454" priority="316">
      <formula>$K$220="NÃO"</formula>
    </cfRule>
  </conditionalFormatting>
  <conditionalFormatting sqref="L222:T222">
    <cfRule type="expression" dxfId="453" priority="315">
      <formula>$K$222="NÃO"</formula>
    </cfRule>
  </conditionalFormatting>
  <conditionalFormatting sqref="L224:T224">
    <cfRule type="expression" dxfId="452" priority="99">
      <formula>$K$224="NÃO"</formula>
    </cfRule>
  </conditionalFormatting>
  <conditionalFormatting sqref="L227:T227">
    <cfRule type="expression" dxfId="451" priority="314">
      <formula>$K$227="NÃO"</formula>
    </cfRule>
  </conditionalFormatting>
  <conditionalFormatting sqref="L229:T229">
    <cfRule type="expression" dxfId="450" priority="313">
      <formula>$K$229="NÃO"</formula>
    </cfRule>
  </conditionalFormatting>
  <conditionalFormatting sqref="L231:T231">
    <cfRule type="expression" dxfId="449" priority="312">
      <formula>$K$231="NÃO"</formula>
    </cfRule>
  </conditionalFormatting>
  <conditionalFormatting sqref="L233:T233">
    <cfRule type="expression" dxfId="448" priority="120">
      <formula>$K$233="NÃO"</formula>
    </cfRule>
  </conditionalFormatting>
  <conditionalFormatting sqref="L236:T236">
    <cfRule type="expression" dxfId="447" priority="298">
      <formula>$K$236="NÃO"</formula>
    </cfRule>
  </conditionalFormatting>
  <conditionalFormatting sqref="L238:T238">
    <cfRule type="expression" dxfId="446" priority="297">
      <formula>$K$238="NÃO"</formula>
    </cfRule>
  </conditionalFormatting>
  <conditionalFormatting sqref="L240:T240">
    <cfRule type="expression" dxfId="445" priority="296">
      <formula>$K$240="NÃO"</formula>
    </cfRule>
  </conditionalFormatting>
  <conditionalFormatting sqref="L242:T242">
    <cfRule type="expression" dxfId="444" priority="113">
      <formula>$K$242="NÃO"</formula>
    </cfRule>
  </conditionalFormatting>
  <conditionalFormatting sqref="N11:O13 N20:O20 N22:O22 N24:O24 N29:O29 N31:O31 N33:O33 N38:O38 N40:O40 N42:O42 N47:O47 N49:O49 N51:O51 N56:O56 N58:O58 N60:O60 N65:O65">
    <cfRule type="containsErrors" dxfId="443" priority="1068">
      <formula>ISERROR(N11)</formula>
    </cfRule>
  </conditionalFormatting>
  <conditionalFormatting sqref="N128:O130 N155:O155 N164:O164 N137:O137 N139:O139 N141:O141 N146:O146 N148:O148 N150:O150 N157:O157 N159:O159 N166:O166 N168:O168 N173:O173 N175:O175 N177:O177 N182:O182 N184:O187">
    <cfRule type="containsErrors" dxfId="442" priority="449">
      <formula>ISERROR(N128)</formula>
    </cfRule>
  </conditionalFormatting>
  <conditionalFormatting sqref="P259">
    <cfRule type="expression" dxfId="441" priority="14">
      <formula>$Z$40="NÃO"</formula>
    </cfRule>
  </conditionalFormatting>
  <conditionalFormatting sqref="P67:Q67">
    <cfRule type="cellIs" dxfId="440" priority="702" operator="greaterThan">
      <formula>#REF!</formula>
    </cfRule>
    <cfRule type="cellIs" dxfId="439" priority="700" operator="lessThanOrEqual">
      <formula>0</formula>
    </cfRule>
    <cfRule type="cellIs" dxfId="438" priority="699" operator="greaterThan">
      <formula>$O$11</formula>
    </cfRule>
  </conditionalFormatting>
  <conditionalFormatting sqref="P69:Q69">
    <cfRule type="cellIs" dxfId="437" priority="618" operator="lessThanOrEqual">
      <formula>0</formula>
    </cfRule>
    <cfRule type="cellIs" dxfId="436" priority="620" operator="greaterThan">
      <formula>#REF!</formula>
    </cfRule>
    <cfRule type="cellIs" dxfId="435" priority="617" operator="greaterThan">
      <formula>$O$11</formula>
    </cfRule>
  </conditionalFormatting>
  <conditionalFormatting sqref="P74:Q74">
    <cfRule type="cellIs" dxfId="434" priority="609" operator="lessThanOrEqual">
      <formula>0</formula>
    </cfRule>
    <cfRule type="cellIs" dxfId="433" priority="611" operator="greaterThan">
      <formula>#REF!</formula>
    </cfRule>
    <cfRule type="cellIs" dxfId="432" priority="608" operator="greaterThan">
      <formula>$O$11</formula>
    </cfRule>
  </conditionalFormatting>
  <conditionalFormatting sqref="P76:Q76">
    <cfRule type="cellIs" dxfId="431" priority="600" operator="lessThanOrEqual">
      <formula>0</formula>
    </cfRule>
    <cfRule type="cellIs" dxfId="430" priority="599" operator="greaterThan">
      <formula>$O$11</formula>
    </cfRule>
    <cfRule type="cellIs" dxfId="429" priority="602" operator="greaterThan">
      <formula>#REF!</formula>
    </cfRule>
  </conditionalFormatting>
  <conditionalFormatting sqref="P78:Q78">
    <cfRule type="cellIs" dxfId="428" priority="593" operator="greaterThan">
      <formula>#REF!</formula>
    </cfRule>
    <cfRule type="cellIs" dxfId="427" priority="590" operator="greaterThan">
      <formula>$O$11</formula>
    </cfRule>
    <cfRule type="cellIs" dxfId="426" priority="591" operator="lessThanOrEqual">
      <formula>0</formula>
    </cfRule>
  </conditionalFormatting>
  <conditionalFormatting sqref="P83:Q83">
    <cfRule type="cellIs" dxfId="425" priority="582" operator="lessThanOrEqual">
      <formula>0</formula>
    </cfRule>
    <cfRule type="cellIs" dxfId="424" priority="581" operator="greaterThan">
      <formula>$O$11</formula>
    </cfRule>
    <cfRule type="cellIs" dxfId="423" priority="584" operator="greaterThan">
      <formula>#REF!</formula>
    </cfRule>
  </conditionalFormatting>
  <conditionalFormatting sqref="P85:Q85">
    <cfRule type="cellIs" dxfId="422" priority="573" operator="lessThanOrEqual">
      <formula>0</formula>
    </cfRule>
    <cfRule type="cellIs" dxfId="421" priority="575" operator="greaterThan">
      <formula>#REF!</formula>
    </cfRule>
    <cfRule type="cellIs" dxfId="420" priority="572" operator="greaterThan">
      <formula>$O$11</formula>
    </cfRule>
  </conditionalFormatting>
  <conditionalFormatting sqref="P87:Q87">
    <cfRule type="cellIs" dxfId="419" priority="566" operator="greaterThan">
      <formula>#REF!</formula>
    </cfRule>
    <cfRule type="cellIs" dxfId="418" priority="563" operator="greaterThan">
      <formula>$O$11</formula>
    </cfRule>
    <cfRule type="cellIs" dxfId="417" priority="564" operator="lessThanOrEqual">
      <formula>0</formula>
    </cfRule>
  </conditionalFormatting>
  <conditionalFormatting sqref="P92:Q92">
    <cfRule type="cellIs" dxfId="416" priority="554" operator="greaterThan">
      <formula>$O$11</formula>
    </cfRule>
    <cfRule type="cellIs" dxfId="415" priority="557" operator="greaterThan">
      <formula>#REF!</formula>
    </cfRule>
    <cfRule type="cellIs" dxfId="414" priority="555" operator="lessThanOrEqual">
      <formula>0</formula>
    </cfRule>
  </conditionalFormatting>
  <conditionalFormatting sqref="P94:Q94">
    <cfRule type="cellIs" dxfId="413" priority="548" operator="greaterThan">
      <formula>#REF!</formula>
    </cfRule>
    <cfRule type="cellIs" dxfId="412" priority="545" operator="greaterThan">
      <formula>$O$11</formula>
    </cfRule>
    <cfRule type="cellIs" dxfId="411" priority="546" operator="lessThanOrEqual">
      <formula>0</formula>
    </cfRule>
  </conditionalFormatting>
  <conditionalFormatting sqref="P96:Q96">
    <cfRule type="cellIs" dxfId="410" priority="536" operator="greaterThan">
      <formula>$O$11</formula>
    </cfRule>
    <cfRule type="cellIs" dxfId="409" priority="539" operator="greaterThan">
      <formula>#REF!</formula>
    </cfRule>
    <cfRule type="cellIs" dxfId="408" priority="537" operator="lessThanOrEqual">
      <formula>0</formula>
    </cfRule>
  </conditionalFormatting>
  <conditionalFormatting sqref="P184:Q184">
    <cfRule type="cellIs" dxfId="407" priority="416" operator="greaterThan">
      <formula>$O$11</formula>
    </cfRule>
    <cfRule type="cellIs" dxfId="406" priority="418" operator="greaterThan">
      <formula>#REF!</formula>
    </cfRule>
    <cfRule type="cellIs" dxfId="405" priority="417" operator="lessThanOrEqual">
      <formula>0</formula>
    </cfRule>
  </conditionalFormatting>
  <conditionalFormatting sqref="P186:Q186">
    <cfRule type="cellIs" dxfId="404" priority="388" operator="greaterThan">
      <formula>#REF!</formula>
    </cfRule>
    <cfRule type="cellIs" dxfId="403" priority="386" operator="greaterThan">
      <formula>$O$11</formula>
    </cfRule>
    <cfRule type="cellIs" dxfId="402" priority="387" operator="lessThanOrEqual">
      <formula>0</formula>
    </cfRule>
  </conditionalFormatting>
  <conditionalFormatting sqref="P191:Q191">
    <cfRule type="cellIs" dxfId="401" priority="381" operator="lessThanOrEqual">
      <formula>0</formula>
    </cfRule>
    <cfRule type="cellIs" dxfId="400" priority="382" operator="greaterThan">
      <formula>#REF!</formula>
    </cfRule>
    <cfRule type="cellIs" dxfId="399" priority="380" operator="greaterThan">
      <formula>$O$11</formula>
    </cfRule>
  </conditionalFormatting>
  <conditionalFormatting sqref="P193:Q193">
    <cfRule type="cellIs" dxfId="398" priority="374" operator="lessThanOrEqual">
      <formula>0</formula>
    </cfRule>
    <cfRule type="cellIs" dxfId="397" priority="373" operator="greaterThan">
      <formula>$O$11</formula>
    </cfRule>
    <cfRule type="cellIs" dxfId="396" priority="375" operator="greaterThan">
      <formula>#REF!</formula>
    </cfRule>
  </conditionalFormatting>
  <conditionalFormatting sqref="P195:Q195">
    <cfRule type="cellIs" dxfId="395" priority="369" operator="greaterThan">
      <formula>#REF!</formula>
    </cfRule>
    <cfRule type="cellIs" dxfId="394" priority="368" operator="lessThanOrEqual">
      <formula>0</formula>
    </cfRule>
    <cfRule type="cellIs" dxfId="393" priority="367" operator="greaterThan">
      <formula>$O$11</formula>
    </cfRule>
  </conditionalFormatting>
  <conditionalFormatting sqref="P200:Q200">
    <cfRule type="cellIs" dxfId="392" priority="361" operator="greaterThan">
      <formula>$O$11</formula>
    </cfRule>
    <cfRule type="cellIs" dxfId="391" priority="362" operator="lessThanOrEqual">
      <formula>0</formula>
    </cfRule>
    <cfRule type="cellIs" dxfId="390" priority="363" operator="greaterThan">
      <formula>#REF!</formula>
    </cfRule>
  </conditionalFormatting>
  <conditionalFormatting sqref="P202:Q202">
    <cfRule type="cellIs" dxfId="389" priority="354" operator="greaterThan">
      <formula>$O$11</formula>
    </cfRule>
    <cfRule type="cellIs" dxfId="388" priority="355" operator="lessThanOrEqual">
      <formula>0</formula>
    </cfRule>
    <cfRule type="cellIs" dxfId="387" priority="356" operator="greaterThan">
      <formula>#REF!</formula>
    </cfRule>
  </conditionalFormatting>
  <conditionalFormatting sqref="P204:Q204">
    <cfRule type="cellIs" dxfId="386" priority="348" operator="greaterThan">
      <formula>$O$11</formula>
    </cfRule>
    <cfRule type="cellIs" dxfId="385" priority="349" operator="lessThanOrEqual">
      <formula>0</formula>
    </cfRule>
    <cfRule type="cellIs" dxfId="384" priority="350" operator="greaterThan">
      <formula>#REF!</formula>
    </cfRule>
  </conditionalFormatting>
  <conditionalFormatting sqref="P209:Q209">
    <cfRule type="cellIs" dxfId="383" priority="344" operator="greaterThan">
      <formula>#REF!</formula>
    </cfRule>
    <cfRule type="cellIs" dxfId="382" priority="342" operator="greaterThan">
      <formula>$O$11</formula>
    </cfRule>
    <cfRule type="cellIs" dxfId="381" priority="343" operator="lessThanOrEqual">
      <formula>0</formula>
    </cfRule>
  </conditionalFormatting>
  <conditionalFormatting sqref="P211:Q211">
    <cfRule type="cellIs" dxfId="380" priority="337" operator="greaterThan">
      <formula>#REF!</formula>
    </cfRule>
    <cfRule type="cellIs" dxfId="379" priority="336" operator="lessThanOrEqual">
      <formula>0</formula>
    </cfRule>
    <cfRule type="cellIs" dxfId="378" priority="335" operator="greaterThan">
      <formula>$O$11</formula>
    </cfRule>
  </conditionalFormatting>
  <conditionalFormatting sqref="P213:Q213">
    <cfRule type="cellIs" dxfId="377" priority="329" operator="greaterThan">
      <formula>$O$11</formula>
    </cfRule>
    <cfRule type="cellIs" dxfId="376" priority="331" operator="greaterThan">
      <formula>#REF!</formula>
    </cfRule>
    <cfRule type="cellIs" dxfId="375" priority="330" operator="lessThanOrEqual">
      <formula>0</formula>
    </cfRule>
  </conditionalFormatting>
  <conditionalFormatting sqref="P266:W266">
    <cfRule type="expression" dxfId="374" priority="12">
      <formula>$Z$40="NÃO"</formula>
    </cfRule>
  </conditionalFormatting>
  <conditionalFormatting sqref="Q11 Q29 Q47">
    <cfRule type="cellIs" dxfId="373" priority="738" operator="greaterThan">
      <formula>#REF!</formula>
    </cfRule>
  </conditionalFormatting>
  <conditionalFormatting sqref="Q11">
    <cfRule type="cellIs" dxfId="372" priority="736" operator="lessThanOrEqual">
      <formula>0</formula>
    </cfRule>
    <cfRule type="cellIs" dxfId="371" priority="735" operator="greaterThan">
      <formula>$O$11</formula>
    </cfRule>
  </conditionalFormatting>
  <conditionalFormatting sqref="Q13">
    <cfRule type="cellIs" dxfId="370" priority="696" operator="greaterThan">
      <formula>$O$11</formula>
    </cfRule>
    <cfRule type="cellIs" dxfId="369" priority="697" operator="lessThanOrEqual">
      <formula>0</formula>
    </cfRule>
    <cfRule type="cellIs" dxfId="368" priority="698" operator="greaterThan">
      <formula>#REF!</formula>
    </cfRule>
  </conditionalFormatting>
  <conditionalFormatting sqref="Q15">
    <cfRule type="cellIs" dxfId="367" priority="694" operator="lessThanOrEqual">
      <formula>0</formula>
    </cfRule>
    <cfRule type="cellIs" dxfId="366" priority="693" operator="greaterThan">
      <formula>$O$11</formula>
    </cfRule>
    <cfRule type="cellIs" dxfId="365" priority="695" operator="greaterThan">
      <formula>#REF!</formula>
    </cfRule>
  </conditionalFormatting>
  <conditionalFormatting sqref="Q17">
    <cfRule type="cellIs" dxfId="364" priority="277" operator="greaterThan">
      <formula>#REF!</formula>
    </cfRule>
    <cfRule type="cellIs" dxfId="363" priority="276" operator="lessThanOrEqual">
      <formula>0</formula>
    </cfRule>
    <cfRule type="cellIs" dxfId="362" priority="275" operator="greaterThan">
      <formula>$O$11</formula>
    </cfRule>
  </conditionalFormatting>
  <conditionalFormatting sqref="Q20">
    <cfRule type="cellIs" dxfId="361" priority="716" operator="greaterThan">
      <formula>$O$11</formula>
    </cfRule>
    <cfRule type="cellIs" dxfId="360" priority="718" operator="greaterThan">
      <formula>#REF!</formula>
    </cfRule>
    <cfRule type="cellIs" dxfId="359" priority="717" operator="lessThanOrEqual">
      <formula>0</formula>
    </cfRule>
  </conditionalFormatting>
  <conditionalFormatting sqref="Q22">
    <cfRule type="cellIs" dxfId="358" priority="691" operator="lessThanOrEqual">
      <formula>0</formula>
    </cfRule>
    <cfRule type="cellIs" dxfId="357" priority="690" operator="greaterThan">
      <formula>$O$11</formula>
    </cfRule>
    <cfRule type="cellIs" dxfId="356" priority="692" operator="greaterThan">
      <formula>#REF!</formula>
    </cfRule>
  </conditionalFormatting>
  <conditionalFormatting sqref="Q26">
    <cfRule type="cellIs" dxfId="355" priority="270" operator="greaterThan">
      <formula>#REF!</formula>
    </cfRule>
    <cfRule type="cellIs" dxfId="354" priority="269" operator="lessThanOrEqual">
      <formula>0</formula>
    </cfRule>
    <cfRule type="cellIs" dxfId="353" priority="268" operator="greaterThan">
      <formula>$O$11</formula>
    </cfRule>
  </conditionalFormatting>
  <conditionalFormatting sqref="Q29">
    <cfRule type="cellIs" dxfId="352" priority="733" operator="greaterThan">
      <formula>$O$11</formula>
    </cfRule>
    <cfRule type="cellIs" dxfId="351" priority="734" operator="lessThanOrEqual">
      <formula>0</formula>
    </cfRule>
  </conditionalFormatting>
  <conditionalFormatting sqref="Q31">
    <cfRule type="cellIs" dxfId="350" priority="686" operator="greaterThan">
      <formula>$O$11</formula>
    </cfRule>
    <cfRule type="cellIs" dxfId="349" priority="687" operator="lessThanOrEqual">
      <formula>0</formula>
    </cfRule>
    <cfRule type="cellIs" dxfId="348" priority="689" operator="greaterThan">
      <formula>#REF!</formula>
    </cfRule>
  </conditionalFormatting>
  <conditionalFormatting sqref="Q33">
    <cfRule type="cellIs" dxfId="347" priority="685" operator="greaterThan">
      <formula>#REF!</formula>
    </cfRule>
    <cfRule type="cellIs" dxfId="346" priority="682" operator="greaterThan">
      <formula>$O$11</formula>
    </cfRule>
    <cfRule type="cellIs" dxfId="345" priority="683" operator="lessThanOrEqual">
      <formula>0</formula>
    </cfRule>
  </conditionalFormatting>
  <conditionalFormatting sqref="Q35">
    <cfRule type="cellIs" dxfId="344" priority="261" operator="greaterThan">
      <formula>$O$11</formula>
    </cfRule>
    <cfRule type="cellIs" dxfId="343" priority="263" operator="greaterThan">
      <formula>#REF!</formula>
    </cfRule>
    <cfRule type="cellIs" dxfId="342" priority="262" operator="lessThanOrEqual">
      <formula>0</formula>
    </cfRule>
  </conditionalFormatting>
  <conditionalFormatting sqref="Q38">
    <cfRule type="cellIs" dxfId="341" priority="681" operator="greaterThan">
      <formula>#REF!</formula>
    </cfRule>
    <cfRule type="cellIs" dxfId="340" priority="679" operator="lessThanOrEqual">
      <formula>0</formula>
    </cfRule>
    <cfRule type="cellIs" dxfId="339" priority="678" operator="greaterThan">
      <formula>$O$11</formula>
    </cfRule>
  </conditionalFormatting>
  <conditionalFormatting sqref="Q40">
    <cfRule type="cellIs" dxfId="338" priority="713" operator="greaterThan">
      <formula>$O$11</formula>
    </cfRule>
    <cfRule type="cellIs" dxfId="337" priority="714" operator="lessThanOrEqual">
      <formula>0</formula>
    </cfRule>
    <cfRule type="cellIs" dxfId="336" priority="715" operator="greaterThan">
      <formula>#REF!</formula>
    </cfRule>
  </conditionalFormatting>
  <conditionalFormatting sqref="Q42">
    <cfRule type="cellIs" dxfId="335" priority="710" operator="greaterThan">
      <formula>#REF!</formula>
    </cfRule>
    <cfRule type="cellIs" dxfId="334" priority="709" operator="lessThanOrEqual">
      <formula>0</formula>
    </cfRule>
    <cfRule type="cellIs" dxfId="333" priority="708" operator="greaterThan">
      <formula>$O$11</formula>
    </cfRule>
  </conditionalFormatting>
  <conditionalFormatting sqref="Q44">
    <cfRule type="cellIs" dxfId="332" priority="256" operator="greaterThan">
      <formula>#REF!</formula>
    </cfRule>
    <cfRule type="cellIs" dxfId="331" priority="255" operator="lessThanOrEqual">
      <formula>0</formula>
    </cfRule>
    <cfRule type="cellIs" dxfId="330" priority="254" operator="greaterThan">
      <formula>$O$11</formula>
    </cfRule>
  </conditionalFormatting>
  <conditionalFormatting sqref="Q47">
    <cfRule type="cellIs" dxfId="329" priority="712" operator="lessThanOrEqual">
      <formula>0</formula>
    </cfRule>
    <cfRule type="cellIs" dxfId="328" priority="711" operator="greaterThan">
      <formula>$O$11</formula>
    </cfRule>
  </conditionalFormatting>
  <conditionalFormatting sqref="Q49">
    <cfRule type="cellIs" dxfId="327" priority="677" operator="greaterThan">
      <formula>#REF!</formula>
    </cfRule>
    <cfRule type="cellIs" dxfId="326" priority="675" operator="lessThanOrEqual">
      <formula>0</formula>
    </cfRule>
    <cfRule type="cellIs" dxfId="325" priority="674" operator="greaterThan">
      <formula>$O$11</formula>
    </cfRule>
  </conditionalFormatting>
  <conditionalFormatting sqref="Q51">
    <cfRule type="cellIs" dxfId="324" priority="707" operator="greaterThan">
      <formula>#REF!</formula>
    </cfRule>
    <cfRule type="cellIs" dxfId="323" priority="705" operator="lessThanOrEqual">
      <formula>0</formula>
    </cfRule>
    <cfRule type="cellIs" dxfId="322" priority="704" operator="greaterThan">
      <formula>$O$11</formula>
    </cfRule>
  </conditionalFormatting>
  <conditionalFormatting sqref="Q53">
    <cfRule type="cellIs" dxfId="321" priority="248" operator="lessThanOrEqual">
      <formula>0</formula>
    </cfRule>
    <cfRule type="cellIs" dxfId="320" priority="247" operator="greaterThan">
      <formula>$O$11</formula>
    </cfRule>
    <cfRule type="cellIs" dxfId="319" priority="249" operator="greaterThan">
      <formula>#REF!</formula>
    </cfRule>
  </conditionalFormatting>
  <conditionalFormatting sqref="Q56">
    <cfRule type="cellIs" dxfId="318" priority="729" operator="greaterThan">
      <formula>$O$11</formula>
    </cfRule>
    <cfRule type="cellIs" dxfId="317" priority="730" operator="lessThanOrEqual">
      <formula>0</formula>
    </cfRule>
    <cfRule type="cellIs" dxfId="316" priority="732" operator="greaterThan">
      <formula>#REF!</formula>
    </cfRule>
  </conditionalFormatting>
  <conditionalFormatting sqref="Q58">
    <cfRule type="cellIs" dxfId="315" priority="725" operator="lessThanOrEqual">
      <formula>0</formula>
    </cfRule>
    <cfRule type="cellIs" dxfId="314" priority="726" operator="greaterThan">
      <formula>#REF!</formula>
    </cfRule>
    <cfRule type="cellIs" dxfId="313" priority="724" operator="greaterThan">
      <formula>$O$11</formula>
    </cfRule>
  </conditionalFormatting>
  <conditionalFormatting sqref="Q60">
    <cfRule type="cellIs" dxfId="312" priority="723" operator="greaterThan">
      <formula>#REF!</formula>
    </cfRule>
    <cfRule type="cellIs" dxfId="311" priority="722" operator="lessThanOrEqual">
      <formula>0</formula>
    </cfRule>
    <cfRule type="cellIs" dxfId="310" priority="721" operator="greaterThan">
      <formula>$O$11</formula>
    </cfRule>
  </conditionalFormatting>
  <conditionalFormatting sqref="Q62">
    <cfRule type="cellIs" dxfId="309" priority="240" operator="greaterThan">
      <formula>$O$11</formula>
    </cfRule>
    <cfRule type="cellIs" dxfId="308" priority="241" operator="lessThanOrEqual">
      <formula>0</formula>
    </cfRule>
    <cfRule type="cellIs" dxfId="307" priority="242" operator="greaterThan">
      <formula>#REF!</formula>
    </cfRule>
  </conditionalFormatting>
  <conditionalFormatting sqref="Q65">
    <cfRule type="cellIs" dxfId="306" priority="664" operator="lessThanOrEqual">
      <formula>0</formula>
    </cfRule>
    <cfRule type="cellIs" dxfId="305" priority="665" operator="greaterThan">
      <formula>#REF!</formula>
    </cfRule>
    <cfRule type="cellIs" dxfId="304" priority="663" operator="greaterThan">
      <formula>$O$11</formula>
    </cfRule>
  </conditionalFormatting>
  <conditionalFormatting sqref="Q71">
    <cfRule type="cellIs" dxfId="303" priority="235" operator="greaterThan">
      <formula>#REF!</formula>
    </cfRule>
    <cfRule type="cellIs" dxfId="302" priority="233" operator="greaterThan">
      <formula>$O$11</formula>
    </cfRule>
    <cfRule type="cellIs" dxfId="301" priority="234" operator="lessThanOrEqual">
      <formula>0</formula>
    </cfRule>
  </conditionalFormatting>
  <conditionalFormatting sqref="Q80">
    <cfRule type="cellIs" dxfId="300" priority="226" operator="greaterThan">
      <formula>$O$11</formula>
    </cfRule>
    <cfRule type="cellIs" dxfId="299" priority="227" operator="lessThanOrEqual">
      <formula>0</formula>
    </cfRule>
    <cfRule type="cellIs" dxfId="298" priority="228" operator="greaterThan">
      <formula>#REF!</formula>
    </cfRule>
  </conditionalFormatting>
  <conditionalFormatting sqref="Q89">
    <cfRule type="cellIs" dxfId="297" priority="221" operator="greaterThan">
      <formula>#REF!</formula>
    </cfRule>
    <cfRule type="cellIs" dxfId="296" priority="220" operator="lessThanOrEqual">
      <formula>0</formula>
    </cfRule>
    <cfRule type="cellIs" dxfId="295" priority="219" operator="greaterThan">
      <formula>$O$11</formula>
    </cfRule>
  </conditionalFormatting>
  <conditionalFormatting sqref="Q98">
    <cfRule type="cellIs" dxfId="294" priority="214" operator="greaterThan">
      <formula>#REF!</formula>
    </cfRule>
    <cfRule type="cellIs" dxfId="293" priority="213" operator="lessThanOrEqual">
      <formula>0</formula>
    </cfRule>
    <cfRule type="cellIs" dxfId="292" priority="212" operator="greaterThan">
      <formula>$O$11</formula>
    </cfRule>
  </conditionalFormatting>
  <conditionalFormatting sqref="Q107">
    <cfRule type="cellIs" dxfId="291" priority="205" operator="greaterThan">
      <formula>$O$11</formula>
    </cfRule>
    <cfRule type="cellIs" dxfId="290" priority="207" operator="greaterThan">
      <formula>#REF!</formula>
    </cfRule>
    <cfRule type="cellIs" dxfId="289" priority="206" operator="lessThanOrEqual">
      <formula>0</formula>
    </cfRule>
  </conditionalFormatting>
  <conditionalFormatting sqref="Q116">
    <cfRule type="cellIs" dxfId="288" priority="200" operator="greaterThan">
      <formula>#REF!</formula>
    </cfRule>
    <cfRule type="cellIs" dxfId="287" priority="199" operator="lessThanOrEqual">
      <formula>0</formula>
    </cfRule>
    <cfRule type="cellIs" dxfId="286" priority="198" operator="greaterThan">
      <formula>$O$11</formula>
    </cfRule>
  </conditionalFormatting>
  <conditionalFormatting sqref="Q125">
    <cfRule type="cellIs" dxfId="285" priority="192" operator="lessThanOrEqual">
      <formula>0</formula>
    </cfRule>
    <cfRule type="cellIs" dxfId="284" priority="193" operator="greaterThan">
      <formula>#REF!</formula>
    </cfRule>
    <cfRule type="cellIs" dxfId="283" priority="191" operator="greaterThan">
      <formula>$O$11</formula>
    </cfRule>
  </conditionalFormatting>
  <conditionalFormatting sqref="Q128 Q146">
    <cfRule type="cellIs" dxfId="282" priority="446" operator="greaterThan">
      <formula>#REF!</formula>
    </cfRule>
  </conditionalFormatting>
  <conditionalFormatting sqref="Q128">
    <cfRule type="cellIs" dxfId="281" priority="445" operator="lessThanOrEqual">
      <formula>0</formula>
    </cfRule>
    <cfRule type="cellIs" dxfId="280" priority="444" operator="greaterThan">
      <formula>$O$11</formula>
    </cfRule>
  </conditionalFormatting>
  <conditionalFormatting sqref="Q130">
    <cfRule type="cellIs" dxfId="279" priority="415" operator="greaterThan">
      <formula>#REF!</formula>
    </cfRule>
    <cfRule type="cellIs" dxfId="278" priority="413" operator="greaterThan">
      <formula>$O$11</formula>
    </cfRule>
    <cfRule type="cellIs" dxfId="277" priority="414" operator="lessThanOrEqual">
      <formula>0</formula>
    </cfRule>
  </conditionalFormatting>
  <conditionalFormatting sqref="Q132">
    <cfRule type="cellIs" dxfId="276" priority="411" operator="lessThanOrEqual">
      <formula>0</formula>
    </cfRule>
    <cfRule type="cellIs" dxfId="275" priority="410" operator="greaterThan">
      <formula>$O$11</formula>
    </cfRule>
    <cfRule type="cellIs" dxfId="274" priority="412" operator="greaterThan">
      <formula>#REF!</formula>
    </cfRule>
  </conditionalFormatting>
  <conditionalFormatting sqref="Q134">
    <cfRule type="cellIs" dxfId="273" priority="186" operator="greaterThan">
      <formula>#REF!</formula>
    </cfRule>
    <cfRule type="cellIs" dxfId="272" priority="185" operator="lessThanOrEqual">
      <formula>0</formula>
    </cfRule>
    <cfRule type="cellIs" dxfId="271" priority="184" operator="greaterThan">
      <formula>$O$11</formula>
    </cfRule>
  </conditionalFormatting>
  <conditionalFormatting sqref="Q137">
    <cfRule type="cellIs" dxfId="270" priority="432" operator="greaterThan">
      <formula>#REF!</formula>
    </cfRule>
    <cfRule type="cellIs" dxfId="269" priority="431" operator="lessThanOrEqual">
      <formula>0</formula>
    </cfRule>
    <cfRule type="cellIs" dxfId="268" priority="430" operator="greaterThan">
      <formula>$O$11</formula>
    </cfRule>
  </conditionalFormatting>
  <conditionalFormatting sqref="Q139">
    <cfRule type="cellIs" dxfId="267" priority="407" operator="greaterThan">
      <formula>$O$11</formula>
    </cfRule>
    <cfRule type="cellIs" dxfId="266" priority="408" operator="lessThanOrEqual">
      <formula>0</formula>
    </cfRule>
    <cfRule type="cellIs" dxfId="265" priority="409" operator="greaterThan">
      <formula>#REF!</formula>
    </cfRule>
  </conditionalFormatting>
  <conditionalFormatting sqref="Q143">
    <cfRule type="cellIs" dxfId="264" priority="177" operator="greaterThan">
      <formula>$O$11</formula>
    </cfRule>
    <cfRule type="cellIs" dxfId="263" priority="179" operator="greaterThan">
      <formula>#REF!</formula>
    </cfRule>
    <cfRule type="cellIs" dxfId="262" priority="178" operator="lessThanOrEqual">
      <formula>0</formula>
    </cfRule>
  </conditionalFormatting>
  <conditionalFormatting sqref="Q146">
    <cfRule type="cellIs" dxfId="261" priority="443" operator="lessThanOrEqual">
      <formula>0</formula>
    </cfRule>
    <cfRule type="cellIs" dxfId="260" priority="442" operator="greaterThan">
      <formula>$O$11</formula>
    </cfRule>
  </conditionalFormatting>
  <conditionalFormatting sqref="Q148">
    <cfRule type="cellIs" dxfId="259" priority="404" operator="greaterThan">
      <formula>$O$11</formula>
    </cfRule>
    <cfRule type="cellIs" dxfId="258" priority="405" operator="lessThanOrEqual">
      <formula>0</formula>
    </cfRule>
    <cfRule type="cellIs" dxfId="257" priority="406" operator="greaterThan">
      <formula>#REF!</formula>
    </cfRule>
  </conditionalFormatting>
  <conditionalFormatting sqref="Q150">
    <cfRule type="cellIs" dxfId="256" priority="403" operator="greaterThan">
      <formula>#REF!</formula>
    </cfRule>
    <cfRule type="cellIs" dxfId="255" priority="401" operator="greaterThan">
      <formula>$O$11</formula>
    </cfRule>
    <cfRule type="cellIs" dxfId="254" priority="402" operator="lessThanOrEqual">
      <formula>0</formula>
    </cfRule>
  </conditionalFormatting>
  <conditionalFormatting sqref="Q152">
    <cfRule type="cellIs" dxfId="253" priority="170" operator="greaterThan">
      <formula>$O$11</formula>
    </cfRule>
    <cfRule type="cellIs" dxfId="252" priority="172" operator="greaterThan">
      <formula>#REF!</formula>
    </cfRule>
    <cfRule type="cellIs" dxfId="251" priority="171" operator="lessThanOrEqual">
      <formula>0</formula>
    </cfRule>
  </conditionalFormatting>
  <conditionalFormatting sqref="Q155">
    <cfRule type="cellIs" dxfId="250" priority="291" operator="greaterThan">
      <formula>$O$11</formula>
    </cfRule>
    <cfRule type="cellIs" dxfId="249" priority="292" operator="lessThanOrEqual">
      <formula>0</formula>
    </cfRule>
    <cfRule type="cellIs" dxfId="248" priority="293" operator="greaterThan">
      <formula>#REF!</formula>
    </cfRule>
  </conditionalFormatting>
  <conditionalFormatting sqref="Q157">
    <cfRule type="cellIs" dxfId="247" priority="427" operator="greaterThan">
      <formula>$O$11</formula>
    </cfRule>
    <cfRule type="cellIs" dxfId="246" priority="428" operator="lessThanOrEqual">
      <formula>0</formula>
    </cfRule>
    <cfRule type="cellIs" dxfId="245" priority="429" operator="greaterThan">
      <formula>#REF!</formula>
    </cfRule>
  </conditionalFormatting>
  <conditionalFormatting sqref="Q159">
    <cfRule type="cellIs" dxfId="244" priority="424" operator="greaterThan">
      <formula>#REF!</formula>
    </cfRule>
    <cfRule type="cellIs" dxfId="243" priority="423" operator="lessThanOrEqual">
      <formula>0</formula>
    </cfRule>
    <cfRule type="cellIs" dxfId="242" priority="422" operator="greaterThan">
      <formula>$O$11</formula>
    </cfRule>
  </conditionalFormatting>
  <conditionalFormatting sqref="Q161">
    <cfRule type="cellIs" dxfId="241" priority="163" operator="greaterThan">
      <formula>$O$11</formula>
    </cfRule>
    <cfRule type="cellIs" dxfId="240" priority="165" operator="greaterThan">
      <formula>#REF!</formula>
    </cfRule>
    <cfRule type="cellIs" dxfId="239" priority="164" operator="lessThanOrEqual">
      <formula>0</formula>
    </cfRule>
  </conditionalFormatting>
  <conditionalFormatting sqref="Q164">
    <cfRule type="cellIs" dxfId="238" priority="287" operator="greaterThan">
      <formula>$O$11</formula>
    </cfRule>
    <cfRule type="cellIs" dxfId="237" priority="289" operator="greaterThan">
      <formula>#REF!</formula>
    </cfRule>
    <cfRule type="cellIs" dxfId="236" priority="288" operator="lessThanOrEqual">
      <formula>0</formula>
    </cfRule>
  </conditionalFormatting>
  <conditionalFormatting sqref="Q166">
    <cfRule type="cellIs" dxfId="235" priority="395" operator="greaterThan">
      <formula>$O$11</formula>
    </cfRule>
    <cfRule type="cellIs" dxfId="234" priority="397" operator="greaterThan">
      <formula>#REF!</formula>
    </cfRule>
    <cfRule type="cellIs" dxfId="233" priority="396" operator="lessThanOrEqual">
      <formula>0</formula>
    </cfRule>
  </conditionalFormatting>
  <conditionalFormatting sqref="Q168">
    <cfRule type="cellIs" dxfId="232" priority="421" operator="greaterThan">
      <formula>#REF!</formula>
    </cfRule>
    <cfRule type="cellIs" dxfId="231" priority="419" operator="greaterThan">
      <formula>$O$11</formula>
    </cfRule>
    <cfRule type="cellIs" dxfId="230" priority="420" operator="lessThanOrEqual">
      <formula>0</formula>
    </cfRule>
  </conditionalFormatting>
  <conditionalFormatting sqref="Q170">
    <cfRule type="cellIs" dxfId="229" priority="156" operator="greaterThan">
      <formula>$O$11</formula>
    </cfRule>
    <cfRule type="cellIs" dxfId="228" priority="157" operator="lessThanOrEqual">
      <formula>0</formula>
    </cfRule>
    <cfRule type="cellIs" dxfId="227" priority="158" operator="greaterThan">
      <formula>#REF!</formula>
    </cfRule>
  </conditionalFormatting>
  <conditionalFormatting sqref="Q173">
    <cfRule type="cellIs" dxfId="226" priority="439" operator="greaterThan">
      <formula>$O$11</formula>
    </cfRule>
    <cfRule type="cellIs" dxfId="225" priority="441" operator="greaterThan">
      <formula>#REF!</formula>
    </cfRule>
    <cfRule type="cellIs" dxfId="224" priority="440" operator="lessThanOrEqual">
      <formula>0</formula>
    </cfRule>
  </conditionalFormatting>
  <conditionalFormatting sqref="Q175">
    <cfRule type="cellIs" dxfId="223" priority="438" operator="greaterThan">
      <formula>#REF!</formula>
    </cfRule>
    <cfRule type="cellIs" dxfId="222" priority="436" operator="greaterThan">
      <formula>$O$11</formula>
    </cfRule>
    <cfRule type="cellIs" dxfId="221" priority="437" operator="lessThanOrEqual">
      <formula>0</formula>
    </cfRule>
  </conditionalFormatting>
  <conditionalFormatting sqref="Q177">
    <cfRule type="cellIs" dxfId="220" priority="434" operator="lessThanOrEqual">
      <formula>0</formula>
    </cfRule>
    <cfRule type="cellIs" dxfId="219" priority="433" operator="greaterThan">
      <formula>$O$11</formula>
    </cfRule>
    <cfRule type="cellIs" dxfId="218" priority="435" operator="greaterThan">
      <formula>#REF!</formula>
    </cfRule>
  </conditionalFormatting>
  <conditionalFormatting sqref="Q179">
    <cfRule type="cellIs" dxfId="217" priority="150" operator="lessThanOrEqual">
      <formula>0</formula>
    </cfRule>
    <cfRule type="cellIs" dxfId="216" priority="151" operator="greaterThan">
      <formula>#REF!</formula>
    </cfRule>
    <cfRule type="cellIs" dxfId="215" priority="149" operator="greaterThan">
      <formula>$O$11</formula>
    </cfRule>
  </conditionalFormatting>
  <conditionalFormatting sqref="Q182">
    <cfRule type="cellIs" dxfId="214" priority="394" operator="greaterThan">
      <formula>#REF!</formula>
    </cfRule>
    <cfRule type="cellIs" dxfId="213" priority="393" operator="lessThanOrEqual">
      <formula>0</formula>
    </cfRule>
    <cfRule type="cellIs" dxfId="212" priority="392" operator="greaterThan">
      <formula>$O$11</formula>
    </cfRule>
  </conditionalFormatting>
  <conditionalFormatting sqref="Q188">
    <cfRule type="cellIs" dxfId="211" priority="142" operator="greaterThan">
      <formula>$O$11</formula>
    </cfRule>
    <cfRule type="cellIs" dxfId="210" priority="143" operator="lessThanOrEqual">
      <formula>0</formula>
    </cfRule>
    <cfRule type="cellIs" dxfId="209" priority="144" operator="greaterThan">
      <formula>#REF!</formula>
    </cfRule>
  </conditionalFormatting>
  <conditionalFormatting sqref="Q197">
    <cfRule type="cellIs" dxfId="208" priority="135" operator="greaterThan">
      <formula>$O$11</formula>
    </cfRule>
    <cfRule type="cellIs" dxfId="207" priority="136" operator="lessThanOrEqual">
      <formula>0</formula>
    </cfRule>
    <cfRule type="cellIs" dxfId="206" priority="137" operator="greaterThan">
      <formula>#REF!</formula>
    </cfRule>
  </conditionalFormatting>
  <conditionalFormatting sqref="Q206">
    <cfRule type="cellIs" dxfId="205" priority="128" operator="greaterThan">
      <formula>$O$11</formula>
    </cfRule>
    <cfRule type="cellIs" dxfId="204" priority="129" operator="lessThanOrEqual">
      <formula>0</formula>
    </cfRule>
    <cfRule type="cellIs" dxfId="203" priority="130" operator="greaterThan">
      <formula>#REF!</formula>
    </cfRule>
  </conditionalFormatting>
  <conditionalFormatting sqref="Q215">
    <cfRule type="cellIs" dxfId="202" priority="121" operator="greaterThan">
      <formula>$O$11</formula>
    </cfRule>
    <cfRule type="cellIs" dxfId="201" priority="123" operator="greaterThan">
      <formula>#REF!</formula>
    </cfRule>
    <cfRule type="cellIs" dxfId="200" priority="122" operator="lessThanOrEqual">
      <formula>0</formula>
    </cfRule>
  </conditionalFormatting>
  <conditionalFormatting sqref="Q224">
    <cfRule type="cellIs" dxfId="199" priority="93" operator="greaterThan">
      <formula>$O$11</formula>
    </cfRule>
    <cfRule type="cellIs" dxfId="198" priority="95" operator="greaterThan">
      <formula>#REF!</formula>
    </cfRule>
    <cfRule type="cellIs" dxfId="197" priority="94" operator="lessThanOrEqual">
      <formula>0</formula>
    </cfRule>
  </conditionalFormatting>
  <conditionalFormatting sqref="Q233">
    <cfRule type="cellIs" dxfId="196" priority="115" operator="lessThanOrEqual">
      <formula>0</formula>
    </cfRule>
    <cfRule type="cellIs" dxfId="195" priority="114" operator="greaterThan">
      <formula>$O$11</formula>
    </cfRule>
    <cfRule type="cellIs" dxfId="194" priority="116" operator="greaterThan">
      <formula>#REF!</formula>
    </cfRule>
  </conditionalFormatting>
  <conditionalFormatting sqref="Q242">
    <cfRule type="cellIs" dxfId="193" priority="109" operator="greaterThan">
      <formula>#REF!</formula>
    </cfRule>
    <cfRule type="cellIs" dxfId="192" priority="107" operator="greaterThan">
      <formula>$O$11</formula>
    </cfRule>
    <cfRule type="cellIs" dxfId="191" priority="108" operator="lessThanOrEqual">
      <formula>0</formula>
    </cfRule>
  </conditionalFormatting>
  <conditionalFormatting sqref="S11 S13 S15 S20 S22 S24 S29 S31 S33 S38 S40 S42 S47 S49 S51 S56 S58 S60 S65 S67">
    <cfRule type="containsErrors" dxfId="190" priority="1083">
      <formula>ISERROR(S11)</formula>
    </cfRule>
  </conditionalFormatting>
  <conditionalFormatting sqref="S17">
    <cfRule type="containsErrors" dxfId="189" priority="280">
      <formula>ISERROR(S17)</formula>
    </cfRule>
  </conditionalFormatting>
  <conditionalFormatting sqref="S26">
    <cfRule type="containsErrors" dxfId="188" priority="65">
      <formula>ISERROR(S26)</formula>
    </cfRule>
  </conditionalFormatting>
  <conditionalFormatting sqref="S35">
    <cfRule type="containsErrors" dxfId="187" priority="63">
      <formula>ISERROR(S35)</formula>
    </cfRule>
  </conditionalFormatting>
  <conditionalFormatting sqref="S44">
    <cfRule type="containsErrors" dxfId="186" priority="61">
      <formula>ISERROR(S44)</formula>
    </cfRule>
  </conditionalFormatting>
  <conditionalFormatting sqref="S53">
    <cfRule type="containsErrors" dxfId="185" priority="59">
      <formula>ISERROR(S53)</formula>
    </cfRule>
  </conditionalFormatting>
  <conditionalFormatting sqref="S62">
    <cfRule type="containsErrors" dxfId="184" priority="57">
      <formula>ISERROR(S62)</formula>
    </cfRule>
  </conditionalFormatting>
  <conditionalFormatting sqref="S69">
    <cfRule type="containsErrors" dxfId="183" priority="624">
      <formula>ISERROR(S69)</formula>
    </cfRule>
  </conditionalFormatting>
  <conditionalFormatting sqref="S71">
    <cfRule type="containsErrors" dxfId="182" priority="55">
      <formula>ISERROR(S71)</formula>
    </cfRule>
  </conditionalFormatting>
  <conditionalFormatting sqref="S74">
    <cfRule type="containsErrors" dxfId="181" priority="615">
      <formula>ISERROR(S74)</formula>
    </cfRule>
  </conditionalFormatting>
  <conditionalFormatting sqref="S76">
    <cfRule type="containsErrors" dxfId="180" priority="606">
      <formula>ISERROR(S76)</formula>
    </cfRule>
  </conditionalFormatting>
  <conditionalFormatting sqref="S78">
    <cfRule type="containsErrors" dxfId="179" priority="597">
      <formula>ISERROR(S78)</formula>
    </cfRule>
  </conditionalFormatting>
  <conditionalFormatting sqref="S80">
    <cfRule type="containsErrors" dxfId="178" priority="53">
      <formula>ISERROR(S80)</formula>
    </cfRule>
  </conditionalFormatting>
  <conditionalFormatting sqref="S83">
    <cfRule type="containsErrors" dxfId="177" priority="588">
      <formula>ISERROR(S83)</formula>
    </cfRule>
  </conditionalFormatting>
  <conditionalFormatting sqref="S85">
    <cfRule type="containsErrors" dxfId="176" priority="579">
      <formula>ISERROR(S85)</formula>
    </cfRule>
  </conditionalFormatting>
  <conditionalFormatting sqref="S87">
    <cfRule type="containsErrors" dxfId="175" priority="570">
      <formula>ISERROR(S87)</formula>
    </cfRule>
  </conditionalFormatting>
  <conditionalFormatting sqref="S89">
    <cfRule type="containsErrors" dxfId="174" priority="51">
      <formula>ISERROR(S89)</formula>
    </cfRule>
  </conditionalFormatting>
  <conditionalFormatting sqref="S92">
    <cfRule type="containsErrors" dxfId="173" priority="561">
      <formula>ISERROR(S92)</formula>
    </cfRule>
  </conditionalFormatting>
  <conditionalFormatting sqref="S94">
    <cfRule type="containsErrors" dxfId="172" priority="552">
      <formula>ISERROR(S94)</formula>
    </cfRule>
  </conditionalFormatting>
  <conditionalFormatting sqref="S96">
    <cfRule type="containsErrors" dxfId="171" priority="543">
      <formula>ISERROR(S96)</formula>
    </cfRule>
  </conditionalFormatting>
  <conditionalFormatting sqref="S98">
    <cfRule type="containsErrors" dxfId="170" priority="49">
      <formula>ISERROR(S98)</formula>
    </cfRule>
  </conditionalFormatting>
  <conditionalFormatting sqref="S107">
    <cfRule type="containsErrors" dxfId="169" priority="47">
      <formula>ISERROR(S107)</formula>
    </cfRule>
  </conditionalFormatting>
  <conditionalFormatting sqref="S116">
    <cfRule type="containsErrors" dxfId="168" priority="45">
      <formula>ISERROR(S116)</formula>
    </cfRule>
  </conditionalFormatting>
  <conditionalFormatting sqref="S125">
    <cfRule type="containsErrors" dxfId="167" priority="43">
      <formula>ISERROR(S125)</formula>
    </cfRule>
  </conditionalFormatting>
  <conditionalFormatting sqref="S128 S155 S164 S130 S132 S137 S139 S141 S146 S148 S150 S157 S159 S166 S168 S173 S175 S177 S182 S184 N214:O214">
    <cfRule type="containsErrors" dxfId="166" priority="450">
      <formula>ISERROR(N128)</formula>
    </cfRule>
  </conditionalFormatting>
  <conditionalFormatting sqref="S134">
    <cfRule type="containsErrors" dxfId="165" priority="41">
      <formula>ISERROR(S134)</formula>
    </cfRule>
  </conditionalFormatting>
  <conditionalFormatting sqref="S143">
    <cfRule type="containsErrors" dxfId="164" priority="39">
      <formula>ISERROR(S143)</formula>
    </cfRule>
  </conditionalFormatting>
  <conditionalFormatting sqref="S152">
    <cfRule type="containsErrors" dxfId="163" priority="37">
      <formula>ISERROR(S152)</formula>
    </cfRule>
  </conditionalFormatting>
  <conditionalFormatting sqref="S161">
    <cfRule type="containsErrors" dxfId="162" priority="35">
      <formula>ISERROR(S161)</formula>
    </cfRule>
  </conditionalFormatting>
  <conditionalFormatting sqref="S170">
    <cfRule type="containsErrors" dxfId="161" priority="33">
      <formula>ISERROR(S170)</formula>
    </cfRule>
  </conditionalFormatting>
  <conditionalFormatting sqref="S179">
    <cfRule type="containsErrors" dxfId="160" priority="31">
      <formula>ISERROR(S179)</formula>
    </cfRule>
  </conditionalFormatting>
  <conditionalFormatting sqref="S186">
    <cfRule type="containsErrors" dxfId="159" priority="391">
      <formula>ISERROR(S186)</formula>
    </cfRule>
  </conditionalFormatting>
  <conditionalFormatting sqref="S188">
    <cfRule type="containsErrors" dxfId="158" priority="29">
      <formula>ISERROR(S188)</formula>
    </cfRule>
  </conditionalFormatting>
  <conditionalFormatting sqref="S191">
    <cfRule type="containsErrors" dxfId="157" priority="385">
      <formula>ISERROR(S191)</formula>
    </cfRule>
  </conditionalFormatting>
  <conditionalFormatting sqref="S193">
    <cfRule type="containsErrors" dxfId="156" priority="379">
      <formula>ISERROR(S193)</formula>
    </cfRule>
  </conditionalFormatting>
  <conditionalFormatting sqref="S195">
    <cfRule type="containsErrors" dxfId="155" priority="372">
      <formula>ISERROR(S195)</formula>
    </cfRule>
  </conditionalFormatting>
  <conditionalFormatting sqref="S197">
    <cfRule type="containsErrors" dxfId="154" priority="27">
      <formula>ISERROR(S197)</formula>
    </cfRule>
  </conditionalFormatting>
  <conditionalFormatting sqref="S200">
    <cfRule type="containsErrors" dxfId="153" priority="366">
      <formula>ISERROR(S200)</formula>
    </cfRule>
  </conditionalFormatting>
  <conditionalFormatting sqref="S202">
    <cfRule type="containsErrors" dxfId="152" priority="360">
      <formula>ISERROR(S202)</formula>
    </cfRule>
  </conditionalFormatting>
  <conditionalFormatting sqref="S204">
    <cfRule type="containsErrors" dxfId="151" priority="353">
      <formula>ISERROR(S204)</formula>
    </cfRule>
  </conditionalFormatting>
  <conditionalFormatting sqref="S206">
    <cfRule type="containsErrors" dxfId="150" priority="23">
      <formula>ISERROR(S206)</formula>
    </cfRule>
  </conditionalFormatting>
  <conditionalFormatting sqref="S209">
    <cfRule type="containsErrors" dxfId="149" priority="347">
      <formula>ISERROR(S209)</formula>
    </cfRule>
  </conditionalFormatting>
  <conditionalFormatting sqref="S211">
    <cfRule type="containsErrors" dxfId="148" priority="341">
      <formula>ISERROR(S211)</formula>
    </cfRule>
  </conditionalFormatting>
  <conditionalFormatting sqref="S213">
    <cfRule type="containsErrors" dxfId="147" priority="334">
      <formula>ISERROR(S213)</formula>
    </cfRule>
  </conditionalFormatting>
  <conditionalFormatting sqref="S215">
    <cfRule type="containsErrors" dxfId="146" priority="21">
      <formula>ISERROR(S215)</formula>
    </cfRule>
  </conditionalFormatting>
  <conditionalFormatting sqref="S224">
    <cfRule type="containsErrors" dxfId="145" priority="19">
      <formula>ISERROR(S224)</formula>
    </cfRule>
  </conditionalFormatting>
  <conditionalFormatting sqref="S233">
    <cfRule type="containsErrors" dxfId="144" priority="17">
      <formula>ISERROR(S233)</formula>
    </cfRule>
  </conditionalFormatting>
  <conditionalFormatting sqref="S242">
    <cfRule type="containsErrors" dxfId="143" priority="15">
      <formula>ISERROR(S242)</formula>
    </cfRule>
  </conditionalFormatting>
  <conditionalFormatting sqref="S246:S248">
    <cfRule type="containsErrors" dxfId="142" priority="1070">
      <formula>ISERROR(S246)</formula>
    </cfRule>
  </conditionalFormatting>
  <conditionalFormatting sqref="T259">
    <cfRule type="cellIs" dxfId="141" priority="671" operator="greaterThan">
      <formula>$O$11</formula>
    </cfRule>
    <cfRule type="cellIs" dxfId="140" priority="672" operator="lessThanOrEqual">
      <formula>0</formula>
    </cfRule>
    <cfRule type="cellIs" dxfId="139" priority="673" operator="greaterThan">
      <formula>#REF!</formula>
    </cfRule>
  </conditionalFormatting>
  <conditionalFormatting sqref="T266">
    <cfRule type="cellIs" dxfId="138" priority="667" operator="greaterThan">
      <formula>$O$11</formula>
    </cfRule>
    <cfRule type="cellIs" dxfId="137" priority="668" operator="lessThanOrEqual">
      <formula>0</formula>
    </cfRule>
    <cfRule type="cellIs" dxfId="136" priority="670" operator="greaterThan">
      <formula>#REF!</formula>
    </cfRule>
  </conditionalFormatting>
  <conditionalFormatting sqref="U11 H12 I18">
    <cfRule type="expression" dxfId="135" priority="1084">
      <formula>$U$11=0</formula>
    </cfRule>
  </conditionalFormatting>
  <conditionalFormatting sqref="U20 H21 I27">
    <cfRule type="expression" dxfId="134" priority="514">
      <formula>$U$20=0</formula>
    </cfRule>
  </conditionalFormatting>
  <conditionalFormatting sqref="U29 H30 I36">
    <cfRule type="expression" dxfId="133" priority="513">
      <formula>$U$29=0</formula>
    </cfRule>
  </conditionalFormatting>
  <conditionalFormatting sqref="U38 H39 I45">
    <cfRule type="expression" dxfId="132" priority="512">
      <formula>$U$38=0</formula>
    </cfRule>
  </conditionalFormatting>
  <conditionalFormatting sqref="U47 H48 I54">
    <cfRule type="expression" dxfId="131" priority="511">
      <formula>$U$47=0</formula>
    </cfRule>
  </conditionalFormatting>
  <conditionalFormatting sqref="U56 H57 I63">
    <cfRule type="expression" dxfId="130" priority="510">
      <formula>$U$56=0</formula>
    </cfRule>
  </conditionalFormatting>
  <conditionalFormatting sqref="U65 H66 I72">
    <cfRule type="expression" dxfId="129" priority="509">
      <formula>$U$65=0</formula>
    </cfRule>
  </conditionalFormatting>
  <conditionalFormatting sqref="U74 H75 I81">
    <cfRule type="expression" dxfId="128" priority="508">
      <formula>$U$74=0</formula>
    </cfRule>
  </conditionalFormatting>
  <conditionalFormatting sqref="U83 H84 I90">
    <cfRule type="expression" dxfId="127" priority="507">
      <formula>$U$83=0</formula>
    </cfRule>
  </conditionalFormatting>
  <conditionalFormatting sqref="U92 H93 I99">
    <cfRule type="expression" dxfId="126" priority="506">
      <formula>$U$92=0</formula>
    </cfRule>
  </conditionalFormatting>
  <conditionalFormatting sqref="U101 H102 I108">
    <cfRule type="expression" dxfId="125" priority="505">
      <formula>$U$101=0</formula>
    </cfRule>
  </conditionalFormatting>
  <conditionalFormatting sqref="U110 H111 I117">
    <cfRule type="expression" dxfId="124" priority="498">
      <formula>$U$110=0</formula>
    </cfRule>
  </conditionalFormatting>
  <conditionalFormatting sqref="U119 H120 I126">
    <cfRule type="expression" dxfId="123" priority="482">
      <formula>$U$119=0</formula>
    </cfRule>
  </conditionalFormatting>
  <conditionalFormatting sqref="U128 H129 I135">
    <cfRule type="expression" dxfId="122" priority="451">
      <formula>$U$128=0</formula>
    </cfRule>
  </conditionalFormatting>
  <conditionalFormatting sqref="U137 H138 I144">
    <cfRule type="expression" dxfId="121" priority="327">
      <formula>$U$137=0</formula>
    </cfRule>
  </conditionalFormatting>
  <conditionalFormatting sqref="U146 H147 I153">
    <cfRule type="expression" dxfId="120" priority="326">
      <formula>$U$146=0</formula>
    </cfRule>
  </conditionalFormatting>
  <conditionalFormatting sqref="U155 H156 I162">
    <cfRule type="expression" dxfId="119" priority="325">
      <formula>$U$155=0</formula>
    </cfRule>
  </conditionalFormatting>
  <conditionalFormatting sqref="U164 H165 I171">
    <cfRule type="expression" dxfId="118" priority="324">
      <formula>$U$164=0</formula>
    </cfRule>
  </conditionalFormatting>
  <conditionalFormatting sqref="U173 H174 I180">
    <cfRule type="expression" dxfId="117" priority="323">
      <formula>$U$173=0</formula>
    </cfRule>
  </conditionalFormatting>
  <conditionalFormatting sqref="U182 H183 I189">
    <cfRule type="expression" dxfId="116" priority="322">
      <formula>$U$182=0</formula>
    </cfRule>
  </conditionalFormatting>
  <conditionalFormatting sqref="U191 H192 I198">
    <cfRule type="expression" dxfId="115" priority="321">
      <formula>$U$191=0</formula>
    </cfRule>
  </conditionalFormatting>
  <conditionalFormatting sqref="U200 H201 I207">
    <cfRule type="expression" dxfId="114" priority="320">
      <formula>$U$200=0</formula>
    </cfRule>
  </conditionalFormatting>
  <conditionalFormatting sqref="U209 H210 I216">
    <cfRule type="expression" dxfId="113" priority="319">
      <formula>$U$209=0</formula>
    </cfRule>
  </conditionalFormatting>
  <conditionalFormatting sqref="U218 H219 I225">
    <cfRule type="expression" dxfId="112" priority="318">
      <formula>$U$218=0</formula>
    </cfRule>
  </conditionalFormatting>
  <conditionalFormatting sqref="U227 H228 I234">
    <cfRule type="expression" dxfId="111" priority="311">
      <formula>$U$227=0</formula>
    </cfRule>
  </conditionalFormatting>
  <conditionalFormatting sqref="U236 H237 I243">
    <cfRule type="expression" dxfId="110" priority="295">
      <formula>$U$236=0</formula>
    </cfRule>
  </conditionalFormatting>
  <conditionalFormatting sqref="U260:U261 T262 U267:U268 T269 G273:H277 U274:U275 T276 U281:U282 T283">
    <cfRule type="expression" dxfId="109" priority="655">
      <formula>$Z$40="NÃO"</formula>
    </cfRule>
  </conditionalFormatting>
  <conditionalFormatting sqref="X21:AF26">
    <cfRule type="expression" dxfId="108" priority="666">
      <formula>$Z$40="NÃO"</formula>
    </cfRule>
  </conditionalFormatting>
  <conditionalFormatting sqref="Y21:Z26">
    <cfRule type="expression" dxfId="107" priority="754">
      <formula>$E$20="NÃO"</formula>
    </cfRule>
  </conditionalFormatting>
  <conditionalFormatting sqref="AC33:AG33 AD34:AG34 AC35:AG44 AD45:AG45 AC46:AG46 AD47:AG47 AE48:AG49">
    <cfRule type="expression" dxfId="106" priority="786">
      <formula>$Z$43="NÃO"</formula>
    </cfRule>
  </conditionalFormatting>
  <dataValidations count="2">
    <dataValidation type="list" allowBlank="1" showInputMessage="1" showErrorMessage="1" sqref="AE33 M224 M242 M233 M215 M206 M197 M188 M179 M170 M161 M152 M143 M134 M125 M116 M107 M98 M89 M80 M71 M62 M53 M44 M35 M26 M17 M213 M33 M42 M51 M60 M69 M78 M87 M96 M105 M222 M123 M132 M141 M150 M15 M114 M159 M168 M177 M186 M195 M204 M231 M240 M24 M238 M236 M229 M220 M227 M218 M211 M209 M202 M200 M193 M128 M184 M182 M175 M173 M166 M164 M157 M155 M148 M146 M139 M137 M130 M191 M121 M119 M112 M103 M110 M101 M94 M92 M85 M83 M76 M273 M11 M67 M65 M58 M56 M49 M47 M40 M38 M31 M29 M22 M20 M13 M266 M280 M74 P259 M259 P266 P273 P280" xr:uid="{5924E0AC-1755-4F2C-80FE-576775406B0C}">
      <formula1>$X$14:$X$20</formula1>
    </dataValidation>
    <dataValidation type="list" allowBlank="1" showInputMessage="1" showErrorMessage="1" prompt="SIM ou NÃO" sqref="I255 K74 Z40:Z41 Z43 H273 K11 K67 K65 K58 K56 K49 K47 K40 K38 K31 K29 K22 K20 H259 H266 H280 F8 K76 K83 K85 K92 K94 K101 K110 K103 K112 K13 K119 K121 K191 K128 K184 K182 K175 K173 K166 K164 K157 K155 K148 K146 K139 K137 K193 K200 K202 K209 K211 K218 K227 K220 K229 K130 K236 K238 K24 K240 K231 K204 K195 K186 K177 K168 K159 K114 K15 K150 K141 K132 K123 K96 K222 K105 K87 K78 K69 K60 K51 K42 K33 K213 K17 K26 K35 K44 K53 K62 K71 K80 K89 K98 K107 K116 K125 K134 K143 K152 K161 K170 K179 K188 K197 K206 K215 K233 K242 K224 P274:P277 P267:P270 P260:P263 P281:P284" xr:uid="{A8593FEE-86C5-4F10-9AC3-A803A965FE1A}">
      <formula1>$F$17:$F$18</formula1>
    </dataValidation>
  </dataValidations>
  <pageMargins left="0.511811024" right="0.511811024" top="0.78740157499999996" bottom="0.78740157499999996" header="0.31496062000000002" footer="0.31496062000000002"/>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8C27-F431-42D7-B62B-CAF6F2AE895C}">
  <dimension ref="B1:EW312"/>
  <sheetViews>
    <sheetView showGridLines="0" topLeftCell="F9" zoomScale="85" zoomScaleNormal="85" workbookViewId="0">
      <selection activeCell="AC30" sqref="AC30"/>
    </sheetView>
  </sheetViews>
  <sheetFormatPr defaultRowHeight="15" customHeight="1" x14ac:dyDescent="0.25"/>
  <cols>
    <col min="4" max="4" width="12.5703125" customWidth="1"/>
    <col min="5" max="5" width="13" customWidth="1"/>
    <col min="10" max="10" width="21.42578125" customWidth="1"/>
    <col min="11" max="11" width="21" customWidth="1"/>
    <col min="12" max="12" width="14.85546875" customWidth="1"/>
    <col min="14" max="14" width="11.85546875" customWidth="1"/>
    <col min="15" max="15" width="14.7109375" customWidth="1"/>
    <col min="18" max="18" width="11.85546875" customWidth="1"/>
    <col min="19" max="19" width="13.85546875" customWidth="1"/>
    <col min="23" max="23" width="11" customWidth="1"/>
    <col min="25" max="25" width="11.28515625" customWidth="1"/>
    <col min="26" max="26" width="11.85546875" customWidth="1"/>
    <col min="27" max="27" width="14.42578125" customWidth="1"/>
    <col min="28" max="28" width="13.28515625" customWidth="1"/>
    <col min="29" max="29" width="9.28515625" bestFit="1" customWidth="1"/>
    <col min="30" max="30" width="9.7109375" customWidth="1"/>
    <col min="31" max="31" width="13.140625" customWidth="1"/>
    <col min="32" max="32" width="16.42578125" customWidth="1"/>
    <col min="33" max="33" width="9.85546875" customWidth="1"/>
    <col min="34" max="34" width="10.28515625" customWidth="1"/>
    <col min="35" max="35" width="13.140625" customWidth="1"/>
    <col min="36" max="36" width="9.28515625" bestFit="1" customWidth="1"/>
    <col min="37" max="37" width="21.140625" customWidth="1"/>
    <col min="38" max="39" width="16.85546875" customWidth="1"/>
    <col min="40" max="41" width="16.5703125" customWidth="1"/>
    <col min="42" max="42" width="16.28515625" customWidth="1"/>
    <col min="43" max="43" width="14.7109375" customWidth="1"/>
    <col min="45" max="45" width="15.42578125" customWidth="1"/>
    <col min="47" max="47" width="10.5703125" customWidth="1"/>
    <col min="48" max="48" width="17.140625" customWidth="1"/>
    <col min="53" max="53" width="11.42578125" customWidth="1"/>
    <col min="54" max="54" width="13.5703125" customWidth="1"/>
    <col min="62" max="78" width="9" customWidth="1"/>
    <col min="79" max="79" width="14.7109375" customWidth="1"/>
    <col min="81" max="81" width="15.42578125" customWidth="1"/>
    <col min="83" max="83" width="10.5703125" customWidth="1"/>
    <col min="84" max="84" width="14.7109375" customWidth="1"/>
    <col min="89" max="89" width="11.42578125" customWidth="1"/>
    <col min="90" max="90" width="13.5703125" customWidth="1"/>
    <col min="98" max="114" width="9" customWidth="1"/>
    <col min="150" max="150" width="13.140625" customWidth="1"/>
    <col min="152" max="152" width="17.140625" customWidth="1"/>
  </cols>
  <sheetData>
    <row r="1" spans="2:153" ht="15" customHeight="1" thickBot="1" x14ac:dyDescent="0.3"/>
    <row r="2" spans="2:153" ht="15" customHeight="1" x14ac:dyDescent="0.25">
      <c r="B2" s="1600" t="s">
        <v>6</v>
      </c>
      <c r="C2" s="1601"/>
      <c r="D2" s="1601"/>
      <c r="E2" s="1601"/>
      <c r="F2" s="1602"/>
    </row>
    <row r="3" spans="2:153" ht="15" customHeight="1" x14ac:dyDescent="0.25">
      <c r="B3" s="1603" t="s">
        <v>9</v>
      </c>
      <c r="C3" s="1604"/>
      <c r="D3" s="1604"/>
      <c r="E3" s="1604"/>
      <c r="F3" s="420" t="s">
        <v>10</v>
      </c>
      <c r="H3" s="216" t="s">
        <v>195</v>
      </c>
      <c r="I3" s="216"/>
      <c r="J3" s="216"/>
      <c r="K3" s="216"/>
      <c r="L3" s="216"/>
      <c r="M3" s="216"/>
      <c r="N3" s="216"/>
      <c r="O3" s="216"/>
      <c r="P3" s="216"/>
      <c r="Q3" s="216"/>
      <c r="R3" s="216"/>
      <c r="S3" s="216"/>
    </row>
    <row r="4" spans="2:153" ht="15" customHeight="1" x14ac:dyDescent="0.25">
      <c r="B4" s="1605" t="s">
        <v>11</v>
      </c>
      <c r="C4" s="1606"/>
      <c r="D4" s="1606"/>
      <c r="E4" s="1606"/>
      <c r="F4" s="1607" t="s">
        <v>10</v>
      </c>
      <c r="H4" s="1304" t="s">
        <v>272</v>
      </c>
      <c r="I4" s="1304"/>
      <c r="J4" s="1304"/>
      <c r="K4" s="1304"/>
      <c r="L4" s="1304"/>
      <c r="M4" s="1304"/>
      <c r="N4" s="1304"/>
      <c r="O4" s="1304"/>
      <c r="P4" s="1304"/>
      <c r="Q4" s="1304"/>
      <c r="R4" s="1756" t="s">
        <v>59</v>
      </c>
      <c r="S4" s="1756"/>
    </row>
    <row r="5" spans="2:153" ht="15" customHeight="1" x14ac:dyDescent="0.25">
      <c r="B5" s="1605"/>
      <c r="C5" s="1606"/>
      <c r="D5" s="1606"/>
      <c r="E5" s="1606"/>
      <c r="F5" s="1607"/>
      <c r="H5" s="1406" t="s">
        <v>204</v>
      </c>
      <c r="I5" s="1406"/>
      <c r="J5" s="1406" t="s">
        <v>205</v>
      </c>
      <c r="K5" s="1406"/>
      <c r="L5" s="1406" t="s">
        <v>206</v>
      </c>
      <c r="M5" s="1406"/>
      <c r="N5" s="1406"/>
      <c r="O5" s="1406"/>
      <c r="P5" s="1406"/>
      <c r="Q5" s="1406"/>
      <c r="R5" s="508" t="s">
        <v>273</v>
      </c>
      <c r="S5" s="508" t="s">
        <v>274</v>
      </c>
    </row>
    <row r="6" spans="2:153" ht="15" customHeight="1" x14ac:dyDescent="0.25">
      <c r="B6" s="1603" t="s">
        <v>15</v>
      </c>
      <c r="C6" s="1604"/>
      <c r="D6" s="1604"/>
      <c r="E6" s="1604"/>
      <c r="F6" s="421" t="s">
        <v>10</v>
      </c>
      <c r="H6" s="1801" t="s">
        <v>203</v>
      </c>
      <c r="I6" s="1801"/>
      <c r="J6" s="1802" t="s">
        <v>207</v>
      </c>
      <c r="K6" s="1803"/>
      <c r="L6" s="1802" t="s">
        <v>208</v>
      </c>
      <c r="M6" s="1804"/>
      <c r="N6" s="1803"/>
      <c r="O6" s="1805" t="s">
        <v>275</v>
      </c>
      <c r="P6" s="1806"/>
      <c r="Q6" s="1807"/>
      <c r="R6" s="799">
        <f>AN28</f>
        <v>4.144705882352941</v>
      </c>
      <c r="S6" s="517">
        <f>AO28</f>
        <v>206.82082352941177</v>
      </c>
    </row>
    <row r="7" spans="2:153" ht="15" customHeight="1" x14ac:dyDescent="0.25">
      <c r="B7" s="1603" t="s">
        <v>19</v>
      </c>
      <c r="C7" s="1604"/>
      <c r="D7" s="1604"/>
      <c r="E7" s="1604"/>
      <c r="F7" s="422" t="s">
        <v>10</v>
      </c>
      <c r="H7" s="1801" t="s">
        <v>194</v>
      </c>
      <c r="I7" s="1801"/>
      <c r="J7" s="1808" t="s">
        <v>210</v>
      </c>
      <c r="K7" s="1809"/>
      <c r="L7" s="1808" t="s">
        <v>276</v>
      </c>
      <c r="M7" s="1810"/>
      <c r="N7" s="1809"/>
      <c r="O7" s="1779" t="s">
        <v>212</v>
      </c>
      <c r="P7" s="1780"/>
      <c r="Q7" s="1781"/>
      <c r="R7" s="799" t="e">
        <f>AL288</f>
        <v>#DIV/0!</v>
      </c>
      <c r="S7" s="517" t="e">
        <f>AM288</f>
        <v>#DIV/0!</v>
      </c>
    </row>
    <row r="8" spans="2:153" ht="15" customHeight="1" x14ac:dyDescent="0.25">
      <c r="B8" s="1603" t="s">
        <v>394</v>
      </c>
      <c r="C8" s="1604"/>
      <c r="D8" s="1604"/>
      <c r="E8" s="1604"/>
      <c r="F8" s="423" t="s">
        <v>189</v>
      </c>
      <c r="H8" s="1801" t="s">
        <v>213</v>
      </c>
      <c r="I8" s="1801"/>
      <c r="J8" s="1782" t="s">
        <v>214</v>
      </c>
      <c r="K8" s="1783"/>
      <c r="L8" s="1782" t="s">
        <v>215</v>
      </c>
      <c r="M8" s="1784"/>
      <c r="N8" s="1783"/>
      <c r="O8" s="1790" t="s">
        <v>216</v>
      </c>
      <c r="P8" s="1791"/>
      <c r="Q8" s="1792"/>
      <c r="R8" s="800" t="s">
        <v>267</v>
      </c>
      <c r="S8" s="518" t="s">
        <v>267</v>
      </c>
    </row>
    <row r="9" spans="2:153" ht="15" customHeight="1" x14ac:dyDescent="0.25">
      <c r="B9" s="1603" t="s">
        <v>21</v>
      </c>
      <c r="C9" s="1604"/>
      <c r="D9" s="1604"/>
      <c r="E9" s="1604"/>
      <c r="F9" s="424" t="s">
        <v>10</v>
      </c>
    </row>
    <row r="10" spans="2:153" ht="15" customHeight="1" thickBot="1" x14ac:dyDescent="0.3">
      <c r="B10" s="1603" t="s">
        <v>24</v>
      </c>
      <c r="C10" s="1604"/>
      <c r="D10" s="1604"/>
      <c r="E10" s="1604"/>
      <c r="F10" s="425" t="s">
        <v>10</v>
      </c>
      <c r="W10" s="1765" t="str">
        <f>MODELAGEM!J4</f>
        <v>REF. NOME + Nº - 15H x 10B x 5L (cm)</v>
      </c>
      <c r="X10" s="1765"/>
      <c r="Y10" s="1765"/>
      <c r="Z10" s="1765"/>
      <c r="AA10" s="1765"/>
      <c r="AB10" s="1765"/>
      <c r="AC10" s="1765"/>
      <c r="AD10" s="1765"/>
      <c r="AI10" s="135"/>
      <c r="AJ10" s="135"/>
    </row>
    <row r="11" spans="2:153" ht="15" customHeight="1" thickBot="1" x14ac:dyDescent="0.3">
      <c r="B11" s="1605" t="s">
        <v>26</v>
      </c>
      <c r="C11" s="1606"/>
      <c r="D11" s="1606"/>
      <c r="E11" s="1606"/>
      <c r="F11" s="1612" t="s">
        <v>10</v>
      </c>
      <c r="I11" s="1793" t="s">
        <v>277</v>
      </c>
      <c r="J11" s="1794"/>
      <c r="K11" s="1794"/>
      <c r="L11" s="1794"/>
      <c r="M11" s="1794"/>
      <c r="N11" s="1794"/>
      <c r="O11" s="1794"/>
      <c r="P11" s="1795"/>
      <c r="U11" s="1689" t="s">
        <v>236</v>
      </c>
      <c r="V11" s="1689"/>
      <c r="W11" s="1689"/>
      <c r="X11" s="1689"/>
      <c r="Y11" s="1689"/>
      <c r="Z11" s="1689"/>
      <c r="AA11" s="1689"/>
      <c r="AB11" s="1689"/>
      <c r="AC11" s="1689"/>
      <c r="AD11" s="1689"/>
      <c r="AE11" s="1689"/>
    </row>
    <row r="12" spans="2:153" ht="15" customHeight="1" x14ac:dyDescent="0.25">
      <c r="B12" s="1605"/>
      <c r="C12" s="1606"/>
      <c r="D12" s="1606"/>
      <c r="E12" s="1606"/>
      <c r="F12" s="1612"/>
      <c r="I12" s="61"/>
      <c r="J12" s="61"/>
      <c r="K12" s="61"/>
      <c r="L12" s="61"/>
      <c r="M12" s="61"/>
      <c r="N12" s="61"/>
      <c r="O12" s="61"/>
      <c r="P12" s="61"/>
      <c r="U12" s="1687" t="s">
        <v>237</v>
      </c>
      <c r="V12" s="1685" t="s">
        <v>238</v>
      </c>
    </row>
    <row r="13" spans="2:153" ht="15" customHeight="1" x14ac:dyDescent="0.25">
      <c r="B13" s="1603" t="s">
        <v>33</v>
      </c>
      <c r="C13" s="1604"/>
      <c r="D13" s="1604"/>
      <c r="E13" s="1604"/>
      <c r="F13" s="1610" t="s">
        <v>34</v>
      </c>
      <c r="I13" s="1757"/>
      <c r="J13" s="1758"/>
      <c r="K13" s="1758"/>
      <c r="L13" s="1758"/>
      <c r="M13" s="1758"/>
      <c r="N13" s="1758"/>
      <c r="O13" s="1758"/>
      <c r="P13" s="1759"/>
      <c r="U13" s="1688"/>
      <c r="V13" s="1686"/>
    </row>
    <row r="14" spans="2:153" ht="15" customHeight="1" thickBot="1" x14ac:dyDescent="0.3">
      <c r="B14" s="1608"/>
      <c r="C14" s="1609"/>
      <c r="D14" s="1609"/>
      <c r="E14" s="1609"/>
      <c r="F14" s="1611"/>
      <c r="I14" s="1761">
        <v>1</v>
      </c>
      <c r="J14" s="1762" t="str">
        <f>ENFESTO!W10</f>
        <v>REF. NOME + Nº - 15H x 10B x 5L (cm)</v>
      </c>
      <c r="K14" s="1762"/>
      <c r="L14" s="1762"/>
      <c r="M14" s="1762"/>
      <c r="N14" s="1762"/>
      <c r="O14" s="1762"/>
      <c r="P14" s="497"/>
      <c r="T14" s="288" t="s">
        <v>234</v>
      </c>
      <c r="U14" s="495">
        <f>'NOME + Nº'!H128</f>
        <v>20</v>
      </c>
      <c r="V14" s="496">
        <f>INT(MAX(MODELAGEM!T11:T68))</f>
        <v>2</v>
      </c>
    </row>
    <row r="15" spans="2:153" ht="15" customHeight="1" thickBot="1" x14ac:dyDescent="0.3">
      <c r="I15" s="1761"/>
      <c r="J15" s="1689" t="s">
        <v>278</v>
      </c>
      <c r="K15" s="1689"/>
      <c r="L15" s="1689"/>
      <c r="M15" s="1689"/>
      <c r="N15" s="1689"/>
      <c r="O15" s="1689"/>
      <c r="P15" s="497"/>
      <c r="AB15" s="1682" t="s">
        <v>279</v>
      </c>
      <c r="AC15" s="1682" t="s">
        <v>280</v>
      </c>
      <c r="AE15" s="1798" t="s">
        <v>59</v>
      </c>
      <c r="AF15" s="1799"/>
      <c r="AG15" s="1811" t="s">
        <v>709</v>
      </c>
      <c r="AH15" s="150"/>
      <c r="AI15" s="150"/>
      <c r="AO15" s="1639" t="s">
        <v>682</v>
      </c>
      <c r="AP15" s="1640"/>
      <c r="AQ15" s="1640"/>
      <c r="AR15" s="1640"/>
      <c r="AS15" s="1640"/>
      <c r="AT15" s="1640"/>
      <c r="AU15" s="1640"/>
      <c r="AV15" s="1640"/>
      <c r="AW15" s="1640"/>
      <c r="AX15" s="1640"/>
      <c r="AY15" s="1640"/>
      <c r="AZ15" s="1640"/>
      <c r="BA15" s="1640"/>
      <c r="BB15" s="1640"/>
      <c r="BC15" s="1640"/>
      <c r="BD15" s="1640"/>
      <c r="BE15" s="1640"/>
      <c r="BF15" s="1640"/>
      <c r="BG15" s="1640"/>
      <c r="BH15" s="1640"/>
      <c r="BI15" s="1640"/>
      <c r="BJ15" s="1640"/>
      <c r="BK15" s="1640"/>
      <c r="BL15" s="1640"/>
      <c r="BM15" s="1640"/>
      <c r="BN15" s="1640"/>
      <c r="BO15" s="1640"/>
      <c r="BP15" s="1640"/>
      <c r="BQ15" s="1640"/>
      <c r="BR15" s="1640"/>
      <c r="BS15" s="1640"/>
      <c r="BT15" s="1640"/>
      <c r="BU15" s="1640"/>
      <c r="BV15" s="1640"/>
      <c r="BW15" s="1640"/>
      <c r="BX15" s="1640"/>
      <c r="BY15" s="1640"/>
      <c r="BZ15" s="1640"/>
      <c r="CA15" s="1640"/>
      <c r="CB15" s="1640"/>
      <c r="CC15" s="1640"/>
      <c r="CD15" s="1640"/>
      <c r="CE15" s="1640"/>
      <c r="CF15" s="1640"/>
      <c r="CG15" s="1640"/>
      <c r="CH15" s="1640"/>
      <c r="CI15" s="1640"/>
      <c r="CJ15" s="1640"/>
      <c r="CK15" s="1640"/>
      <c r="CL15" s="1640"/>
      <c r="CM15" s="1640"/>
      <c r="CN15" s="1640"/>
      <c r="CO15" s="1640"/>
      <c r="CP15" s="1640"/>
      <c r="CQ15" s="1640"/>
      <c r="CR15" s="1640"/>
      <c r="CS15" s="1640"/>
      <c r="CT15" s="1640"/>
      <c r="CU15" s="1640"/>
      <c r="CV15" s="1640"/>
      <c r="CW15" s="1640"/>
      <c r="CX15" s="1640"/>
      <c r="CY15" s="1640"/>
      <c r="CZ15" s="1640"/>
      <c r="DA15" s="1640"/>
      <c r="DB15" s="1640"/>
      <c r="DC15" s="1640"/>
      <c r="DD15" s="1640"/>
      <c r="DE15" s="1640"/>
      <c r="DF15" s="1640"/>
      <c r="DG15" s="1640"/>
      <c r="DH15" s="1640"/>
      <c r="DI15" s="1640"/>
      <c r="DJ15" s="1640"/>
      <c r="DK15" s="1640"/>
      <c r="DL15" s="1640"/>
      <c r="DM15" s="1640"/>
      <c r="DN15" s="1640"/>
      <c r="DO15" s="1640"/>
      <c r="DP15" s="1640"/>
      <c r="DQ15" s="1640"/>
      <c r="DR15" s="1640"/>
      <c r="DS15" s="1640"/>
      <c r="DT15" s="1640"/>
      <c r="DU15" s="1640"/>
      <c r="DV15" s="1640"/>
      <c r="DW15" s="1640"/>
      <c r="DX15" s="1640"/>
      <c r="DY15" s="1640"/>
      <c r="DZ15" s="1640"/>
      <c r="EA15" s="1640"/>
      <c r="EB15" s="1640"/>
      <c r="EC15" s="1640"/>
      <c r="ED15" s="1640"/>
      <c r="EE15" s="1640"/>
      <c r="EF15" s="1640"/>
      <c r="EG15" s="1640"/>
      <c r="EH15" s="1640"/>
      <c r="EI15" s="1640"/>
      <c r="EJ15" s="1640"/>
      <c r="EK15" s="1640"/>
      <c r="EL15" s="1640"/>
      <c r="EM15" s="1640"/>
      <c r="EN15" s="1640"/>
      <c r="EO15" s="1640"/>
      <c r="EP15" s="1640"/>
      <c r="EQ15" s="1640"/>
      <c r="ER15" s="1640"/>
      <c r="ES15" s="1640"/>
      <c r="ET15" s="1640"/>
      <c r="EU15" s="1640"/>
      <c r="EV15" s="1640"/>
      <c r="EW15" s="1641"/>
    </row>
    <row r="16" spans="2:153" ht="15" customHeight="1" thickBot="1" x14ac:dyDescent="0.35">
      <c r="B16" s="1800" t="s">
        <v>252</v>
      </c>
      <c r="C16" s="1800"/>
      <c r="D16" s="1800"/>
      <c r="E16" s="1800"/>
      <c r="F16" s="1800"/>
      <c r="I16" s="498"/>
      <c r="J16" s="228" t="str">
        <f>IF('NOME + Nº'!$C$32="NÃO","!!MODELAGEM não atualizada!!","")</f>
        <v/>
      </c>
      <c r="K16" s="148"/>
      <c r="L16" s="148"/>
      <c r="M16" s="149"/>
      <c r="N16" s="148"/>
      <c r="O16" s="148"/>
      <c r="P16" s="497"/>
      <c r="V16" s="1689" t="s">
        <v>247</v>
      </c>
      <c r="W16" s="1689"/>
      <c r="X16" s="1689"/>
      <c r="Y16" s="1592" t="s">
        <v>281</v>
      </c>
      <c r="Z16" s="1592"/>
      <c r="AA16" s="768" t="s">
        <v>376</v>
      </c>
      <c r="AB16" s="1682"/>
      <c r="AC16" s="1682"/>
      <c r="AE16" s="773" t="s">
        <v>282</v>
      </c>
      <c r="AF16" s="774" t="s">
        <v>283</v>
      </c>
      <c r="AG16" s="1811"/>
      <c r="AH16" s="150"/>
      <c r="AI16" s="150"/>
    </row>
    <row r="17" spans="2:153" ht="15" customHeight="1" thickBot="1" x14ac:dyDescent="0.3">
      <c r="B17" s="1621" t="s">
        <v>253</v>
      </c>
      <c r="C17" s="1621"/>
      <c r="D17" s="1621"/>
      <c r="E17" s="1621"/>
      <c r="F17" s="519" t="s">
        <v>61</v>
      </c>
      <c r="I17" s="498"/>
      <c r="J17" s="148"/>
      <c r="K17" s="150" t="s">
        <v>237</v>
      </c>
      <c r="L17" s="148"/>
      <c r="M17" s="149"/>
      <c r="N17" s="148"/>
      <c r="O17" s="148"/>
      <c r="P17" s="497"/>
      <c r="T17" s="1700" t="str">
        <f>MODELAGEM!H11</f>
        <v>MOLDE 1</v>
      </c>
      <c r="U17" s="761">
        <v>1</v>
      </c>
      <c r="V17" s="771" t="str">
        <f>MODELAGEM!K11</f>
        <v>SIM</v>
      </c>
      <c r="W17" s="1653" t="str">
        <f>MODELAGEM!H12</f>
        <v>CORPO</v>
      </c>
      <c r="X17" s="1653"/>
      <c r="Y17" s="1656" t="str">
        <f>MODELAGEM!M11</f>
        <v>Tec. Externo</v>
      </c>
      <c r="Z17" s="1656"/>
      <c r="AA17" s="778">
        <f>MODELAGEM!N11</f>
        <v>49.9</v>
      </c>
      <c r="AB17" s="750">
        <f>IF(V17="NÃO",0,((Z18*MODELAGEM!P11/(MODELAGEM!R11/MODELAGEM!L11))/100))</f>
        <v>3.44</v>
      </c>
      <c r="AC17" s="779">
        <v>2.5</v>
      </c>
      <c r="AD17" s="779"/>
      <c r="AE17" s="769">
        <f>IF(V17="NÃO",0,((Z18/(MODELAGEM!R11))*(AC17*2/100)+AB17)*W18)</f>
        <v>3.94</v>
      </c>
      <c r="AF17" s="770">
        <f>AE17*AA17</f>
        <v>196.60599999999999</v>
      </c>
      <c r="AG17" s="400">
        <f>IF(V17="SIM",1,IF(V19="SIM",1,IF(V21="SIM",1,0)))</f>
        <v>1</v>
      </c>
      <c r="AH17" s="21"/>
      <c r="AI17" s="21"/>
      <c r="AO17" s="1596" t="s">
        <v>250</v>
      </c>
      <c r="AP17" s="1597"/>
      <c r="AQ17" s="1597"/>
      <c r="AR17" s="1597"/>
      <c r="AS17" s="1597"/>
      <c r="AT17" s="1597"/>
      <c r="AU17" s="1597"/>
      <c r="AV17" s="1597"/>
      <c r="AW17" s="1597"/>
      <c r="AX17" s="1597"/>
      <c r="AY17" s="1597"/>
      <c r="AZ17" s="1597"/>
      <c r="BA17" s="1597"/>
      <c r="BB17" s="1597"/>
      <c r="BC17" s="1597"/>
      <c r="BD17" s="1597"/>
      <c r="BE17" s="1597"/>
      <c r="BF17" s="1597"/>
      <c r="BG17" s="1597"/>
      <c r="BH17" s="1597"/>
      <c r="BI17" s="1597"/>
      <c r="BJ17" s="1597"/>
      <c r="BK17" s="1597"/>
      <c r="BL17" s="1597"/>
      <c r="BM17" s="1597"/>
      <c r="BN17" s="1597"/>
      <c r="BO17" s="1597"/>
      <c r="BP17" s="1597"/>
      <c r="BQ17" s="1597"/>
      <c r="BR17" s="1597"/>
      <c r="BS17" s="1597"/>
      <c r="BT17" s="1597"/>
      <c r="BU17" s="1597"/>
      <c r="BV17" s="1597"/>
      <c r="BW17" s="1597"/>
      <c r="BX17" s="1597"/>
      <c r="BY17" s="1597"/>
      <c r="BZ17" s="1597"/>
      <c r="CA17" s="1597"/>
      <c r="CB17" s="1597"/>
      <c r="CC17" s="1597"/>
      <c r="CD17" s="1597"/>
      <c r="CE17" s="1597"/>
      <c r="CF17" s="1597"/>
      <c r="CG17" s="1597"/>
      <c r="CH17" s="1597"/>
      <c r="CI17" s="1597"/>
      <c r="CJ17" s="1597"/>
      <c r="CK17" s="1597"/>
      <c r="CL17" s="1597"/>
      <c r="CM17" s="1597"/>
      <c r="CN17" s="1597"/>
      <c r="CO17" s="1597"/>
      <c r="CP17" s="1597"/>
      <c r="CQ17" s="1597"/>
      <c r="CR17" s="1597"/>
      <c r="CS17" s="1597"/>
      <c r="CT17" s="1597"/>
      <c r="CU17" s="1597"/>
      <c r="CV17" s="1597"/>
      <c r="CW17" s="1597"/>
      <c r="CX17" s="1597"/>
      <c r="CY17" s="1597"/>
      <c r="CZ17" s="1597"/>
      <c r="DA17" s="1597"/>
      <c r="DB17" s="1597"/>
      <c r="DC17" s="1597"/>
      <c r="DD17" s="1597"/>
      <c r="DE17" s="1597"/>
      <c r="DF17" s="1597"/>
      <c r="DG17" s="1597"/>
      <c r="DH17" s="1597"/>
      <c r="DI17" s="1597"/>
      <c r="DJ17" s="1597"/>
      <c r="DK17" s="1597"/>
      <c r="DL17" s="1598"/>
    </row>
    <row r="18" spans="2:153" ht="15" customHeight="1" thickBot="1" x14ac:dyDescent="0.3">
      <c r="B18" s="1621"/>
      <c r="C18" s="1621"/>
      <c r="D18" s="1621"/>
      <c r="E18" s="1621"/>
      <c r="F18" s="519" t="s">
        <v>189</v>
      </c>
      <c r="I18" s="1760"/>
      <c r="J18" s="510" t="s">
        <v>234</v>
      </c>
      <c r="K18" s="511">
        <f>ENFESTO!U14</f>
        <v>20</v>
      </c>
      <c r="L18" s="148"/>
      <c r="M18" s="148"/>
      <c r="N18" s="148"/>
      <c r="O18" s="148"/>
      <c r="P18" s="497"/>
      <c r="T18" s="1700"/>
      <c r="V18" s="20"/>
      <c r="W18" s="10" t="str">
        <f>IF(V17="SIM","1","0")</f>
        <v>1</v>
      </c>
      <c r="X18" s="10"/>
      <c r="Z18" s="140">
        <f>U14</f>
        <v>20</v>
      </c>
      <c r="AA18" s="22"/>
      <c r="AB18" s="34"/>
      <c r="AC18" s="186"/>
      <c r="AD18" s="186"/>
      <c r="AE18" s="184"/>
      <c r="AF18" s="184"/>
      <c r="AJ18" s="1796" t="s">
        <v>249</v>
      </c>
      <c r="AK18" s="1797"/>
      <c r="AL18" s="1797"/>
      <c r="AM18" s="1797"/>
      <c r="AN18" s="1683" t="s">
        <v>251</v>
      </c>
      <c r="AO18" s="1684"/>
      <c r="AP18" s="1526" t="str">
        <f>T17</f>
        <v>MOLDE 1</v>
      </c>
      <c r="AQ18" s="1527"/>
      <c r="AR18" s="1527"/>
      <c r="AS18" s="1528"/>
      <c r="AT18" s="1529" t="str">
        <f>T26</f>
        <v>MOLDE 2</v>
      </c>
      <c r="AU18" s="1530"/>
      <c r="AV18" s="1530"/>
      <c r="AW18" s="1531"/>
      <c r="AX18" s="1526" t="str">
        <f>T35</f>
        <v>MOLDE 3</v>
      </c>
      <c r="AY18" s="1527"/>
      <c r="AZ18" s="1527"/>
      <c r="BA18" s="1528"/>
      <c r="BB18" s="1529" t="str">
        <f>T44</f>
        <v>MOLDE 4</v>
      </c>
      <c r="BC18" s="1530"/>
      <c r="BD18" s="1530"/>
      <c r="BE18" s="1531"/>
      <c r="BF18" s="1526" t="str">
        <f>T53</f>
        <v>MOLDE 5</v>
      </c>
      <c r="BG18" s="1527"/>
      <c r="BH18" s="1527"/>
      <c r="BI18" s="1528"/>
      <c r="BJ18" s="1529" t="str">
        <f>T62</f>
        <v>MOLDE 6</v>
      </c>
      <c r="BK18" s="1530"/>
      <c r="BL18" s="1530"/>
      <c r="BM18" s="1531"/>
      <c r="BN18" s="1526" t="str">
        <f>T71</f>
        <v>MOLDE 7</v>
      </c>
      <c r="BO18" s="1527"/>
      <c r="BP18" s="1527"/>
      <c r="BQ18" s="1528"/>
      <c r="BR18" s="1529" t="str">
        <f>T80</f>
        <v>MOLDE 8</v>
      </c>
      <c r="BS18" s="1530"/>
      <c r="BT18" s="1530"/>
      <c r="BU18" s="1531"/>
      <c r="BV18" s="1696" t="str">
        <f>T89</f>
        <v>MOLDE 9</v>
      </c>
      <c r="BW18" s="1697"/>
      <c r="BX18" s="1697"/>
      <c r="BY18" s="1698"/>
      <c r="BZ18" s="1526" t="str">
        <f>T98</f>
        <v>MOLDE 10</v>
      </c>
      <c r="CA18" s="1527"/>
      <c r="CB18" s="1527"/>
      <c r="CC18" s="1528"/>
      <c r="CD18" s="1526" t="str">
        <f>T107</f>
        <v>MOLDE 11</v>
      </c>
      <c r="CE18" s="1527"/>
      <c r="CF18" s="1527"/>
      <c r="CG18" s="1528"/>
      <c r="CH18" s="1526" t="str">
        <f>T116</f>
        <v>MOLDE 12</v>
      </c>
      <c r="CI18" s="1527"/>
      <c r="CJ18" s="1527"/>
      <c r="CK18" s="1528"/>
      <c r="CL18" s="1526" t="str">
        <f>T125</f>
        <v>MOLDE 13</v>
      </c>
      <c r="CM18" s="1527"/>
      <c r="CN18" s="1527"/>
      <c r="CO18" s="1528"/>
      <c r="CP18" s="1696" t="str">
        <f>T134</f>
        <v>MOLDE 14</v>
      </c>
      <c r="CQ18" s="1697"/>
      <c r="CR18" s="1697"/>
      <c r="CS18" s="1698"/>
      <c r="CT18" s="1526" t="str">
        <f>T143</f>
        <v>MOLDE 15</v>
      </c>
      <c r="CU18" s="1527"/>
      <c r="CV18" s="1527"/>
      <c r="CW18" s="1528"/>
      <c r="CX18" s="1696" t="str">
        <f>T152</f>
        <v>MOLDE 16</v>
      </c>
      <c r="CY18" s="1697"/>
      <c r="CZ18" s="1697"/>
      <c r="DA18" s="1698"/>
      <c r="DB18" s="1526" t="str">
        <f>T161</f>
        <v>MOLDE 17</v>
      </c>
      <c r="DC18" s="1527"/>
      <c r="DD18" s="1527"/>
      <c r="DE18" s="1528"/>
      <c r="DF18" s="1696" t="str">
        <f>T170</f>
        <v>MOLDE 18</v>
      </c>
      <c r="DG18" s="1697"/>
      <c r="DH18" s="1697"/>
      <c r="DI18" s="1698"/>
      <c r="DJ18" s="1526" t="str">
        <f>T179</f>
        <v>MOLDE 19</v>
      </c>
      <c r="DK18" s="1527"/>
      <c r="DL18" s="1527"/>
      <c r="DM18" s="1528"/>
      <c r="DN18" s="1526" t="str">
        <f>T188</f>
        <v>MOLDE 20</v>
      </c>
      <c r="DO18" s="1527"/>
      <c r="DP18" s="1527"/>
      <c r="DQ18" s="1528"/>
      <c r="DR18" s="1526" t="str">
        <f>T197</f>
        <v>MOLDE 21</v>
      </c>
      <c r="DS18" s="1527"/>
      <c r="DT18" s="1527"/>
      <c r="DU18" s="1528"/>
      <c r="DV18" s="1526" t="str">
        <f>T206</f>
        <v>MOLDE 22</v>
      </c>
      <c r="DW18" s="1527"/>
      <c r="DX18" s="1527"/>
      <c r="DY18" s="1528"/>
      <c r="DZ18" s="1696" t="str">
        <f>T215</f>
        <v>MOLDE 23</v>
      </c>
      <c r="EA18" s="1697"/>
      <c r="EB18" s="1697"/>
      <c r="EC18" s="1698"/>
      <c r="ED18" s="1526" t="str">
        <f>T224</f>
        <v>MOLDE 24</v>
      </c>
      <c r="EE18" s="1527"/>
      <c r="EF18" s="1527"/>
      <c r="EG18" s="1528"/>
      <c r="EH18" s="1696" t="str">
        <f>T233</f>
        <v>MOLDE 25</v>
      </c>
      <c r="EI18" s="1697"/>
      <c r="EJ18" s="1697"/>
      <c r="EK18" s="1698"/>
      <c r="EL18" s="1526" t="str">
        <f>T242</f>
        <v>MOLDE 26</v>
      </c>
      <c r="EM18" s="1527"/>
      <c r="EN18" s="1527"/>
      <c r="EO18" s="1528"/>
      <c r="EP18" s="1523" t="s">
        <v>816</v>
      </c>
      <c r="EQ18" s="1524"/>
      <c r="ER18" s="1524"/>
      <c r="ES18" s="1525"/>
      <c r="ET18" s="803" t="s">
        <v>402</v>
      </c>
      <c r="EU18" s="1694" t="s">
        <v>251</v>
      </c>
      <c r="EW18" s="1532" t="s">
        <v>418</v>
      </c>
    </row>
    <row r="19" spans="2:153" ht="15" customHeight="1" thickBot="1" x14ac:dyDescent="0.3">
      <c r="B19" s="1621" t="s">
        <v>254</v>
      </c>
      <c r="C19" s="1621"/>
      <c r="D19" s="1621"/>
      <c r="E19" s="1621"/>
      <c r="F19" s="1621"/>
      <c r="I19" s="1760"/>
      <c r="J19" s="1763" t="s">
        <v>249</v>
      </c>
      <c r="K19" s="1763"/>
      <c r="L19" s="1763"/>
      <c r="M19" s="1763"/>
      <c r="N19" s="1756" t="s">
        <v>251</v>
      </c>
      <c r="O19" s="1756"/>
      <c r="P19" s="497"/>
      <c r="T19" s="1700"/>
      <c r="U19">
        <f>U17+1</f>
        <v>2</v>
      </c>
      <c r="V19" s="192" t="str">
        <f>MODELAGEM!K13</f>
        <v>SIM</v>
      </c>
      <c r="W19" s="1653" t="s">
        <v>712</v>
      </c>
      <c r="X19" s="1653"/>
      <c r="Y19" s="1656" t="str">
        <f>MODELAGEM!M13</f>
        <v>Reforço</v>
      </c>
      <c r="Z19" s="1656"/>
      <c r="AA19" s="778">
        <f>MODELAGEM!N13</f>
        <v>7.9</v>
      </c>
      <c r="AB19" s="750">
        <f>IF(V19="NÃO",0,((Z20*MODELAGEM!P13/(MODELAGEM!R13/MODELAGEM!L13))/100))</f>
        <v>3.44</v>
      </c>
      <c r="AC19" s="779">
        <f>AC17</f>
        <v>2.5</v>
      </c>
      <c r="AD19" s="779"/>
      <c r="AE19" s="769">
        <f>IF(V19="NÃO",0,((Z20/(MODELAGEM!R13))*(AC19*2/100)+AB19)*W20)</f>
        <v>3.94</v>
      </c>
      <c r="AF19" s="770">
        <f>AE19*AA19</f>
        <v>31.126000000000001</v>
      </c>
      <c r="AJ19" s="142" t="s">
        <v>239</v>
      </c>
      <c r="AK19" s="142" t="s">
        <v>195</v>
      </c>
      <c r="AL19" s="142" t="s">
        <v>376</v>
      </c>
      <c r="AM19" s="462" t="s">
        <v>244</v>
      </c>
      <c r="AN19" s="463" t="s">
        <v>284</v>
      </c>
      <c r="AO19" s="463" t="s">
        <v>274</v>
      </c>
      <c r="AP19" s="744">
        <v>1</v>
      </c>
      <c r="AQ19" s="714">
        <f t="shared" ref="AQ19:AV19" si="0">AP19+1</f>
        <v>2</v>
      </c>
      <c r="AR19" s="714">
        <f t="shared" si="0"/>
        <v>3</v>
      </c>
      <c r="AS19" s="745">
        <f t="shared" si="0"/>
        <v>4</v>
      </c>
      <c r="AT19" s="741">
        <f>AS19+1</f>
        <v>5</v>
      </c>
      <c r="AU19" s="715">
        <f>AT19+1</f>
        <v>6</v>
      </c>
      <c r="AV19" s="715">
        <f t="shared" si="0"/>
        <v>7</v>
      </c>
      <c r="AW19" s="742">
        <f>AV19+1</f>
        <v>8</v>
      </c>
      <c r="AX19" s="723">
        <f t="shared" ref="AX19:CO19" si="1">AW19+1</f>
        <v>9</v>
      </c>
      <c r="AY19" s="717">
        <f t="shared" si="1"/>
        <v>10</v>
      </c>
      <c r="AZ19" s="717">
        <f t="shared" si="1"/>
        <v>11</v>
      </c>
      <c r="BA19" s="724">
        <f t="shared" si="1"/>
        <v>12</v>
      </c>
      <c r="BB19" s="732">
        <f t="shared" si="1"/>
        <v>13</v>
      </c>
      <c r="BC19" s="718">
        <f t="shared" si="1"/>
        <v>14</v>
      </c>
      <c r="BD19" s="718">
        <f t="shared" si="1"/>
        <v>15</v>
      </c>
      <c r="BE19" s="733">
        <f t="shared" si="1"/>
        <v>16</v>
      </c>
      <c r="BF19" s="723">
        <f t="shared" si="1"/>
        <v>17</v>
      </c>
      <c r="BG19" s="717">
        <f t="shared" si="1"/>
        <v>18</v>
      </c>
      <c r="BH19" s="717">
        <f t="shared" si="1"/>
        <v>19</v>
      </c>
      <c r="BI19" s="724">
        <f t="shared" si="1"/>
        <v>20</v>
      </c>
      <c r="BJ19" s="732">
        <f t="shared" si="1"/>
        <v>21</v>
      </c>
      <c r="BK19" s="718">
        <f t="shared" si="1"/>
        <v>22</v>
      </c>
      <c r="BL19" s="718">
        <f t="shared" si="1"/>
        <v>23</v>
      </c>
      <c r="BM19" s="733">
        <f t="shared" si="1"/>
        <v>24</v>
      </c>
      <c r="BN19" s="723">
        <f t="shared" si="1"/>
        <v>25</v>
      </c>
      <c r="BO19" s="717">
        <f t="shared" si="1"/>
        <v>26</v>
      </c>
      <c r="BP19" s="717">
        <f t="shared" si="1"/>
        <v>27</v>
      </c>
      <c r="BQ19" s="724">
        <f t="shared" si="1"/>
        <v>28</v>
      </c>
      <c r="BR19" s="732">
        <f t="shared" si="1"/>
        <v>29</v>
      </c>
      <c r="BS19" s="718">
        <f t="shared" si="1"/>
        <v>30</v>
      </c>
      <c r="BT19" s="718">
        <f t="shared" si="1"/>
        <v>31</v>
      </c>
      <c r="BU19" s="733">
        <f t="shared" si="1"/>
        <v>32</v>
      </c>
      <c r="BV19" s="723">
        <f t="shared" si="1"/>
        <v>33</v>
      </c>
      <c r="BW19" s="717">
        <f t="shared" si="1"/>
        <v>34</v>
      </c>
      <c r="BX19" s="717">
        <f t="shared" si="1"/>
        <v>35</v>
      </c>
      <c r="BY19" s="724">
        <f t="shared" si="1"/>
        <v>36</v>
      </c>
      <c r="BZ19" s="732">
        <f t="shared" si="1"/>
        <v>37</v>
      </c>
      <c r="CA19" s="718">
        <f t="shared" si="1"/>
        <v>38</v>
      </c>
      <c r="CB19" s="718">
        <f t="shared" si="1"/>
        <v>39</v>
      </c>
      <c r="CC19" s="733">
        <f t="shared" si="1"/>
        <v>40</v>
      </c>
      <c r="CD19" s="723">
        <f t="shared" si="1"/>
        <v>41</v>
      </c>
      <c r="CE19" s="717">
        <f t="shared" si="1"/>
        <v>42</v>
      </c>
      <c r="CF19" s="717">
        <f t="shared" si="1"/>
        <v>43</v>
      </c>
      <c r="CG19" s="724">
        <f t="shared" si="1"/>
        <v>44</v>
      </c>
      <c r="CH19" s="732">
        <f t="shared" si="1"/>
        <v>45</v>
      </c>
      <c r="CI19" s="718">
        <f t="shared" si="1"/>
        <v>46</v>
      </c>
      <c r="CJ19" s="718">
        <f t="shared" si="1"/>
        <v>47</v>
      </c>
      <c r="CK19" s="733">
        <f t="shared" si="1"/>
        <v>48</v>
      </c>
      <c r="CL19" s="723">
        <f t="shared" si="1"/>
        <v>49</v>
      </c>
      <c r="CM19" s="717">
        <f t="shared" si="1"/>
        <v>50</v>
      </c>
      <c r="CN19" s="717">
        <f t="shared" si="1"/>
        <v>51</v>
      </c>
      <c r="CO19" s="724">
        <f t="shared" si="1"/>
        <v>52</v>
      </c>
      <c r="CP19" s="741">
        <f>CO19+1</f>
        <v>53</v>
      </c>
      <c r="CQ19" s="715">
        <f t="shared" ref="CQ19:CS19" si="2">CP19+1</f>
        <v>54</v>
      </c>
      <c r="CR19" s="715">
        <f t="shared" si="2"/>
        <v>55</v>
      </c>
      <c r="CS19" s="742">
        <f t="shared" si="2"/>
        <v>56</v>
      </c>
      <c r="CT19" s="744">
        <f>CS19+1</f>
        <v>57</v>
      </c>
      <c r="CU19" s="714">
        <f>CT19+1</f>
        <v>58</v>
      </c>
      <c r="CV19" s="714">
        <f t="shared" ref="CV19" si="3">CU19+1</f>
        <v>59</v>
      </c>
      <c r="CW19" s="745">
        <f>CV19+1</f>
        <v>60</v>
      </c>
      <c r="CX19" s="732">
        <f t="shared" ref="CX19:EO19" si="4">CW19+1</f>
        <v>61</v>
      </c>
      <c r="CY19" s="718">
        <f t="shared" si="4"/>
        <v>62</v>
      </c>
      <c r="CZ19" s="718">
        <f t="shared" si="4"/>
        <v>63</v>
      </c>
      <c r="DA19" s="733">
        <f t="shared" si="4"/>
        <v>64</v>
      </c>
      <c r="DB19" s="723">
        <f t="shared" si="4"/>
        <v>65</v>
      </c>
      <c r="DC19" s="717">
        <f t="shared" si="4"/>
        <v>66</v>
      </c>
      <c r="DD19" s="717">
        <f t="shared" si="4"/>
        <v>67</v>
      </c>
      <c r="DE19" s="724">
        <f t="shared" si="4"/>
        <v>68</v>
      </c>
      <c r="DF19" s="732">
        <f t="shared" si="4"/>
        <v>69</v>
      </c>
      <c r="DG19" s="718">
        <f t="shared" si="4"/>
        <v>70</v>
      </c>
      <c r="DH19" s="718">
        <f t="shared" si="4"/>
        <v>71</v>
      </c>
      <c r="DI19" s="733">
        <f t="shared" si="4"/>
        <v>72</v>
      </c>
      <c r="DJ19" s="723">
        <f t="shared" si="4"/>
        <v>73</v>
      </c>
      <c r="DK19" s="717">
        <f t="shared" si="4"/>
        <v>74</v>
      </c>
      <c r="DL19" s="717">
        <f t="shared" si="4"/>
        <v>75</v>
      </c>
      <c r="DM19" s="724">
        <f t="shared" si="4"/>
        <v>76</v>
      </c>
      <c r="DN19" s="732">
        <f t="shared" si="4"/>
        <v>77</v>
      </c>
      <c r="DO19" s="718">
        <f t="shared" si="4"/>
        <v>78</v>
      </c>
      <c r="DP19" s="718">
        <f t="shared" si="4"/>
        <v>79</v>
      </c>
      <c r="DQ19" s="733">
        <f t="shared" si="4"/>
        <v>80</v>
      </c>
      <c r="DR19" s="723">
        <f t="shared" si="4"/>
        <v>81</v>
      </c>
      <c r="DS19" s="717">
        <f t="shared" si="4"/>
        <v>82</v>
      </c>
      <c r="DT19" s="717">
        <f t="shared" si="4"/>
        <v>83</v>
      </c>
      <c r="DU19" s="724">
        <f t="shared" si="4"/>
        <v>84</v>
      </c>
      <c r="DV19" s="732">
        <f t="shared" si="4"/>
        <v>85</v>
      </c>
      <c r="DW19" s="718">
        <f t="shared" si="4"/>
        <v>86</v>
      </c>
      <c r="DX19" s="718">
        <f t="shared" si="4"/>
        <v>87</v>
      </c>
      <c r="DY19" s="733">
        <f t="shared" si="4"/>
        <v>88</v>
      </c>
      <c r="DZ19" s="723">
        <f t="shared" si="4"/>
        <v>89</v>
      </c>
      <c r="EA19" s="717">
        <f t="shared" si="4"/>
        <v>90</v>
      </c>
      <c r="EB19" s="717">
        <f t="shared" si="4"/>
        <v>91</v>
      </c>
      <c r="EC19" s="724">
        <f t="shared" si="4"/>
        <v>92</v>
      </c>
      <c r="ED19" s="732">
        <f t="shared" si="4"/>
        <v>93</v>
      </c>
      <c r="EE19" s="718">
        <f t="shared" si="4"/>
        <v>94</v>
      </c>
      <c r="EF19" s="718">
        <f t="shared" si="4"/>
        <v>95</v>
      </c>
      <c r="EG19" s="733">
        <f t="shared" si="4"/>
        <v>96</v>
      </c>
      <c r="EH19" s="723">
        <f t="shared" si="4"/>
        <v>97</v>
      </c>
      <c r="EI19" s="717">
        <f t="shared" si="4"/>
        <v>98</v>
      </c>
      <c r="EJ19" s="717">
        <f t="shared" si="4"/>
        <v>99</v>
      </c>
      <c r="EK19" s="724">
        <f t="shared" si="4"/>
        <v>100</v>
      </c>
      <c r="EL19" s="732">
        <f t="shared" si="4"/>
        <v>101</v>
      </c>
      <c r="EM19" s="718">
        <f t="shared" si="4"/>
        <v>102</v>
      </c>
      <c r="EN19" s="718">
        <f t="shared" si="4"/>
        <v>103</v>
      </c>
      <c r="EO19" s="733">
        <f t="shared" si="4"/>
        <v>104</v>
      </c>
      <c r="EP19" s="762">
        <f>EO19+1</f>
        <v>105</v>
      </c>
      <c r="EQ19" s="762">
        <f>EP19+1</f>
        <v>106</v>
      </c>
      <c r="ER19" s="762">
        <f>EQ19+1</f>
        <v>107</v>
      </c>
      <c r="ES19" s="762">
        <f>ER19+1</f>
        <v>108</v>
      </c>
      <c r="ET19" s="804">
        <f>ES19+1</f>
        <v>109</v>
      </c>
      <c r="EU19" s="1695"/>
      <c r="EW19" s="1533"/>
    </row>
    <row r="20" spans="2:153" ht="15" customHeight="1" x14ac:dyDescent="0.25">
      <c r="B20" s="1621"/>
      <c r="C20" s="1621"/>
      <c r="D20" s="1621"/>
      <c r="E20" s="1621"/>
      <c r="F20" s="1621"/>
      <c r="I20" s="498"/>
      <c r="J20" s="481" t="s">
        <v>239</v>
      </c>
      <c r="K20" s="481" t="s">
        <v>195</v>
      </c>
      <c r="L20" s="481" t="s">
        <v>376</v>
      </c>
      <c r="M20" s="481" t="s">
        <v>244</v>
      </c>
      <c r="N20" s="948" t="s">
        <v>284</v>
      </c>
      <c r="O20" s="947" t="s">
        <v>274</v>
      </c>
      <c r="P20" s="497"/>
      <c r="T20" s="1700"/>
      <c r="V20" s="20"/>
      <c r="W20" s="10" t="str">
        <f>IF(V19="SIM","1","0")</f>
        <v>1</v>
      </c>
      <c r="X20" s="10"/>
      <c r="Z20" s="140">
        <f>Z18</f>
        <v>20</v>
      </c>
      <c r="AA20" s="22"/>
      <c r="AB20" s="34"/>
      <c r="AC20" s="186"/>
      <c r="AD20" s="186"/>
      <c r="AE20" s="184"/>
      <c r="AF20" s="184"/>
      <c r="AI20" s="35">
        <v>1</v>
      </c>
      <c r="AJ20" s="398" t="str">
        <f>'NOME + Nº'!B35</f>
        <v>Tec. Externo</v>
      </c>
      <c r="AK20" s="398" t="str">
        <f>IF('NOME + Nº'!D35=0," ",'NOME + Nº'!D35)</f>
        <v>Aquablock</v>
      </c>
      <c r="AL20" s="399">
        <f>'NOME + Nº'!H35</f>
        <v>49.9</v>
      </c>
      <c r="AM20" s="807">
        <f>'NOME + Nº'!J35</f>
        <v>140</v>
      </c>
      <c r="AN20" s="811">
        <f>IF(AL20&lt;&gt;0,AO20/AL20,0)</f>
        <v>4.144705882352941</v>
      </c>
      <c r="AO20" s="805">
        <f t="shared" ref="AO20" si="5">SUM(AP20:ET20)</f>
        <v>206.82082352941177</v>
      </c>
      <c r="AP20" s="746">
        <f>IF((Y17=AJ20), AF17, 0)</f>
        <v>196.60599999999999</v>
      </c>
      <c r="AQ20" s="719">
        <f>IF((Y19=AJ20), AF19, 0)</f>
        <v>0</v>
      </c>
      <c r="AR20" s="719">
        <f>IF((Y21=AJ20), AF21, 0)</f>
        <v>0</v>
      </c>
      <c r="AS20" s="726">
        <f>IF((Y23=AJ20), AF23, 0)</f>
        <v>0</v>
      </c>
      <c r="AT20" s="725">
        <f>IF((Y26=AJ20), AF26, 0)</f>
        <v>0</v>
      </c>
      <c r="AU20" s="719">
        <f>IF((Y28=AJ20), AF28, 0)</f>
        <v>0</v>
      </c>
      <c r="AV20" s="719">
        <f>IF((Y30=AJ20), AF30, 0)</f>
        <v>0</v>
      </c>
      <c r="AW20" s="726">
        <f>IF((Y32=AJ20), AF32, 0)</f>
        <v>0</v>
      </c>
      <c r="AX20" s="725">
        <f>IF((Y35=AJ20), AF35, 0)</f>
        <v>0</v>
      </c>
      <c r="AY20" s="719">
        <f>IF((Y37=AJ20), AF37, 0)</f>
        <v>0</v>
      </c>
      <c r="AZ20" s="719">
        <f>IF((Y39=AJ20), AF39, 0)</f>
        <v>0</v>
      </c>
      <c r="BA20" s="726">
        <f>IF((Y41=AJ20), AF41, 0)</f>
        <v>0</v>
      </c>
      <c r="BB20" s="725">
        <f>IF((Y44=AJ20), AF44, 0)</f>
        <v>0</v>
      </c>
      <c r="BC20" s="719">
        <f>IF((Y46=AJ20), AF46, 0)</f>
        <v>0</v>
      </c>
      <c r="BD20" s="719">
        <f>IF((Y48=AJ20), AF48, 0)</f>
        <v>0</v>
      </c>
      <c r="BE20" s="726">
        <f>IF((Y50=AJ20), AF50, 0)</f>
        <v>0</v>
      </c>
      <c r="BF20" s="725">
        <f>IF((Y53=AJ20), AF53, 0)</f>
        <v>0</v>
      </c>
      <c r="BG20" s="719">
        <f>IF((Y55=AJ20), AF55, 0)</f>
        <v>0</v>
      </c>
      <c r="BH20" s="719">
        <f>IF((Y57=AJ20), AF57, 0)</f>
        <v>0</v>
      </c>
      <c r="BI20" s="726">
        <f>IF((Y59=AJ20), AF59, 0)</f>
        <v>0</v>
      </c>
      <c r="BJ20" s="725">
        <f>IF((Y62=AJ20), AF62, 0)</f>
        <v>0</v>
      </c>
      <c r="BK20" s="719">
        <f>IF((Y64=AJ20), AF64, 0)</f>
        <v>0</v>
      </c>
      <c r="BL20" s="719">
        <f>IF((Y66=AJ20), AF66, 0)</f>
        <v>0</v>
      </c>
      <c r="BM20" s="726">
        <f>IF((Y68=AJ20), AF68, 0)</f>
        <v>0</v>
      </c>
      <c r="BN20" s="725">
        <f>IF((Y71=AJ20), AF71, 0)</f>
        <v>0</v>
      </c>
      <c r="BO20" s="719">
        <f>IF((Y73=AJ20), AF73, 0)</f>
        <v>0</v>
      </c>
      <c r="BP20" s="719">
        <f>IF((Y75=AJ20), AF75, 0)</f>
        <v>0</v>
      </c>
      <c r="BQ20" s="726">
        <f>IF((Y77=AJ20), AF77, 0)</f>
        <v>0</v>
      </c>
      <c r="BR20" s="725">
        <f>IF((Y80=AJ20), AF80, 0)</f>
        <v>0</v>
      </c>
      <c r="BS20" s="719">
        <f>IF((Y82=AJ20), AF82, 0)</f>
        <v>0</v>
      </c>
      <c r="BT20" s="719">
        <f>IF((Y84=AJ20), AF84, 0)</f>
        <v>0</v>
      </c>
      <c r="BU20" s="726">
        <f>IF((Y86=AJ20), AF86, 0)</f>
        <v>0</v>
      </c>
      <c r="BV20" s="725">
        <f>IF((Y89=AJ20), AF89, 0)</f>
        <v>0</v>
      </c>
      <c r="BW20" s="719">
        <f>IF((Y91=AJ20), AF91, 0)</f>
        <v>0</v>
      </c>
      <c r="BX20" s="719">
        <f>IF((Y93=AJ20), AF93, 0)</f>
        <v>0</v>
      </c>
      <c r="BY20" s="726">
        <f>IF((Y95=AJ20), AF95, 0)</f>
        <v>0</v>
      </c>
      <c r="BZ20" s="725">
        <f>IF((Y98=AJ20), AF98, 0)</f>
        <v>0</v>
      </c>
      <c r="CA20" s="719">
        <f>IF((Y100=AJ20), AF100, 0)</f>
        <v>0</v>
      </c>
      <c r="CB20" s="719">
        <f>IF((Y102=AJ20), AF102, 0)</f>
        <v>0</v>
      </c>
      <c r="CC20" s="726">
        <f>IF((Y104=AJ20), AF104, 0)</f>
        <v>0</v>
      </c>
      <c r="CD20" s="725">
        <f>IF((Y107=AJ20), AF107, 0)</f>
        <v>0</v>
      </c>
      <c r="CE20" s="719">
        <f>IF((Y109=AJ20), AF109, 0)</f>
        <v>0</v>
      </c>
      <c r="CF20" s="719">
        <f>IF((Y111=AJ20), AF111, 0)</f>
        <v>0</v>
      </c>
      <c r="CG20" s="726">
        <f>IF((Y113=AJ20), AF113, 0)</f>
        <v>0</v>
      </c>
      <c r="CH20" s="725">
        <f>IF((Y116=AJ20), AF116, 0)</f>
        <v>0</v>
      </c>
      <c r="CI20" s="719">
        <f>IF((Y118=AJ20), AF118, 0)</f>
        <v>0</v>
      </c>
      <c r="CJ20" s="719">
        <f>IF((Y120=AJ20), AF120, 0)</f>
        <v>0</v>
      </c>
      <c r="CK20" s="726">
        <f>IF((Y122=AJ20), AF122, 0)</f>
        <v>0</v>
      </c>
      <c r="CL20" s="725">
        <f>IF((Y125=AJ20), AF125, 0)</f>
        <v>0</v>
      </c>
      <c r="CM20" s="719">
        <f>IF((Y127=AJ20), AF127, 0)</f>
        <v>0</v>
      </c>
      <c r="CN20" s="719">
        <f>IF((Y129=AJ20), AF129, 0)</f>
        <v>0</v>
      </c>
      <c r="CO20" s="726">
        <f>IF((Y131=AJ20), AF131, 0)</f>
        <v>0</v>
      </c>
      <c r="CP20" s="746">
        <f>IF((Y134=AJ20), AF134, 0)</f>
        <v>0</v>
      </c>
      <c r="CQ20" s="719">
        <f>IF((Y136=AJ20), AF136, 0)</f>
        <v>0</v>
      </c>
      <c r="CR20" s="719">
        <f>IF((Y138=AJ20), AF138, 0)</f>
        <v>0</v>
      </c>
      <c r="CS20" s="726">
        <f>IF((Y140=AJ20), AF140, 0)</f>
        <v>0</v>
      </c>
      <c r="CT20" s="725">
        <f>IF((Y143=AJ20), AF143, 0)</f>
        <v>0</v>
      </c>
      <c r="CU20" s="719">
        <f>IF((Y145=AJ20), AF145, 0)</f>
        <v>0</v>
      </c>
      <c r="CV20" s="719">
        <f>IF((Y147=AJ20), AF147, 0)</f>
        <v>0</v>
      </c>
      <c r="CW20" s="726">
        <f>IF((Y149=AJ20),AF149, 0)</f>
        <v>0</v>
      </c>
      <c r="CX20" s="725">
        <f>IF((Y152=AJ20), AF152, 0)</f>
        <v>0</v>
      </c>
      <c r="CY20" s="719">
        <f>IF((Y154=AJ20), AF154, 0)</f>
        <v>0</v>
      </c>
      <c r="CZ20" s="719">
        <f>IF((Y156=AJ20), AF156, 0)</f>
        <v>0</v>
      </c>
      <c r="DA20" s="726">
        <f>IF((Y158=AJ20), AF158, 0)</f>
        <v>0</v>
      </c>
      <c r="DB20" s="725">
        <f>IF((Y161=AJ20), AF161, 0)</f>
        <v>0</v>
      </c>
      <c r="DC20" s="719">
        <f>IF((Y163=AJ20), AF163, 0)</f>
        <v>0</v>
      </c>
      <c r="DD20" s="719">
        <f>IF((Y165=AJ20), AF165, 0)</f>
        <v>0</v>
      </c>
      <c r="DE20" s="726">
        <f>IF((Y167=AJ20), AF167, 0)</f>
        <v>0</v>
      </c>
      <c r="DF20" s="725">
        <f>IF((Y170=AJ20), AF170, 0)</f>
        <v>0</v>
      </c>
      <c r="DG20" s="719">
        <f>IF((Y172=AJ20), AF172, 0)</f>
        <v>0</v>
      </c>
      <c r="DH20" s="719">
        <f>IF((Y174=AJ20), AF174, 0)</f>
        <v>0</v>
      </c>
      <c r="DI20" s="726">
        <f>IF((Y176=AJ20), AF176, 0)</f>
        <v>0</v>
      </c>
      <c r="DJ20" s="725">
        <f>IF((Y179=AJ20), AF179, 0)</f>
        <v>0</v>
      </c>
      <c r="DK20" s="719">
        <f>IF((Y181=AJ20), AF181, 0)</f>
        <v>0</v>
      </c>
      <c r="DL20" s="719">
        <f>IF((Y183=AJ20), AF183, 0)</f>
        <v>0</v>
      </c>
      <c r="DM20" s="726">
        <f>IF((Y185=AJ20), AF185, 0)</f>
        <v>0</v>
      </c>
      <c r="DN20" s="725">
        <f>IF((Y188=AJ20), AF188, 0)</f>
        <v>0</v>
      </c>
      <c r="DO20" s="719">
        <f>IF((Y190=AJ20), AF190, 0)</f>
        <v>0</v>
      </c>
      <c r="DP20" s="719">
        <f>IF((Y192=AJ20), AF192, 0)</f>
        <v>0</v>
      </c>
      <c r="DQ20" s="726">
        <f>IF((Y194=AJ20), AF194, 0)</f>
        <v>0</v>
      </c>
      <c r="DR20" s="725">
        <f>IF((Y197=AJ20), AF197, 0)</f>
        <v>0</v>
      </c>
      <c r="DS20" s="719">
        <f>IF((Y199=AJ20), AF199, 0)</f>
        <v>0</v>
      </c>
      <c r="DT20" s="719">
        <f>IF((Y201=AJ20), AF201, 0)</f>
        <v>0</v>
      </c>
      <c r="DU20" s="726">
        <f>IF((Y203=AJ20), AF203, 0)</f>
        <v>0</v>
      </c>
      <c r="DV20" s="725">
        <f>IF((Y206=AJ20), AF206, 0)</f>
        <v>0</v>
      </c>
      <c r="DW20" s="719">
        <f>IF((Y208=AJ20), AF208, 0)</f>
        <v>0</v>
      </c>
      <c r="DX20" s="719">
        <f>IF((Y210=AJ20), AF210, 0)</f>
        <v>0</v>
      </c>
      <c r="DY20" s="726">
        <f>IF((Y212=AJ20), AF212, 0)</f>
        <v>0</v>
      </c>
      <c r="DZ20" s="725">
        <f>IF((Y215=AJ20), AF215, 0)</f>
        <v>0</v>
      </c>
      <c r="EA20" s="719">
        <f>IF((Y217=AJ20), AF217, 0)</f>
        <v>0</v>
      </c>
      <c r="EB20" s="719">
        <f>IF((Y219=AJ20), AF219, 0)</f>
        <v>0</v>
      </c>
      <c r="EC20" s="726">
        <f>IF((Y221=AJ20), AF221, 0)</f>
        <v>0</v>
      </c>
      <c r="ED20" s="725">
        <f>IF((Y224=AJ20), AF224, 0)</f>
        <v>0</v>
      </c>
      <c r="EE20" s="719">
        <f>IF((Y226=AJ20), AF226, 0)</f>
        <v>0</v>
      </c>
      <c r="EF20" s="719">
        <f>IF((Y228=AJ20), AF228, 0)</f>
        <v>0</v>
      </c>
      <c r="EG20" s="726">
        <f>IF((Y230=AJ20), AF230, 0)</f>
        <v>0</v>
      </c>
      <c r="EH20" s="725">
        <f>IF((Y233=AJ20), AF233, 0)</f>
        <v>0</v>
      </c>
      <c r="EI20" s="719">
        <f>IF((Y235=AJ20), AF235, 0)</f>
        <v>0</v>
      </c>
      <c r="EJ20" s="719">
        <f>IF((Y237=AJ20), AF237, 0)</f>
        <v>0</v>
      </c>
      <c r="EK20" s="726">
        <f>IF((Y239=AJ20), AF239, 0)</f>
        <v>0</v>
      </c>
      <c r="EL20" s="725">
        <f>IF((Y242=AJ20), AF242, 0)</f>
        <v>0</v>
      </c>
      <c r="EM20" s="719">
        <f>IF((Y244=AJ20), AF244, 0)</f>
        <v>0</v>
      </c>
      <c r="EN20" s="719">
        <f>IF((Y246=AJ20), AF246, 0)</f>
        <v>0</v>
      </c>
      <c r="EO20" s="726">
        <f>IF((Y248=AJ20), AF248, 0)</f>
        <v>0</v>
      </c>
      <c r="EP20" s="467">
        <f>IF('NOME + Nº'!E62="SIM",0,IF((Y251=AJ20),AF251,0)+IF((Y252=AJ20),AF252,0))</f>
        <v>10.214823529411765</v>
      </c>
      <c r="EQ20" s="416">
        <f>IF('NOME + Nº'!E62="SIM",0,IF((Y254=AJ20),AF254,0)+IF((Y255=AJ20),AF255,0))</f>
        <v>0</v>
      </c>
      <c r="ER20" s="416">
        <f>IF('NOME + Nº'!E62="SIM",0,IF((Y257=AJ20), AF257,0)+IF((Y258=AJ20), AF258,0))</f>
        <v>0</v>
      </c>
      <c r="ES20" s="468">
        <f>IF('NOME + Nº'!E62="SIM",0,IF((Y260=AJ20), AF260,0)+IF((Y261=AJ20), AF261,0))</f>
        <v>0</v>
      </c>
      <c r="ET20" s="467">
        <f>IF(Y263=AJ20,AF263,0)</f>
        <v>0</v>
      </c>
      <c r="EU20" s="478">
        <f>SUM(AP20:ET20)</f>
        <v>206.82082352941177</v>
      </c>
      <c r="EW20" s="402">
        <f>SUM(EP20:ES20)</f>
        <v>10.214823529411765</v>
      </c>
    </row>
    <row r="21" spans="2:153" x14ac:dyDescent="0.25">
      <c r="B21" s="1621"/>
      <c r="C21" s="1621"/>
      <c r="D21" s="1621"/>
      <c r="E21" s="1621"/>
      <c r="F21" s="1621"/>
      <c r="I21" s="498">
        <v>1</v>
      </c>
      <c r="J21" s="505" t="str">
        <f>IF(N21=0," ",ENFESTO!AJ20)</f>
        <v>Tec. Externo</v>
      </c>
      <c r="K21" s="506" t="str">
        <f>IF(N21=0," ",ENFESTO!AK20)</f>
        <v>Aquablock</v>
      </c>
      <c r="L21" s="507">
        <f>IF(N21=0," ",ENFESTO!AL20)</f>
        <v>49.9</v>
      </c>
      <c r="M21" s="505">
        <f>IF(N21=0," ",ENFESTO!AM20)</f>
        <v>140</v>
      </c>
      <c r="N21" s="949">
        <f>IF(ENFESTO!AN20=0,0,ENFESTO!AN20)</f>
        <v>4.144705882352941</v>
      </c>
      <c r="O21" s="512">
        <f>IF(ENFESTO!AO20=0,0,ENFESTO!AO20)</f>
        <v>206.82082352941177</v>
      </c>
      <c r="P21" s="497"/>
      <c r="T21" s="1700"/>
      <c r="U21">
        <f>U19+1</f>
        <v>3</v>
      </c>
      <c r="V21" s="192" t="str">
        <f>MODELAGEM!K15</f>
        <v>SIM</v>
      </c>
      <c r="W21" s="1653" t="s">
        <v>712</v>
      </c>
      <c r="X21" s="1653"/>
      <c r="Y21" s="1656" t="str">
        <f>MODELAGEM!M15</f>
        <v>Reforço</v>
      </c>
      <c r="Z21" s="1656"/>
      <c r="AA21" s="778">
        <f>MODELAGEM!N15</f>
        <v>7.9</v>
      </c>
      <c r="AB21" s="750">
        <f>IF(V21="NÃO",0,((Z22*MODELAGEM!P15/(MODELAGEM!R15/MODELAGEM!L15))/100))</f>
        <v>3.44</v>
      </c>
      <c r="AC21" s="779">
        <f>AC19</f>
        <v>2.5</v>
      </c>
      <c r="AD21" s="779"/>
      <c r="AE21" s="769">
        <f>IF(V21="NÃO",0,((Z22/(MODELAGEM!R15))*(AC21*2/100)+AB21)*W22)</f>
        <v>3.94</v>
      </c>
      <c r="AF21" s="770">
        <f>AE21*AA21</f>
        <v>31.126000000000001</v>
      </c>
      <c r="AG21" s="34"/>
      <c r="AH21" s="34"/>
      <c r="AI21" s="35">
        <v>2</v>
      </c>
      <c r="AJ21" s="398" t="str">
        <f>'NOME + Nº'!B36</f>
        <v>Entretela</v>
      </c>
      <c r="AK21" s="398">
        <f>IF('NOME + Nº'!D36=0," ",'NOME + Nº'!D36)</f>
        <v>80</v>
      </c>
      <c r="AL21" s="399">
        <f>'NOME + Nº'!H36</f>
        <v>16</v>
      </c>
      <c r="AM21" s="474">
        <f>'NOME + Nº'!J36</f>
        <v>75</v>
      </c>
      <c r="AN21" s="808">
        <f>IF('NOME + Nº'!D23="NÃO",0,IF(AL21&lt;&gt;0,AO21/AL21,0))</f>
        <v>0</v>
      </c>
      <c r="AO21" s="806">
        <f>IF('NOME + Nº'!D23="NÃO",0,SUM(AP21:ET21))</f>
        <v>0</v>
      </c>
      <c r="AP21" s="734">
        <f>IF((Y17=AJ21), AF17, 0)</f>
        <v>0</v>
      </c>
      <c r="AQ21" s="720">
        <f>IF((Y19=AJ21), AF19, 0)</f>
        <v>0</v>
      </c>
      <c r="AR21" s="720">
        <f>IF((Y21=AJ21), AF21, 0)</f>
        <v>0</v>
      </c>
      <c r="AS21" s="735">
        <f>IF((Y23=AJ21), AF23, 0)</f>
        <v>0</v>
      </c>
      <c r="AT21" s="734">
        <f>IF((Y26=AJ21), AF26, 0)</f>
        <v>0</v>
      </c>
      <c r="AU21" s="720">
        <f>IF((Y28=AJ21), AF28, 0)</f>
        <v>0</v>
      </c>
      <c r="AV21" s="720">
        <f>IF((Y30=AJ21), AF30, 0)</f>
        <v>0</v>
      </c>
      <c r="AW21" s="735">
        <f>IF((Y32=AJ21), AF32, 0)</f>
        <v>0</v>
      </c>
      <c r="AX21" s="734">
        <f>IF((Y35=AJ21), AF35, 0)</f>
        <v>0</v>
      </c>
      <c r="AY21" s="720">
        <f>IF((Y37=AJ21), AF37, 0)</f>
        <v>0</v>
      </c>
      <c r="AZ21" s="720">
        <f>IF((Y39=AJ21), AF39, 0)</f>
        <v>0</v>
      </c>
      <c r="BA21" s="735">
        <f>IF((Y41=AJ21), AF41, 0)</f>
        <v>0</v>
      </c>
      <c r="BB21" s="734">
        <f>IF((Y44=AJ21), AF44, 0)</f>
        <v>0</v>
      </c>
      <c r="BC21" s="720">
        <f>IF((Y46=AJ21), AF46, 0)</f>
        <v>0</v>
      </c>
      <c r="BD21" s="720">
        <f>IF((Y48=AJ21), AF48, 0)</f>
        <v>0</v>
      </c>
      <c r="BE21" s="735">
        <f>IF((Y50=AJ21), AF50, 0)</f>
        <v>0</v>
      </c>
      <c r="BF21" s="734">
        <f>IF((Y53=AJ21), AF53, 0)</f>
        <v>0</v>
      </c>
      <c r="BG21" s="720">
        <f>IF((Y55=AJ21), AF55, 0)</f>
        <v>0</v>
      </c>
      <c r="BH21" s="720">
        <f>IF((Y57=AJ21), AF57, 0)</f>
        <v>0</v>
      </c>
      <c r="BI21" s="735">
        <f>IF((Y59=AJ21), AF59, 0)</f>
        <v>0</v>
      </c>
      <c r="BJ21" s="727">
        <f>IF((Y62=AJ21), AF62, 0)</f>
        <v>0</v>
      </c>
      <c r="BK21" s="721">
        <f>IF((Y64=AJ21), AF64, 0)</f>
        <v>0</v>
      </c>
      <c r="BL21" s="721">
        <f>IF((Y66=AJ21), AF66, 0)</f>
        <v>0</v>
      </c>
      <c r="BM21" s="728">
        <f>IF((Y68=AJ21), AF68, 0)</f>
        <v>0</v>
      </c>
      <c r="BN21" s="727">
        <f>IF((Y71=AJ21), AF71, 0)</f>
        <v>0</v>
      </c>
      <c r="BO21" s="721">
        <f>IF((Y73=AJ21), AF73, 0)</f>
        <v>0</v>
      </c>
      <c r="BP21" s="721">
        <f>IF((Y75=AJ21), AF75, 0)</f>
        <v>0</v>
      </c>
      <c r="BQ21" s="728">
        <f>IF((Y77=AJ21), AF77, 0)</f>
        <v>0</v>
      </c>
      <c r="BR21" s="727">
        <f>IF((Y80=AJ21), AF80, 0)</f>
        <v>0</v>
      </c>
      <c r="BS21" s="721">
        <f>IF((Y82=AJ21), AF82, 0)</f>
        <v>0</v>
      </c>
      <c r="BT21" s="721">
        <f>IF((Y84=AJ21), AF84, 0)</f>
        <v>0</v>
      </c>
      <c r="BU21" s="728">
        <f>IF((Y86=AJ21), AF86, 0)</f>
        <v>0</v>
      </c>
      <c r="BV21" s="727">
        <f>IF((Y89=AJ21), AF89, 0)</f>
        <v>0</v>
      </c>
      <c r="BW21" s="721">
        <f>IF((Y91=AJ21), AF91, 0)</f>
        <v>0</v>
      </c>
      <c r="BX21" s="721">
        <f>IF((Y93=AJ21), AF93, 0)</f>
        <v>0</v>
      </c>
      <c r="BY21" s="728">
        <f>IF((Y95=AJ21), AF95, 0)</f>
        <v>0</v>
      </c>
      <c r="BZ21" s="727">
        <f>IF((Y98=AJ21), AF98, 0)</f>
        <v>0</v>
      </c>
      <c r="CA21" s="721">
        <f>IF((Y100=AJ21), AF100, 0)</f>
        <v>0</v>
      </c>
      <c r="CB21" s="721">
        <f>IF((Y102=AJ21), AF102, 0)</f>
        <v>0</v>
      </c>
      <c r="CC21" s="728">
        <f>IF((Y104=AJ21), AF104, 0)</f>
        <v>0</v>
      </c>
      <c r="CD21" s="727">
        <f>IF((Y107=AJ21), AF107, 0)</f>
        <v>0</v>
      </c>
      <c r="CE21" s="721">
        <f>IF((Y109=AJ21), AF109, 0)</f>
        <v>0</v>
      </c>
      <c r="CF21" s="721">
        <f>IF((Y111=AJ21), AF111, 0)</f>
        <v>0</v>
      </c>
      <c r="CG21" s="728">
        <f>IF((Y113=AJ21), AF113, 0)</f>
        <v>0</v>
      </c>
      <c r="CH21" s="727">
        <f>IF((Y116=AJ21), AF116, 0)</f>
        <v>0</v>
      </c>
      <c r="CI21" s="721">
        <f>IF((Y118=AJ21), AF118, 0)</f>
        <v>0</v>
      </c>
      <c r="CJ21" s="721">
        <f>IF((Y120=AJ21), AF120, 0)</f>
        <v>0</v>
      </c>
      <c r="CK21" s="728">
        <f>IF((Y122=AJ21), AF122, 0)</f>
        <v>0</v>
      </c>
      <c r="CL21" s="727">
        <f>IF((Y125=AJ21), AF125, 0)</f>
        <v>0</v>
      </c>
      <c r="CM21" s="721">
        <f>IF((Y127=AJ21), AF127, 0)</f>
        <v>0</v>
      </c>
      <c r="CN21" s="721">
        <f>IF((Y129=AJ21), AF129, 0)</f>
        <v>0</v>
      </c>
      <c r="CO21" s="728">
        <f>IF((Y131=AJ21), AF131, 0)</f>
        <v>0</v>
      </c>
      <c r="CP21" s="734">
        <f>IF((Y134=AJ21), AF134, 0)</f>
        <v>0</v>
      </c>
      <c r="CQ21" s="720">
        <f>IF((Y136=AJ21), AF136, 0)</f>
        <v>0</v>
      </c>
      <c r="CR21" s="720">
        <f>IF((Y138=AJ21), AF138, 0)</f>
        <v>0</v>
      </c>
      <c r="CS21" s="735">
        <f>IF((Y140=AJ21), AF140, 0)</f>
        <v>0</v>
      </c>
      <c r="CT21" s="734">
        <f>IF((Y143=AJ21), AF143, 0)</f>
        <v>0</v>
      </c>
      <c r="CU21" s="720">
        <f>IF((Y145=AJ21), AF145, 0)</f>
        <v>0</v>
      </c>
      <c r="CV21" s="720">
        <f>IF((Y147=AJ21), AF147, 0)</f>
        <v>0</v>
      </c>
      <c r="CW21" s="735">
        <f>IF((Y149=AJ21), AF149, 0)</f>
        <v>0</v>
      </c>
      <c r="CX21" s="734">
        <f>IF((Y152=AJ21), AF152, 0)</f>
        <v>0</v>
      </c>
      <c r="CY21" s="720">
        <f>IF((Y154=AJ21), AF154, 0)</f>
        <v>0</v>
      </c>
      <c r="CZ21" s="720">
        <f>IF((Y156=AJ21), AF156, 0)</f>
        <v>0</v>
      </c>
      <c r="DA21" s="735">
        <f>IF((Y158=AJ21), AF158, 0)</f>
        <v>0</v>
      </c>
      <c r="DB21" s="734">
        <f>IF((Y161=AJ21), AF161, 0)</f>
        <v>0</v>
      </c>
      <c r="DC21" s="720">
        <f>IF((Y163=AJ21), AF163, 0)</f>
        <v>0</v>
      </c>
      <c r="DD21" s="720">
        <f>IF((Y165=AJ21), AF165, 0)</f>
        <v>0</v>
      </c>
      <c r="DE21" s="735">
        <f>IF((Y167=AJ21), AF167, 0)</f>
        <v>0</v>
      </c>
      <c r="DF21" s="734">
        <f>IF((Y170=AJ21), AF170, 0)</f>
        <v>0</v>
      </c>
      <c r="DG21" s="720">
        <f>IF((Y172=AJ21), AF172, 0)</f>
        <v>0</v>
      </c>
      <c r="DH21" s="720">
        <f>IF((Y174=AJ21), AF174, 0)</f>
        <v>0</v>
      </c>
      <c r="DI21" s="735">
        <f>IF((Y176=AJ21), AF176, 0)</f>
        <v>0</v>
      </c>
      <c r="DJ21" s="727">
        <f>IF((Y179=AJ21), AF179, 0)</f>
        <v>0</v>
      </c>
      <c r="DK21" s="721">
        <f>IF((Y181=AJ21), AF181, 0)</f>
        <v>0</v>
      </c>
      <c r="DL21" s="721">
        <f>IF((Y183=AJ21), AF183, 0)</f>
        <v>0</v>
      </c>
      <c r="DM21" s="728">
        <f>IF((Y185=AJ21), AF185, 0)</f>
        <v>0</v>
      </c>
      <c r="DN21" s="727">
        <f>IF((Y188=AJ21), AF188, 0)</f>
        <v>0</v>
      </c>
      <c r="DO21" s="721">
        <f>IF((Y190=AJ21), AF190, 0)</f>
        <v>0</v>
      </c>
      <c r="DP21" s="721">
        <f>IF((Y192=AJ21), AF192, 0)</f>
        <v>0</v>
      </c>
      <c r="DQ21" s="728">
        <f>IF((Y194=AJ21), AF194, 0)</f>
        <v>0</v>
      </c>
      <c r="DR21" s="727">
        <f>IF((Y197=AJ21), AF197, 0)</f>
        <v>0</v>
      </c>
      <c r="DS21" s="721">
        <f>IF((Y199=AJ21), AF199, 0)</f>
        <v>0</v>
      </c>
      <c r="DT21" s="721">
        <f>IF((Y201=AJ21), AF201, 0)</f>
        <v>0</v>
      </c>
      <c r="DU21" s="728">
        <f>IF((Y203=AJ21), AF203, 0)</f>
        <v>0</v>
      </c>
      <c r="DV21" s="727">
        <f>IF((Y206=AJ21), AF206, 0)</f>
        <v>0</v>
      </c>
      <c r="DW21" s="721">
        <f>IF((Y208=AJ21), AF208, 0)</f>
        <v>0</v>
      </c>
      <c r="DX21" s="721">
        <f>IF((Y210=AJ21), AF210, 0)</f>
        <v>0</v>
      </c>
      <c r="DY21" s="728">
        <f>IF((Y212=AJ21), AF212, 0)</f>
        <v>0</v>
      </c>
      <c r="DZ21" s="727">
        <f>IF((Y215=AJ21), AF215, 0)</f>
        <v>0</v>
      </c>
      <c r="EA21" s="721">
        <f>IF((Y217=AJ21), AF217, 0)</f>
        <v>0</v>
      </c>
      <c r="EB21" s="721">
        <f>IF((Y219=AJ21), AF219, 0)</f>
        <v>0</v>
      </c>
      <c r="EC21" s="728">
        <f>IF((Y221=AJ21), AF221, 0)</f>
        <v>0</v>
      </c>
      <c r="ED21" s="727">
        <f>IF((Y224=AJ21), AF224, 0)</f>
        <v>0</v>
      </c>
      <c r="EE21" s="721">
        <f>IF((Y226=AJ21), AF226, 0)</f>
        <v>0</v>
      </c>
      <c r="EF21" s="721">
        <f>IF((Y228=AJ21), AF228, 0)</f>
        <v>0</v>
      </c>
      <c r="EG21" s="728">
        <f>IF((Y230=AJ21), AF230, 0)</f>
        <v>0</v>
      </c>
      <c r="EH21" s="727">
        <f>IF((Y233=AJ21), AF233, 0)</f>
        <v>0</v>
      </c>
      <c r="EI21" s="721">
        <f>IF((Y235=AJ21), AF235, 0)</f>
        <v>0</v>
      </c>
      <c r="EJ21" s="721">
        <f>IF((Y237=AJ21), AF237, 0)</f>
        <v>0</v>
      </c>
      <c r="EK21" s="728">
        <f>IF((Y239=AJ21), AF239, 0)</f>
        <v>0</v>
      </c>
      <c r="EL21" s="727">
        <f>IF((Y242=AJ21), AF242, 0)</f>
        <v>0</v>
      </c>
      <c r="EM21" s="721">
        <f>IF((Y244=AJ21), AF244, 0)</f>
        <v>0</v>
      </c>
      <c r="EN21" s="721">
        <f>IF((Y246=AJ21), AF246, 0)</f>
        <v>0</v>
      </c>
      <c r="EO21" s="728">
        <f>IF((Y248=AJ21), AF248, 0)</f>
        <v>0</v>
      </c>
      <c r="EP21" s="469">
        <f>IF('NOME + Nº'!E62="SIM",0,IF((Y251=AJ21),AF251,0)+IF((Y252=AJ21),AF252,0))</f>
        <v>6.1866666666666665</v>
      </c>
      <c r="EQ21" s="417">
        <f>IF('NOME + Nº'!E62="SIM",0,IF((Y254=AJ21),AF254,0)+IF((Y255=AJ21),AF255,0))</f>
        <v>3.822222222222222</v>
      </c>
      <c r="ER21" s="417">
        <f>IF('NOME + Nº'!E62="SIM",0,IF((Y257=AJ21), AF257,0)+IF((Y258=AJ21), AF258,0))</f>
        <v>0</v>
      </c>
      <c r="ES21" s="470">
        <f>IF('NOME + Nº'!E62="SIM",0,IF((Y260=AJ21), AF260,0)+IF((Y261=AJ21), AF261,0))</f>
        <v>0</v>
      </c>
      <c r="ET21" s="469">
        <f>IF(Y263=AJ21,AF263,0)</f>
        <v>0</v>
      </c>
      <c r="EU21" s="478">
        <f>IF('NOME + Nº'!D23="SIM",SUM(AP21:ET21),0)</f>
        <v>0</v>
      </c>
      <c r="EW21" s="402">
        <f t="shared" ref="EW21:EW24" si="6">SUM(EP21:ES21)</f>
        <v>10.008888888888889</v>
      </c>
    </row>
    <row r="22" spans="2:153" x14ac:dyDescent="0.25">
      <c r="B22" s="1621" t="s">
        <v>255</v>
      </c>
      <c r="C22" s="1621"/>
      <c r="D22" s="1621"/>
      <c r="E22" s="1621"/>
      <c r="F22" s="1621"/>
      <c r="I22" s="498">
        <v>2</v>
      </c>
      <c r="J22" s="499" t="str">
        <f>IF(N22=0," ",ENFESTO!AJ21)</f>
        <v xml:space="preserve"> </v>
      </c>
      <c r="K22" s="500" t="str">
        <f>IF(N22=0," ",ENFESTO!AK21)</f>
        <v xml:space="preserve"> </v>
      </c>
      <c r="L22" s="501" t="str">
        <f>IF(N22=0," ",ENFESTO!AL21)</f>
        <v xml:space="preserve"> </v>
      </c>
      <c r="M22" s="499" t="str">
        <f>IF(N22=0," ",ENFESTO!AM21)</f>
        <v xml:space="preserve"> </v>
      </c>
      <c r="N22" s="950">
        <f>IF(ENFESTO!AN21=0,0,ENFESTO!AN21)</f>
        <v>0</v>
      </c>
      <c r="O22" s="513">
        <f>IF(ENFESTO!AO21=0,0,ENFESTO!AO21)</f>
        <v>0</v>
      </c>
      <c r="P22" s="497"/>
      <c r="T22" s="1700"/>
      <c r="V22" s="20"/>
      <c r="W22" s="10" t="str">
        <f>IF(V21="SIM","1","0")</f>
        <v>1</v>
      </c>
      <c r="X22" s="10"/>
      <c r="Z22" s="140">
        <f>Z20</f>
        <v>20</v>
      </c>
      <c r="AA22" s="22"/>
      <c r="AB22" s="34"/>
      <c r="AC22" s="186"/>
      <c r="AD22" s="186"/>
      <c r="AE22" s="184"/>
      <c r="AF22" s="184"/>
      <c r="AG22" s="34"/>
      <c r="AH22" s="34"/>
      <c r="AI22" s="35">
        <v>3</v>
      </c>
      <c r="AJ22" s="398" t="str">
        <f>'NOME + Nº'!B37</f>
        <v>Forro</v>
      </c>
      <c r="AK22" s="398" t="str">
        <f>IF('NOME + Nº'!D37=0," ",'NOME + Nº'!D37)</f>
        <v>Suede</v>
      </c>
      <c r="AL22" s="399">
        <f>'NOME + Nº'!H37</f>
        <v>19.899999999999999</v>
      </c>
      <c r="AM22" s="474">
        <f>'NOME + Nº'!J37</f>
        <v>140</v>
      </c>
      <c r="AN22" s="808">
        <f>IF('NOME + Nº'!D24="NÃO",0,IF(AL22&lt;&gt;0,AO22/AL22,0))</f>
        <v>0</v>
      </c>
      <c r="AO22" s="806">
        <f>IF('NOME + Nº'!D24="NÃO",0,SUM(AP22:ET22))</f>
        <v>0</v>
      </c>
      <c r="AP22" s="725">
        <f>IF((Y17=AJ22), AF17, 0)</f>
        <v>0</v>
      </c>
      <c r="AQ22" s="719">
        <f>IF((Y19=AJ22), AF19, 0)</f>
        <v>0</v>
      </c>
      <c r="AR22" s="719">
        <f>IF((Y21=AJ22), AF21, 0)</f>
        <v>0</v>
      </c>
      <c r="AS22" s="726">
        <f>IF((Y23=AJ22), AF23, 0)</f>
        <v>0</v>
      </c>
      <c r="AT22" s="725">
        <f>IF((Y26=AJ22), AF26, 0)</f>
        <v>0</v>
      </c>
      <c r="AU22" s="719">
        <f>IF((Y28=AJ22), AF28, 0)</f>
        <v>0</v>
      </c>
      <c r="AV22" s="719">
        <f>IF((Y30=AJ22), AF30, 0)</f>
        <v>0</v>
      </c>
      <c r="AW22" s="726">
        <f>IF((Y32=AJ22), AF32, 0)</f>
        <v>0</v>
      </c>
      <c r="AX22" s="725">
        <f>IF((Y35=AJ22), AF35, 0)</f>
        <v>0</v>
      </c>
      <c r="AY22" s="719">
        <f>IF((Y37=AJ22), AF37, 0)</f>
        <v>0</v>
      </c>
      <c r="AZ22" s="719">
        <f>IF((Y39=AJ22), AF39, 0)</f>
        <v>0</v>
      </c>
      <c r="BA22" s="726">
        <f>IF((Y41=AJ22), AF41, 0)</f>
        <v>0</v>
      </c>
      <c r="BB22" s="725">
        <f>IF((Y44=AJ22), AF44, 0)</f>
        <v>0</v>
      </c>
      <c r="BC22" s="719">
        <f>IF((Y46=AJ22), AF46, 0)</f>
        <v>0</v>
      </c>
      <c r="BD22" s="719">
        <f>IF((Y48=AJ22), AF48, 0)</f>
        <v>0</v>
      </c>
      <c r="BE22" s="726">
        <f>IF((Y50=AJ22), AF50, 0)</f>
        <v>0</v>
      </c>
      <c r="BF22" s="725">
        <f>IF((Y53=AJ22), AF53, 0)</f>
        <v>0</v>
      </c>
      <c r="BG22" s="719">
        <f>IF((Y55=AJ22), AF55, 0)</f>
        <v>0</v>
      </c>
      <c r="BH22" s="719">
        <f>IF((Y57=AJ22), AF57, 0)</f>
        <v>0</v>
      </c>
      <c r="BI22" s="726">
        <f>IF((Y59=AJ22), AF59, 0)</f>
        <v>0</v>
      </c>
      <c r="BJ22" s="725">
        <f>IF((Y62=AJ22), AF62, 0)</f>
        <v>0</v>
      </c>
      <c r="BK22" s="719">
        <f>IF((Y64=AJ22), AF64, 0)</f>
        <v>0</v>
      </c>
      <c r="BL22" s="719">
        <f>IF((Y66=AJ22), AF66, 0)</f>
        <v>0</v>
      </c>
      <c r="BM22" s="726">
        <f>IF((Y68=AJ22), AF68, 0)</f>
        <v>0</v>
      </c>
      <c r="BN22" s="725">
        <f>IF((Y71=AJ22), AF71,0)</f>
        <v>0</v>
      </c>
      <c r="BO22" s="719">
        <f>IF((Y73=AJ22), AF73, 0)</f>
        <v>0</v>
      </c>
      <c r="BP22" s="719">
        <f>IF((Y75=AJ22), AF75, 0)</f>
        <v>0</v>
      </c>
      <c r="BQ22" s="726">
        <f>IF((Y77=AJ22), AF77, 0)</f>
        <v>0</v>
      </c>
      <c r="BR22" s="725">
        <f>IF((Y80=AJ22), AF80, 0)</f>
        <v>0</v>
      </c>
      <c r="BS22" s="719">
        <f>IF((Y82=AJ22), AF82, 0)</f>
        <v>0</v>
      </c>
      <c r="BT22" s="719">
        <f>IF((Y84=AJ22), AF84, 0)</f>
        <v>0</v>
      </c>
      <c r="BU22" s="726">
        <f>IF((Y86=AJ22), AF86, 0)</f>
        <v>0</v>
      </c>
      <c r="BV22" s="725">
        <f>IF((Y89=AJ22), AF89, 0)</f>
        <v>0</v>
      </c>
      <c r="BW22" s="719">
        <f>IF((Y91=AJ22), AF91, 0)</f>
        <v>0</v>
      </c>
      <c r="BX22" s="719">
        <f>IF((Y93=AJ22), AF93, 0)</f>
        <v>0</v>
      </c>
      <c r="BY22" s="726">
        <f>IF((Y95=AJ22), AF95, 0)</f>
        <v>0</v>
      </c>
      <c r="BZ22" s="725">
        <f>IF((Y98=AJ22), AF98, 0)</f>
        <v>0</v>
      </c>
      <c r="CA22" s="719">
        <f>IF((Y100=AJ22), AF100, 0)</f>
        <v>0</v>
      </c>
      <c r="CB22" s="719">
        <f>IF((Y102=AJ22), AF102, 0)</f>
        <v>0</v>
      </c>
      <c r="CC22" s="726">
        <f>IF((Y104=AJ22), AF104, 0)</f>
        <v>0</v>
      </c>
      <c r="CD22" s="725">
        <f>IF((Y107=AJ22), AF107, 0)</f>
        <v>0</v>
      </c>
      <c r="CE22" s="719">
        <f>IF((Y109=AJ22), AF109, 0)</f>
        <v>0</v>
      </c>
      <c r="CF22" s="719">
        <f>IF((Y111=AJ22), AF111, 0)</f>
        <v>0</v>
      </c>
      <c r="CG22" s="726">
        <f>IF((Y113=AJ22), AF113, 0)</f>
        <v>0</v>
      </c>
      <c r="CH22" s="725">
        <f>IF((Y116=AJ22), AF116, 0)</f>
        <v>0</v>
      </c>
      <c r="CI22" s="719">
        <f>IF((Y118=AJ22), AF118, 0)</f>
        <v>0</v>
      </c>
      <c r="CJ22" s="719">
        <f>IF((Y120=AJ22), AF120, 0)</f>
        <v>0</v>
      </c>
      <c r="CK22" s="726">
        <f>IF((Y122=AJ22), AF122, 0)</f>
        <v>0</v>
      </c>
      <c r="CL22" s="725">
        <f>IF((Y125=AJ22), AF125, 0)</f>
        <v>0</v>
      </c>
      <c r="CM22" s="719">
        <f>IF((Y127=AJ22), AF127, 0)</f>
        <v>0</v>
      </c>
      <c r="CN22" s="719">
        <f>IF((Y129=AJ22), AF129, 0)</f>
        <v>0</v>
      </c>
      <c r="CO22" s="726">
        <f>IF((Y131=AJ22), AF131, 0)</f>
        <v>0</v>
      </c>
      <c r="CP22" s="725">
        <f>IF((Y134=AJ22), AF134, 0)</f>
        <v>0</v>
      </c>
      <c r="CQ22" s="719">
        <f>IF((Y136=AJ22), AF136, 0)</f>
        <v>0</v>
      </c>
      <c r="CR22" s="719">
        <f>IF((Y138=AJ22), AF138, 0)</f>
        <v>0</v>
      </c>
      <c r="CS22" s="726">
        <f>IF((Y140=AJ22), AF140, 0)</f>
        <v>0</v>
      </c>
      <c r="CT22" s="725">
        <f>IF((Y143=AJ22), AF143, 0)</f>
        <v>0</v>
      </c>
      <c r="CU22" s="719">
        <f>IF((Y145=AJ22), AF145, 0)</f>
        <v>0</v>
      </c>
      <c r="CV22" s="719">
        <f>IF((Y147=AJ22), AF147, 0)</f>
        <v>0</v>
      </c>
      <c r="CW22" s="726">
        <f>IF((Y149=AJ22), AF149, 0)</f>
        <v>0</v>
      </c>
      <c r="CX22" s="725">
        <f>IF((Y152=AJ22), AF152, 0)</f>
        <v>0</v>
      </c>
      <c r="CY22" s="719">
        <f>IF((Y154=AJ22), AF154, 0)</f>
        <v>0</v>
      </c>
      <c r="CZ22" s="719">
        <f>IF((Y156=AJ22), AF156, 0)</f>
        <v>0</v>
      </c>
      <c r="DA22" s="726">
        <f>IF((Y158=AJ22), AF158, 0)</f>
        <v>0</v>
      </c>
      <c r="DB22" s="725">
        <f>IF((Y161=AJ22), AF161, 0)</f>
        <v>0</v>
      </c>
      <c r="DC22" s="719">
        <f>IF((Y163=AJ22), AF163, 0)</f>
        <v>0</v>
      </c>
      <c r="DD22" s="719">
        <f>IF((Y165=AJ22), AF165, 0)</f>
        <v>0</v>
      </c>
      <c r="DE22" s="726">
        <f>IF((Y167=AJ22), AF167, 0)</f>
        <v>0</v>
      </c>
      <c r="DF22" s="725">
        <f>IF((Y170=AJ22), AF170, 0)</f>
        <v>0</v>
      </c>
      <c r="DG22" s="719">
        <f>IF((Y172=AJ22), AF172, 0)</f>
        <v>0</v>
      </c>
      <c r="DH22" s="719">
        <f>IF((Y174=AJ22), AF174, 0)</f>
        <v>0</v>
      </c>
      <c r="DI22" s="726">
        <f>IF((Y176=AJ22), AF176, 0)</f>
        <v>0</v>
      </c>
      <c r="DJ22" s="725">
        <f>IF((Y179=AJ22), AF179, 0)</f>
        <v>0</v>
      </c>
      <c r="DK22" s="719">
        <f>IF((Y181=AJ22), AF181, 0)</f>
        <v>0</v>
      </c>
      <c r="DL22" s="719">
        <f>IF((Y183=AJ22), AF183, 0)</f>
        <v>0</v>
      </c>
      <c r="DM22" s="726">
        <f>IF((Y185=AJ22), AF185, 0)</f>
        <v>0</v>
      </c>
      <c r="DN22" s="725">
        <f>IF((Y188=AJ22), AF188, 0)</f>
        <v>0</v>
      </c>
      <c r="DO22" s="719">
        <f>IF((Y190=AJ22), AF190, 0)</f>
        <v>0</v>
      </c>
      <c r="DP22" s="719">
        <f>IF((Y192=AJ22), AF192, 0)</f>
        <v>0</v>
      </c>
      <c r="DQ22" s="726">
        <f>IF((Y194=AJ22), AF194, 0)</f>
        <v>0</v>
      </c>
      <c r="DR22" s="725">
        <f>IF((Y197=AJ22), AF197, 0)</f>
        <v>0</v>
      </c>
      <c r="DS22" s="719">
        <f>IF((Y199=AJ22), AF199, 0)</f>
        <v>0</v>
      </c>
      <c r="DT22" s="719">
        <f>IF((Y201=AJ22), AF201, 0)</f>
        <v>0</v>
      </c>
      <c r="DU22" s="726">
        <f>IF((Y203=AJ22), AF203, 0)</f>
        <v>0</v>
      </c>
      <c r="DV22" s="725">
        <f>IF((Y206=AJ22), AF206, 0)</f>
        <v>0</v>
      </c>
      <c r="DW22" s="719">
        <f>IF((Y208=AJ22), AF208, 0)</f>
        <v>0</v>
      </c>
      <c r="DX22" s="719">
        <f>IF((Y210=AJ22), AF210, 0)</f>
        <v>0</v>
      </c>
      <c r="DY22" s="726">
        <f>IF((Y212=AJ22), AF212, 0)</f>
        <v>0</v>
      </c>
      <c r="DZ22" s="725">
        <f>IF((Y215=AJ22), AF215, 0)</f>
        <v>0</v>
      </c>
      <c r="EA22" s="719">
        <f>IF((Y217=AJ22), AF217, 0)</f>
        <v>0</v>
      </c>
      <c r="EB22" s="719">
        <f>IF((Y219=AJ22), AF219, 0)</f>
        <v>0</v>
      </c>
      <c r="EC22" s="726">
        <f>IF((Y221=AJ22), AF221, 0)</f>
        <v>0</v>
      </c>
      <c r="ED22" s="725">
        <f>IF((Y224=AJ22), AF224, 0)</f>
        <v>0</v>
      </c>
      <c r="EE22" s="719">
        <f>IF((Y226=AJ22), AF226, 0)</f>
        <v>0</v>
      </c>
      <c r="EF22" s="719">
        <f>IF((Y228=AJ22), AF228, 0)</f>
        <v>0</v>
      </c>
      <c r="EG22" s="726">
        <f>IF((Y230=AJ22), AF230, 0)</f>
        <v>0</v>
      </c>
      <c r="EH22" s="725">
        <f>IF((Y233=AJ22), AF233, 0)</f>
        <v>0</v>
      </c>
      <c r="EI22" s="719">
        <f>IF((Y235=AJ22), AF235, 0)</f>
        <v>0</v>
      </c>
      <c r="EJ22" s="719">
        <f>IF((Y237=AJ22), AF237, 0)</f>
        <v>0</v>
      </c>
      <c r="EK22" s="726">
        <f>IF((Y239=AJ22), AF239, 0)</f>
        <v>0</v>
      </c>
      <c r="EL22" s="725">
        <f>IF((Y242=AJ22), AF242, 0)</f>
        <v>0</v>
      </c>
      <c r="EM22" s="719">
        <f>IF((Y244=AJ22), AF244, 0)</f>
        <v>0</v>
      </c>
      <c r="EN22" s="719">
        <f>IF((Y246=AJ22), AF246, 0)</f>
        <v>0</v>
      </c>
      <c r="EO22" s="726">
        <f>IF((Y248=AJ22), AF248, 0)</f>
        <v>0</v>
      </c>
      <c r="EP22" s="467">
        <f>IF('NOME + Nº'!E62="SIM",0,IF((Y251=AJ22),AF251,0)+IF((Y252=AJ22),AF252,0))</f>
        <v>0</v>
      </c>
      <c r="EQ22" s="416">
        <f>IF('NOME + Nº'!E62="SIM",0,IF((Y254=AJ22),AF254,0)+IF((Y255=AJ22),AF255,0))</f>
        <v>0</v>
      </c>
      <c r="ER22" s="416">
        <f>IF('NOME + Nº'!E62="SIM",0,IF((Y257=AJ22), AF257,0)+IF((Y258=AJ22), AF258,0))</f>
        <v>0</v>
      </c>
      <c r="ES22" s="468">
        <f>IF('NOME + Nº'!E62="SIM",0,IF((Y260=AJ22), AF260,0)+IF((Y261=AJ22), AF261,0))</f>
        <v>0</v>
      </c>
      <c r="ET22" s="467">
        <f>IF(Y263=AJ22,AF263,0)</f>
        <v>0</v>
      </c>
      <c r="EU22" s="478">
        <f>IF('NOME + Nº'!D24="SIM",SUM(AP22:ET22),0)</f>
        <v>0</v>
      </c>
      <c r="EW22" s="402">
        <f t="shared" si="6"/>
        <v>0</v>
      </c>
    </row>
    <row r="23" spans="2:153" x14ac:dyDescent="0.25">
      <c r="B23" s="1621"/>
      <c r="C23" s="1621"/>
      <c r="D23" s="1621"/>
      <c r="E23" s="1621"/>
      <c r="F23" s="1621"/>
      <c r="I23" s="498">
        <v>3</v>
      </c>
      <c r="J23" s="499" t="str">
        <f>IF(N23=0," ",ENFESTO!AJ22)</f>
        <v xml:space="preserve"> </v>
      </c>
      <c r="K23" s="500" t="str">
        <f>IF(N23=0," ",ENFESTO!AK22)</f>
        <v xml:space="preserve"> </v>
      </c>
      <c r="L23" s="501" t="str">
        <f>IF(N23=0," ",ENFESTO!AL22)</f>
        <v xml:space="preserve"> </v>
      </c>
      <c r="M23" s="499" t="str">
        <f>IF(N23=0," ",ENFESTO!AM22)</f>
        <v xml:space="preserve"> </v>
      </c>
      <c r="N23" s="950">
        <f>IF(ENFESTO!AN22=0,0,ENFESTO!AN22)</f>
        <v>0</v>
      </c>
      <c r="O23" s="513">
        <f>IF(ENFESTO!AO22=0,0,ENFESTO!AO22)</f>
        <v>0</v>
      </c>
      <c r="P23" s="497"/>
      <c r="T23" s="1700"/>
      <c r="U23">
        <f>U21+1</f>
        <v>4</v>
      </c>
      <c r="V23" s="767" t="str">
        <f>MODELAGEM!K17</f>
        <v>NÃO</v>
      </c>
      <c r="W23" s="1657" t="s">
        <v>712</v>
      </c>
      <c r="X23" s="1657"/>
      <c r="Y23" s="1655" t="str">
        <f>MODELAGEM!M17</f>
        <v>Reforço</v>
      </c>
      <c r="Z23" s="1655"/>
      <c r="AA23" s="780">
        <f>MODELAGEM!N17</f>
        <v>7.9</v>
      </c>
      <c r="AB23" s="781">
        <f>IF(V23="NÃO",0,((Z24*MODELAGEM!P17/(MODELAGEM!R17/MODELAGEM!L17))/100))</f>
        <v>0</v>
      </c>
      <c r="AC23" s="779">
        <f>AC21</f>
        <v>2.5</v>
      </c>
      <c r="AD23" s="779"/>
      <c r="AE23" s="769">
        <f>IF(V23="NÃO",0,((Z24/(MODELAGEM!R17))*(AC23*2/100)+AB23)*W24)</f>
        <v>0</v>
      </c>
      <c r="AF23" s="770">
        <f>AE23*AA23</f>
        <v>0</v>
      </c>
      <c r="AG23" s="34"/>
      <c r="AH23" s="34"/>
      <c r="AI23" s="35">
        <v>4</v>
      </c>
      <c r="AJ23" s="398" t="str">
        <f>'NOME + Nº'!B38</f>
        <v>Couro</v>
      </c>
      <c r="AK23" s="398" t="str">
        <f>IF('NOME + Nº'!D38=0," ",'NOME + Nº'!D38)</f>
        <v>Couro Legítimo Fly</v>
      </c>
      <c r="AL23" s="399">
        <f>'NOME + Nº'!H38</f>
        <v>74.900000000000006</v>
      </c>
      <c r="AM23" s="474">
        <f>'NOME + Nº'!J38</f>
        <v>100</v>
      </c>
      <c r="AN23" s="808">
        <f>IF('NOME + Nº'!D25="NÃO",0,IF(AL23&lt;&gt;0,AO23/AL23,0))</f>
        <v>0</v>
      </c>
      <c r="AO23" s="806">
        <f>IF('NOME + Nº'!D25="NÃO",0,SUM(AP23:ET23))</f>
        <v>0</v>
      </c>
      <c r="AP23" s="734">
        <f>IF((Y17=AJ23), AF17, 0)</f>
        <v>0</v>
      </c>
      <c r="AQ23" s="720">
        <f>IF((Y19=AJ23), AF19, 0)</f>
        <v>0</v>
      </c>
      <c r="AR23" s="720">
        <f>IF((Y21=AJ23), AF21, 0)</f>
        <v>0</v>
      </c>
      <c r="AS23" s="735">
        <f>IF((Y23=AJ23), AF23, 0)</f>
        <v>0</v>
      </c>
      <c r="AT23" s="734">
        <f>IF((Y26=AJ23), AF26, 0)</f>
        <v>0</v>
      </c>
      <c r="AU23" s="720">
        <f>IF((Y28=AJ23), AF28, 0)</f>
        <v>0</v>
      </c>
      <c r="AV23" s="720">
        <f>IF((Y30=AJ23), AF30, 0)</f>
        <v>0</v>
      </c>
      <c r="AW23" s="735">
        <f>IF((Y32=AJ23), AF32, 0)</f>
        <v>0</v>
      </c>
      <c r="AX23" s="734">
        <f>IF((Y35=AJ23), AF35, 0)</f>
        <v>0</v>
      </c>
      <c r="AY23" s="720">
        <f>IF((Y37=AJ23), AF37, 0)</f>
        <v>0</v>
      </c>
      <c r="AZ23" s="720">
        <f>IF((Y39=AJ23), AF39, 0)</f>
        <v>0</v>
      </c>
      <c r="BA23" s="735">
        <f>IF((Y41=AJ23), AF41, 0)</f>
        <v>0</v>
      </c>
      <c r="BB23" s="734">
        <f>IF((Y44=AJ23), AF44, 0)</f>
        <v>0</v>
      </c>
      <c r="BC23" s="720">
        <f>IF((Y46=AJ23), AF46, 0)</f>
        <v>0</v>
      </c>
      <c r="BD23" s="720">
        <f>IF((Y48=AJ23), AF48, 0)</f>
        <v>0</v>
      </c>
      <c r="BE23" s="735">
        <f>IF((Y50=AJ23), AF50, 0)</f>
        <v>0</v>
      </c>
      <c r="BF23" s="734">
        <f>IF((Y53=AJ23), AF53, 0)</f>
        <v>0</v>
      </c>
      <c r="BG23" s="720">
        <f>IF((Y55=AJ23), AF55, 0)</f>
        <v>0</v>
      </c>
      <c r="BH23" s="720">
        <f>IF((Y57=AJ23), AF57, 0)</f>
        <v>0</v>
      </c>
      <c r="BI23" s="735">
        <f>IF((Y59=AJ23), AF59, 0)</f>
        <v>0</v>
      </c>
      <c r="BJ23" s="727">
        <f>IF((Y62=AJ23), AF62, 0)</f>
        <v>0</v>
      </c>
      <c r="BK23" s="721">
        <f>IF((Y64=AJ23), AF64, 0)</f>
        <v>0</v>
      </c>
      <c r="BL23" s="721">
        <f>IF((Y66=AJ23), AF66, 0)</f>
        <v>0</v>
      </c>
      <c r="BM23" s="728">
        <f>IF((Y68=AJ23), AF68, 0)</f>
        <v>0</v>
      </c>
      <c r="BN23" s="727">
        <f>IF((Y71=AJ23), AF71, 0)</f>
        <v>0</v>
      </c>
      <c r="BO23" s="721">
        <f>IF((Y73=AJ23), AF73, 0)</f>
        <v>0</v>
      </c>
      <c r="BP23" s="721">
        <f>IF((Y75=AJ23), AF75, 0)</f>
        <v>0</v>
      </c>
      <c r="BQ23" s="728">
        <f>IF((Y77=AJ23), AF77, 0)</f>
        <v>0</v>
      </c>
      <c r="BR23" s="727">
        <f>IF((Y80=AJ23), AF80, 0)</f>
        <v>0</v>
      </c>
      <c r="BS23" s="721">
        <f>IF((Y82=AJ23), AF82, 0)</f>
        <v>0</v>
      </c>
      <c r="BT23" s="721">
        <f>IF((Y84=AJ23), AF84, 0)</f>
        <v>0</v>
      </c>
      <c r="BU23" s="728">
        <f>IF((Y86=AJ23), AF86, 0)</f>
        <v>0</v>
      </c>
      <c r="BV23" s="727">
        <f>IF((Y89=AJ23), AF89, 0)</f>
        <v>0</v>
      </c>
      <c r="BW23" s="721">
        <f>IF((Y91=AJ23), AF91, 0)</f>
        <v>0</v>
      </c>
      <c r="BX23" s="721">
        <f>IF((Y93=AJ23), AF93, 0)</f>
        <v>0</v>
      </c>
      <c r="BY23" s="728">
        <f>IF((Y95=AJ23), AF95, 0)</f>
        <v>0</v>
      </c>
      <c r="BZ23" s="727">
        <f>IF((Y98=AJ23), AF98, 0)</f>
        <v>0</v>
      </c>
      <c r="CA23" s="721">
        <f>IF((Y100=AJ23), AF100, 0)</f>
        <v>0</v>
      </c>
      <c r="CB23" s="721">
        <f>IF((Y102=AJ23), AF102, 0)</f>
        <v>0</v>
      </c>
      <c r="CC23" s="728">
        <f>IF((Y104=AJ23), AF104, 0)</f>
        <v>0</v>
      </c>
      <c r="CD23" s="727">
        <f>IF((Y107=AJ23), AF107, 0)</f>
        <v>0</v>
      </c>
      <c r="CE23" s="721">
        <f>IF((Y109=AJ23), AF109, 0)</f>
        <v>0</v>
      </c>
      <c r="CF23" s="721">
        <f>IF((Y111=AJ23), AF111, 0)</f>
        <v>0</v>
      </c>
      <c r="CG23" s="728">
        <f>IF((Y113=AJ23), AF113, 0)</f>
        <v>0</v>
      </c>
      <c r="CH23" s="727">
        <f>IF((Y116=AJ23), AF116, 0)</f>
        <v>0</v>
      </c>
      <c r="CI23" s="721">
        <f>IF((Y118=AJ23), AF118, 0)</f>
        <v>0</v>
      </c>
      <c r="CJ23" s="721">
        <f>IF((Y120=AJ23), AF120, 0)</f>
        <v>0</v>
      </c>
      <c r="CK23" s="728">
        <f>IF((Y122=AJ23), AF122, 0)</f>
        <v>0</v>
      </c>
      <c r="CL23" s="727">
        <f>IF((Y125=AJ23), AF125, 0)</f>
        <v>0</v>
      </c>
      <c r="CM23" s="721">
        <f>IF((Y127=AJ23), AF127, 0)</f>
        <v>0</v>
      </c>
      <c r="CN23" s="721">
        <f>IF((Y129=AJ23), AF129, 0)</f>
        <v>0</v>
      </c>
      <c r="CO23" s="728">
        <f>IF((Y131=AJ23), AF131, 0)</f>
        <v>0</v>
      </c>
      <c r="CP23" s="734">
        <f>IF((Y134=AJ23), AF134, 0)</f>
        <v>0</v>
      </c>
      <c r="CQ23" s="720">
        <f>IF((Y136=AJ23), AF136, 0)</f>
        <v>0</v>
      </c>
      <c r="CR23" s="720">
        <f>IF((Y138=AJ23), AF138, 0)</f>
        <v>0</v>
      </c>
      <c r="CS23" s="735">
        <f>IF((Y140=AJ23), AF140, 0)</f>
        <v>0</v>
      </c>
      <c r="CT23" s="734">
        <f>IF((Y143=AJ23), AF143, 0)</f>
        <v>0</v>
      </c>
      <c r="CU23" s="720">
        <f>IF((Y145=AJ23), AF145, 0)</f>
        <v>0</v>
      </c>
      <c r="CV23" s="720">
        <f>IF((Y147=AJ23), AF147, 0)</f>
        <v>0</v>
      </c>
      <c r="CW23" s="735">
        <f>IF((Y149=AJ23), AF149, 0)</f>
        <v>0</v>
      </c>
      <c r="CX23" s="734">
        <f>IF((Y152=AJ23), AF152, 0)</f>
        <v>0</v>
      </c>
      <c r="CY23" s="720">
        <f>IF((Y154=AJ23), AF154, 0)</f>
        <v>0</v>
      </c>
      <c r="CZ23" s="720">
        <f>IF((Y156=AJ23), AF156, 0)</f>
        <v>0</v>
      </c>
      <c r="DA23" s="735">
        <f>IF((Y158=AJ23), AF158, 0)</f>
        <v>0</v>
      </c>
      <c r="DB23" s="734">
        <f>IF((Y161=AJ23), AF161, 0)</f>
        <v>0</v>
      </c>
      <c r="DC23" s="720">
        <f>IF((Y163=AJ23), AF163, 0)</f>
        <v>0</v>
      </c>
      <c r="DD23" s="720">
        <f>IF((Y165=AJ23), AF165, 0)</f>
        <v>0</v>
      </c>
      <c r="DE23" s="735">
        <f>IF((Y167=AJ23), AF167, 0)</f>
        <v>0</v>
      </c>
      <c r="DF23" s="734">
        <f>IF((Y170=AJ23), AF170, 0)</f>
        <v>0</v>
      </c>
      <c r="DG23" s="720">
        <f>IF((Y172=AJ23), AF172, 0)</f>
        <v>0</v>
      </c>
      <c r="DH23" s="720">
        <f>IF((Y174=AJ23), AF174, 0)</f>
        <v>0</v>
      </c>
      <c r="DI23" s="735">
        <f>IF((Y176=AJ23), AF176, 0)</f>
        <v>0</v>
      </c>
      <c r="DJ23" s="727">
        <f>IF((Y179=AJ23), AF179, 0)</f>
        <v>0</v>
      </c>
      <c r="DK23" s="721">
        <f>IF((Y181=AJ23), AF181, 0)</f>
        <v>0</v>
      </c>
      <c r="DL23" s="721">
        <f>IF((Y183=AJ23), AF183, 0)</f>
        <v>0</v>
      </c>
      <c r="DM23" s="728">
        <f>IF((Y185=AJ23), AF185, 0)</f>
        <v>0</v>
      </c>
      <c r="DN23" s="727">
        <f>IF((Y188=AJ23), AF188, 0)</f>
        <v>0</v>
      </c>
      <c r="DO23" s="721">
        <f>IF((Y190=AJ23), AF190, 0)</f>
        <v>0</v>
      </c>
      <c r="DP23" s="721">
        <f>IF((Y192=AJ23), AF192, 0)</f>
        <v>0</v>
      </c>
      <c r="DQ23" s="728">
        <f>IF((Y194=AJ23), AF194, 0)</f>
        <v>0</v>
      </c>
      <c r="DR23" s="727">
        <f>IF((Y197=AJ23), AF197, 0)</f>
        <v>0</v>
      </c>
      <c r="DS23" s="721">
        <f>IF((Y199=AJ23), AF199, 0)</f>
        <v>0</v>
      </c>
      <c r="DT23" s="721">
        <f>IF((Y201=AJ23), AF201, 0)</f>
        <v>0</v>
      </c>
      <c r="DU23" s="728">
        <f>IF((Y203=AJ23), AF203, 0)</f>
        <v>0</v>
      </c>
      <c r="DV23" s="727">
        <f>IF((Y206=AJ23), AF206, 0)</f>
        <v>0</v>
      </c>
      <c r="DW23" s="721">
        <f>IF((Y208=AJ23), AF208, 0)</f>
        <v>0</v>
      </c>
      <c r="DX23" s="721">
        <f>IF((Y210=AJ23), AF210, 0)</f>
        <v>0</v>
      </c>
      <c r="DY23" s="728">
        <f>IF((Y212=AJ23), AF212, 0)</f>
        <v>0</v>
      </c>
      <c r="DZ23" s="727">
        <f>IF((Y215=AJ23), AF215, 0)</f>
        <v>0</v>
      </c>
      <c r="EA23" s="721">
        <f>IF((Y217=AJ23), AF217, 0)</f>
        <v>0</v>
      </c>
      <c r="EB23" s="721">
        <f>IF((Y219=AJ23), AF219, 0)</f>
        <v>0</v>
      </c>
      <c r="EC23" s="728">
        <f>IF((Y221=AJ23), AF221, 0)</f>
        <v>0</v>
      </c>
      <c r="ED23" s="727">
        <f>IF((Y224=AJ23), AF224, 0)</f>
        <v>0</v>
      </c>
      <c r="EE23" s="721">
        <f>IF((Y226=AJ23), AF226, 0)</f>
        <v>0</v>
      </c>
      <c r="EF23" s="721">
        <f>IF((Y228=AJ23), AF228, 0)</f>
        <v>0</v>
      </c>
      <c r="EG23" s="728">
        <f>IF((Y230=AJ23), AF230, 0)</f>
        <v>0</v>
      </c>
      <c r="EH23" s="727">
        <f>IF((Y233=AJ23), AF233, 0)</f>
        <v>0</v>
      </c>
      <c r="EI23" s="721">
        <f>IF((Y235=AJ23), AF235, 0)</f>
        <v>0</v>
      </c>
      <c r="EJ23" s="721">
        <f>IF((Y237=AJ23), AF237, 0)</f>
        <v>0</v>
      </c>
      <c r="EK23" s="728">
        <f>IF((Y239=AJ23), AF239, 0)</f>
        <v>0</v>
      </c>
      <c r="EL23" s="727">
        <f>IF((Y242=AJ23), AF242, 0)</f>
        <v>0</v>
      </c>
      <c r="EM23" s="721">
        <f>IF((Y244=AJ23), AF244, 0)</f>
        <v>0</v>
      </c>
      <c r="EN23" s="721">
        <f>IF((Y246=AJ23), AF246, 0)</f>
        <v>0</v>
      </c>
      <c r="EO23" s="728">
        <f>IF((Y248=AJ23), AF248, 0)</f>
        <v>0</v>
      </c>
      <c r="EP23" s="469">
        <f>IF('NOME + Nº'!E62="SIM",0,IF((Y251=AJ23),AF251,0)+IF((Y252=AJ23),AF252,0))</f>
        <v>0</v>
      </c>
      <c r="EQ23" s="417">
        <f>IF('NOME + Nº'!E62="SIM",0,IF((Y254=AJ23),AF254,0)+IF((Y255=AJ23),AF255,0))</f>
        <v>0</v>
      </c>
      <c r="ER23" s="417">
        <f>IF('NOME + Nº'!E62="SIM",0,IF((Y257=AJ23), AF257,0)+IF((Y258=AJ23), AF258,0))</f>
        <v>0</v>
      </c>
      <c r="ES23" s="470">
        <f>IF('NOME + Nº'!E62="SIM",0,IF((Y260=AJ23), AF263,0)+IF((Y261=AJ23), AF261,0))</f>
        <v>0</v>
      </c>
      <c r="ET23" s="469">
        <f>IF(Y263=AJ23,AF263,0)</f>
        <v>0</v>
      </c>
      <c r="EU23" s="478">
        <f>IF('NOME + Nº'!D25="SIM",SUM(AP23:ET23),0)</f>
        <v>0</v>
      </c>
      <c r="EW23" s="402">
        <f t="shared" si="6"/>
        <v>0</v>
      </c>
    </row>
    <row r="24" spans="2:153" x14ac:dyDescent="0.25">
      <c r="B24" s="1621"/>
      <c r="C24" s="1621"/>
      <c r="D24" s="1621"/>
      <c r="E24" s="1621"/>
      <c r="F24" s="1621"/>
      <c r="I24" s="498">
        <v>4</v>
      </c>
      <c r="J24" s="499" t="str">
        <f>IF(N24=0," ",ENFESTO!AJ23)</f>
        <v xml:space="preserve"> </v>
      </c>
      <c r="K24" s="500" t="str">
        <f>IF(N24=0," ",ENFESTO!AK23)</f>
        <v xml:space="preserve"> </v>
      </c>
      <c r="L24" s="501" t="str">
        <f>IF(N24=0," ",ENFESTO!AL23)</f>
        <v xml:space="preserve"> </v>
      </c>
      <c r="M24" s="499" t="str">
        <f>IF(N24=0," ",ENFESTO!AM23)</f>
        <v xml:space="preserve"> </v>
      </c>
      <c r="N24" s="950">
        <f>IF(ENFESTO!AN23=0,0,ENFESTO!AN23)</f>
        <v>0</v>
      </c>
      <c r="O24" s="513">
        <f>IF(ENFESTO!AO23=0,0,ENFESTO!AO23)</f>
        <v>0</v>
      </c>
      <c r="P24" s="497"/>
      <c r="T24" s="1700"/>
      <c r="V24" s="20"/>
      <c r="W24" s="10" t="str">
        <f>IF(V23="SIM","1","0")</f>
        <v>0</v>
      </c>
      <c r="X24" s="10"/>
      <c r="Z24" s="140">
        <f>Z22</f>
        <v>20</v>
      </c>
      <c r="AA24" s="22"/>
      <c r="AB24" s="34"/>
      <c r="AC24" s="186"/>
      <c r="AD24" s="186"/>
      <c r="AE24" s="184"/>
      <c r="AF24" s="184"/>
      <c r="AG24" s="34"/>
      <c r="AH24" s="34"/>
      <c r="AI24" s="35">
        <v>5</v>
      </c>
      <c r="AJ24" s="398" t="str">
        <f>'NOME + Nº'!B39</f>
        <v>Tec. Vivo</v>
      </c>
      <c r="AK24" s="398" t="str">
        <f>IF('NOME + Nº'!D39=0," ",'NOME + Nº'!D39)</f>
        <v>Aquablock</v>
      </c>
      <c r="AL24" s="399">
        <f>'NOME + Nº'!H39</f>
        <v>49.9</v>
      </c>
      <c r="AM24" s="474">
        <f>'NOME + Nº'!J39</f>
        <v>140</v>
      </c>
      <c r="AN24" s="808">
        <f>IF('NOME + Nº'!D26="NÃO",0,IF(AL24&lt;&gt;0,AO24/AL24,0))</f>
        <v>0</v>
      </c>
      <c r="AO24" s="806">
        <f>IF('NOME + Nº'!D26="NÃO",0,SUM(AP24:ET24))</f>
        <v>0</v>
      </c>
      <c r="AP24" s="725">
        <f>IF((Y17=AJ24), AF17, 0)</f>
        <v>0</v>
      </c>
      <c r="AQ24" s="719">
        <f>IF((Y19=AJ24), AF19, 0)</f>
        <v>0</v>
      </c>
      <c r="AR24" s="719">
        <f>IF((Y21=AJ24), AF21, 0)</f>
        <v>0</v>
      </c>
      <c r="AS24" s="726">
        <f>IF((Y23=AJ24), AF23, 0)</f>
        <v>0</v>
      </c>
      <c r="AT24" s="725">
        <f>IF((Y26=AJ24), AF26, 0)</f>
        <v>0</v>
      </c>
      <c r="AU24" s="719">
        <f>IF((Y28=AJ24), AF28, 0)</f>
        <v>0</v>
      </c>
      <c r="AV24" s="722">
        <f>IF((Y30=AJ24), AF30, 0)</f>
        <v>0</v>
      </c>
      <c r="AW24" s="743">
        <f>IF((Y32=AJ24), AF32, 0)</f>
        <v>0</v>
      </c>
      <c r="AX24" s="725">
        <f>IF((Y35=AJ24), AF35, 0)</f>
        <v>0</v>
      </c>
      <c r="AY24" s="719">
        <f>IF((Y37=AJ24), AF37, 0)</f>
        <v>0</v>
      </c>
      <c r="AZ24" s="719">
        <f>IF((Y39=AJ24), AF39, 0)</f>
        <v>0</v>
      </c>
      <c r="BA24" s="726">
        <f>IF((Y41=AJ24), AF41, 0)</f>
        <v>0</v>
      </c>
      <c r="BB24" s="725">
        <f>IF((Y44=AJ24), AF44, 0)</f>
        <v>0</v>
      </c>
      <c r="BC24" s="719">
        <f>IF((Y46=AJ24), AF46, 0)</f>
        <v>0</v>
      </c>
      <c r="BD24" s="719">
        <f>IF((Y48=AJ24), AF48, 0)</f>
        <v>0</v>
      </c>
      <c r="BE24" s="726">
        <f>IF((Y50=AJ24), AF50, 0)</f>
        <v>0</v>
      </c>
      <c r="BF24" s="725">
        <f>IF((Y53=AJ24), AF53, 0)</f>
        <v>0</v>
      </c>
      <c r="BG24" s="719">
        <f>IF((Y55=AJ24), AF55, 0)</f>
        <v>0</v>
      </c>
      <c r="BH24" s="719">
        <f>IF((Y57=AJ24), AF57, 0)</f>
        <v>0</v>
      </c>
      <c r="BI24" s="726">
        <f>IF((Y59=AJ24), AF59, 0)</f>
        <v>0</v>
      </c>
      <c r="BJ24" s="725">
        <f>IF((Y62=AJ24), AF62, 0)</f>
        <v>0</v>
      </c>
      <c r="BK24" s="719">
        <f>IF((Y64=AJ24), AF64, 0)</f>
        <v>0</v>
      </c>
      <c r="BL24" s="719">
        <f>IF((Y66=AJ24), AF66, 0)</f>
        <v>0</v>
      </c>
      <c r="BM24" s="726">
        <f>IF((Y68=AJ24), AF68, 0)</f>
        <v>0</v>
      </c>
      <c r="BN24" s="725">
        <f>IF((Y71=AJ24), AF71, 0)</f>
        <v>0</v>
      </c>
      <c r="BO24" s="719">
        <f>IF((Y73=AJ24), AF73, 0)</f>
        <v>0</v>
      </c>
      <c r="BP24" s="719">
        <f>IF((Y75=AJ24), AF75, 0)</f>
        <v>0</v>
      </c>
      <c r="BQ24" s="726">
        <f>IF((Y77=AJ24), AF77, 0)</f>
        <v>0</v>
      </c>
      <c r="BR24" s="725">
        <f>IF((Y80=AJ24), AF80, 0)</f>
        <v>0</v>
      </c>
      <c r="BS24" s="719">
        <f>IF((Y82=AJ24), AF82, 0)</f>
        <v>0</v>
      </c>
      <c r="BT24" s="719">
        <f>IF((Y84=AJ24), AF84, 0)</f>
        <v>0</v>
      </c>
      <c r="BU24" s="726">
        <f>IF((Y86=AJ24), AF86, 0)</f>
        <v>0</v>
      </c>
      <c r="BV24" s="725">
        <f>IF((Y89=AJ24), AF89, 0)</f>
        <v>0</v>
      </c>
      <c r="BW24" s="719">
        <f>IF((Y91=AJ24), AF91, 0)</f>
        <v>0</v>
      </c>
      <c r="BX24" s="719">
        <f>IF((Y93=AJ24), AF93, 0)</f>
        <v>0</v>
      </c>
      <c r="BY24" s="726">
        <f>IF((Y95=AJ24), AF95, 0)</f>
        <v>0</v>
      </c>
      <c r="BZ24" s="725">
        <f>IF((Y98=AJ24), AF98, 0)</f>
        <v>0</v>
      </c>
      <c r="CA24" s="719">
        <f>IF((Y100=AJ24), AF100, 0)</f>
        <v>0</v>
      </c>
      <c r="CB24" s="719">
        <f>IF((Y102=AJ24), AF102, 0)</f>
        <v>0</v>
      </c>
      <c r="CC24" s="726">
        <f>IF((Y104=AJ24), AF104, 0)</f>
        <v>0</v>
      </c>
      <c r="CD24" s="725">
        <f>IF((Y107=AJ24), AF107, 0)</f>
        <v>0</v>
      </c>
      <c r="CE24" s="719">
        <f>IF((Y109=AJ24), AF109, 0)</f>
        <v>0</v>
      </c>
      <c r="CF24" s="719">
        <f>IF((Y111=AJ24), AF111, 0)</f>
        <v>0</v>
      </c>
      <c r="CG24" s="726">
        <f>IF((Y113=AJ24), AF113, 0)</f>
        <v>0</v>
      </c>
      <c r="CH24" s="725">
        <f>IF((Y116=AJ24), AF116, 0)</f>
        <v>0</v>
      </c>
      <c r="CI24" s="719">
        <f>IF((Y118=AJ24), AF118, 0)</f>
        <v>0</v>
      </c>
      <c r="CJ24" s="719">
        <f>IF((Y120=AJ24), AF120, 0)</f>
        <v>0</v>
      </c>
      <c r="CK24" s="726">
        <f>IF((Y122=AJ24), AF122, 0)</f>
        <v>0</v>
      </c>
      <c r="CL24" s="725">
        <f>IF((Y125=AJ24), AF125, 0)</f>
        <v>0</v>
      </c>
      <c r="CM24" s="719">
        <f>IF((Y127=AJ24), AF127, 0)</f>
        <v>0</v>
      </c>
      <c r="CN24" s="719">
        <f>IF((Y129=AJ24), AF129, 0)</f>
        <v>0</v>
      </c>
      <c r="CO24" s="726">
        <f>IF((Y131=AJ24), AF131, 0)</f>
        <v>0</v>
      </c>
      <c r="CP24" s="725">
        <f>IF((Y134=AJ24), AF134, 0)</f>
        <v>0</v>
      </c>
      <c r="CQ24" s="719">
        <f>IF((Y136=AJ24), AF136, 0)</f>
        <v>0</v>
      </c>
      <c r="CR24" s="719">
        <f>IF((Y138=AJ24), AF138, 0)</f>
        <v>0</v>
      </c>
      <c r="CS24" s="726">
        <f>IF((Y140=AJ24), AF140, 0)</f>
        <v>0</v>
      </c>
      <c r="CT24" s="725">
        <f>IF((Y143=AJ24), AF143, 0)</f>
        <v>0</v>
      </c>
      <c r="CU24" s="719">
        <f>IF((Y145=AJ24), AF145, 0)</f>
        <v>0</v>
      </c>
      <c r="CV24" s="719">
        <f>IF((Y147=AJ24), AF147, 0)</f>
        <v>0</v>
      </c>
      <c r="CW24" s="719">
        <f>IF((Y149=AJ24), AF149, 0)</f>
        <v>0</v>
      </c>
      <c r="CX24" s="725">
        <f>IF((Y152=AJ24), AF152, 0)</f>
        <v>0</v>
      </c>
      <c r="CY24" s="719">
        <f>IF((Y154=AJ24), AF154, 0)</f>
        <v>0</v>
      </c>
      <c r="CZ24" s="719">
        <f>IF((Y156=AJ24), AF156, 0)</f>
        <v>0</v>
      </c>
      <c r="DA24" s="726">
        <f>IF((Y158=AJ24), AF158, 0)</f>
        <v>0</v>
      </c>
      <c r="DB24" s="725">
        <f>IF((Y161=AJ24), AF161, 0)</f>
        <v>0</v>
      </c>
      <c r="DC24" s="719">
        <f>IF((Y163=AJ24), AF163, 0)</f>
        <v>0</v>
      </c>
      <c r="DD24" s="719">
        <f>IF((Y165=AJ24), AF165, 0)</f>
        <v>0</v>
      </c>
      <c r="DE24" s="726">
        <f>IF((Y167=AJ24), AF167, 0)</f>
        <v>0</v>
      </c>
      <c r="DF24" s="725">
        <f>IF((Y170=AJ24), AF170, 0)</f>
        <v>0</v>
      </c>
      <c r="DG24" s="719">
        <f>IF((Y172=AJ24), AF172, 0)</f>
        <v>0</v>
      </c>
      <c r="DH24" s="719">
        <f>IF((Y174=AJ24), AF174, 0)</f>
        <v>0</v>
      </c>
      <c r="DI24" s="726">
        <f>IF((Y176=AJ24), AF176, 0)</f>
        <v>0</v>
      </c>
      <c r="DJ24" s="725">
        <f>IF((Y179=AJ24), AF179, 0)</f>
        <v>0</v>
      </c>
      <c r="DK24" s="719">
        <f>IF((Y181=AJ24), AF181, 0)</f>
        <v>0</v>
      </c>
      <c r="DL24" s="719">
        <f>IF((Y183=AJ24), AF183, 0)</f>
        <v>0</v>
      </c>
      <c r="DM24" s="726">
        <f>IF((Y185=AJ24), AF185, 0)</f>
        <v>0</v>
      </c>
      <c r="DN24" s="725">
        <f>IF((Y188=AJ24), AF188, 0)</f>
        <v>0</v>
      </c>
      <c r="DO24" s="719">
        <f>IF((Y190=AJ24), AF190, 0)</f>
        <v>0</v>
      </c>
      <c r="DP24" s="719">
        <f>IF((Y192=AJ24), AF192, 0)</f>
        <v>0</v>
      </c>
      <c r="DQ24" s="726">
        <f>IF((Y194=AJ24), AF194, 0)</f>
        <v>0</v>
      </c>
      <c r="DR24" s="725">
        <f>IF((Y197=AJ24), AF197, 0)</f>
        <v>0</v>
      </c>
      <c r="DS24" s="719">
        <f>IF((Y199=AJ24), AF199, 0)</f>
        <v>0</v>
      </c>
      <c r="DT24" s="719">
        <f>IF((Y201=AJ24), AF201, 0)</f>
        <v>0</v>
      </c>
      <c r="DU24" s="726">
        <f>IF((Y203=AJ24), AF203, 0)</f>
        <v>0</v>
      </c>
      <c r="DV24" s="725">
        <f>IF((Y206=AJ24), AF206, 0)</f>
        <v>0</v>
      </c>
      <c r="DW24" s="719">
        <f>IF((Y208=AJ24), AF208, 0)</f>
        <v>0</v>
      </c>
      <c r="DX24" s="719">
        <f>IF((Y210=AJ24), AF210, 0)</f>
        <v>0</v>
      </c>
      <c r="DY24" s="726">
        <f>IF((Y212=AJ24), AF212, 0)</f>
        <v>0</v>
      </c>
      <c r="DZ24" s="725">
        <f>IF((Y215=AJ24), AF215, 0)</f>
        <v>0</v>
      </c>
      <c r="EA24" s="719">
        <f>IF((Y217=AJ24), AF217, 0)</f>
        <v>0</v>
      </c>
      <c r="EB24" s="719">
        <f>IF((Y219=AJ24), AF219, 0)</f>
        <v>0</v>
      </c>
      <c r="EC24" s="726">
        <f>IF((Y221=AJ24), AF221, 0)</f>
        <v>0</v>
      </c>
      <c r="ED24" s="725">
        <f>IF((Y224=AJ24), AF224, 0)</f>
        <v>0</v>
      </c>
      <c r="EE24" s="719">
        <f>IF((Y226=AJ24), AF226, 0)</f>
        <v>0</v>
      </c>
      <c r="EF24" s="719">
        <f>IF((Y228=AJ24), AF228, 0)</f>
        <v>0</v>
      </c>
      <c r="EG24" s="726">
        <f>IF((Y230=AJ24), AF230, 0)</f>
        <v>0</v>
      </c>
      <c r="EH24" s="725">
        <f>IF((Y233=AJ24), AF233, 0)</f>
        <v>0</v>
      </c>
      <c r="EI24" s="719">
        <f>IF((Y235=AJ24), AF235, 0)</f>
        <v>0</v>
      </c>
      <c r="EJ24" s="719">
        <f>IF((Y237=AJ24), AF237, 0)</f>
        <v>0</v>
      </c>
      <c r="EK24" s="726">
        <f>IF((Y239=AJ24), AF239, 0)</f>
        <v>0</v>
      </c>
      <c r="EL24" s="725">
        <f>IF((Y242=AJ24), AF242, 0)</f>
        <v>0</v>
      </c>
      <c r="EM24" s="719">
        <f>IF((Y244=AJ24), AF244, 0)</f>
        <v>0</v>
      </c>
      <c r="EN24" s="719">
        <f>IF((Y246=AJ24), AF246, 0)</f>
        <v>0</v>
      </c>
      <c r="EO24" s="726">
        <f>IF((Y248=AJ24), AF248, 0)</f>
        <v>0</v>
      </c>
      <c r="EP24" s="467">
        <f>IF('NOME + Nº'!E62="SIM",0,IF((Y251=AJ24),AF251,0)+IF((Y252=AJ24),AF252,0))</f>
        <v>0</v>
      </c>
      <c r="EQ24" s="416">
        <f>IF('NOME + Nº'!E62="SIM",0,IF((Y254=AJ24),AF254,0)+IF((Y255=AJ24),AF255,0))</f>
        <v>0</v>
      </c>
      <c r="ER24" s="416">
        <f>IF('NOME + Nº'!E62="SIM",0,IF((Y257=AJ24), AF257,0)+IF((Y258=AJ24), AF258,0))</f>
        <v>0</v>
      </c>
      <c r="ES24" s="468">
        <f>IF('NOME + Nº'!E62="SIM",0,IF((Y260=AJ24), AF260,0)+IF((Y261=AJ24), AF261,0))</f>
        <v>0</v>
      </c>
      <c r="ET24" s="467">
        <f>IF(Y263=AJ24,AF263,0)</f>
        <v>0</v>
      </c>
      <c r="EU24" s="478">
        <f>IF('NOME + Nº'!D26="SIM",SUM(AP24:ET24),0)</f>
        <v>0</v>
      </c>
      <c r="EW24" s="402">
        <f t="shared" si="6"/>
        <v>0</v>
      </c>
    </row>
    <row r="25" spans="2:153" ht="15.75" thickBot="1" x14ac:dyDescent="0.3">
      <c r="B25" s="1621"/>
      <c r="C25" s="1621"/>
      <c r="D25" s="1621"/>
      <c r="E25" s="1621"/>
      <c r="F25" s="1621"/>
      <c r="I25" s="498">
        <v>5</v>
      </c>
      <c r="J25" s="499" t="str">
        <f>IF(N25=0," ",ENFESTO!AJ24)</f>
        <v xml:space="preserve"> </v>
      </c>
      <c r="K25" s="500" t="str">
        <f>IF(N25=0," ",ENFESTO!AK24)</f>
        <v xml:space="preserve"> </v>
      </c>
      <c r="L25" s="501" t="str">
        <f>IF(N25=0," ",ENFESTO!AL24)</f>
        <v xml:space="preserve"> </v>
      </c>
      <c r="M25" s="499" t="str">
        <f>IF(N25=0," ",ENFESTO!AM24)</f>
        <v xml:space="preserve"> </v>
      </c>
      <c r="N25" s="950">
        <f>IF(ENFESTO!AN24=0,0,ENFESTO!AN24)</f>
        <v>0</v>
      </c>
      <c r="O25" s="513">
        <f>IF(ENFESTO!AO24=0,0,ENFESTO!AO24)</f>
        <v>0</v>
      </c>
      <c r="P25" s="497"/>
      <c r="T25" s="1700"/>
      <c r="V25" s="782"/>
      <c r="W25" s="783"/>
      <c r="X25" s="783"/>
      <c r="Y25" s="783"/>
      <c r="Z25" s="783"/>
      <c r="AA25" s="783"/>
      <c r="AB25" s="783"/>
      <c r="AC25" s="783"/>
      <c r="AD25" s="783"/>
      <c r="AE25" s="783"/>
      <c r="AF25" s="784"/>
      <c r="AG25" s="34"/>
      <c r="AH25" s="34"/>
      <c r="AI25" s="35">
        <v>6</v>
      </c>
      <c r="AJ25" s="398" t="str">
        <f>'NOME + Nº'!B40</f>
        <v>Estrutura</v>
      </c>
      <c r="AK25" s="398" t="str">
        <f>IF('NOME + Nº'!D40=0," ",'NOME + Nº'!D40)</f>
        <v>Placa Plástica</v>
      </c>
      <c r="AL25" s="399">
        <f>'NOME + Nº'!H40</f>
        <v>20.12</v>
      </c>
      <c r="AM25" s="474">
        <f>'NOME + Nº'!J40</f>
        <v>28</v>
      </c>
      <c r="AN25" s="809">
        <f>IF('NOME + Nº'!D27="NÃO",0,IF(AL25&lt;&gt;0,AO25/AL25,0))</f>
        <v>0</v>
      </c>
      <c r="AO25" s="810">
        <f>IF('NOME + Nº'!D27="NÃO",0,SUM(AP25:ET25))</f>
        <v>0</v>
      </c>
      <c r="AP25" s="739">
        <f>IF((Y17=AJ25), AF17, 0)</f>
        <v>0</v>
      </c>
      <c r="AQ25" s="737">
        <f>IF((Y19=AJ25), AF19, 0)</f>
        <v>0</v>
      </c>
      <c r="AR25" s="737">
        <f>IF((Y21=AJ25), AF21, 0)</f>
        <v>0</v>
      </c>
      <c r="AS25" s="738">
        <f>IF((Y23=AJ25), AF23, 0)</f>
        <v>0</v>
      </c>
      <c r="AT25" s="739">
        <f>IF((Y26=AJ25), AF26, 0)</f>
        <v>0</v>
      </c>
      <c r="AU25" s="737">
        <f>IF((Y28=AJ25), AF28, 0)</f>
        <v>0</v>
      </c>
      <c r="AV25" s="737">
        <f>IF((Y30=AJ25), AF30, 0)</f>
        <v>0</v>
      </c>
      <c r="AW25" s="738">
        <f>IF((Y32=AJ25), AF32, 0)</f>
        <v>0</v>
      </c>
      <c r="AX25" s="739">
        <f>IF((Y35=AJ25), AF35, 0)</f>
        <v>0</v>
      </c>
      <c r="AY25" s="737">
        <f>IF((Y37=AJ25), AF37, 0)</f>
        <v>0</v>
      </c>
      <c r="AZ25" s="737">
        <f>IF((Y39=AJ25), AF39, 0)</f>
        <v>0</v>
      </c>
      <c r="BA25" s="738">
        <f>IF((Y41=AJ25), AF41, 0)</f>
        <v>0</v>
      </c>
      <c r="BB25" s="739">
        <f>IF((Y44=AJ25), AF44, 0)</f>
        <v>0</v>
      </c>
      <c r="BC25" s="740">
        <f>IF((Y46=AJ25), AF46, 0)</f>
        <v>0</v>
      </c>
      <c r="BD25" s="737">
        <f>IF((Y48=AJ25), AF48, 0)</f>
        <v>0</v>
      </c>
      <c r="BE25" s="738">
        <f>IF((Y50=AJ25), AF50, 0)</f>
        <v>0</v>
      </c>
      <c r="BF25" s="736">
        <f>IF((Y53=AJ25), AF53, 0)</f>
        <v>0</v>
      </c>
      <c r="BG25" s="737">
        <f>IF((Y55=AJ25), AF55, 0)</f>
        <v>0</v>
      </c>
      <c r="BH25" s="737">
        <f>IF((Y57=AJ25), AF57, 0)</f>
        <v>0</v>
      </c>
      <c r="BI25" s="738">
        <f>IF((Y59=AJ25), AF59, 0)</f>
        <v>0</v>
      </c>
      <c r="BJ25" s="729">
        <f>IF((Y62=AJ25), AF62, 0)</f>
        <v>0</v>
      </c>
      <c r="BK25" s="730">
        <f>IF((Y64=AJ25), AF64, 0)</f>
        <v>0</v>
      </c>
      <c r="BL25" s="730">
        <f>IF((Y66=AJ25), AF66, 0)</f>
        <v>0</v>
      </c>
      <c r="BM25" s="731">
        <f>IF((Y68=AJ25), AF68, 0)</f>
        <v>0</v>
      </c>
      <c r="BN25" s="729">
        <f>IF((Y71=AJ25), AF71, 0)</f>
        <v>0</v>
      </c>
      <c r="BO25" s="730">
        <f>IF((Y73=AJ25), AF73, 0)</f>
        <v>0</v>
      </c>
      <c r="BP25" s="730">
        <f>IF((Y75=AJ25), AF75, 0)</f>
        <v>0</v>
      </c>
      <c r="BQ25" s="731">
        <f>IF((Y77=AJ25), AF77, 0)</f>
        <v>0</v>
      </c>
      <c r="BR25" s="729">
        <f>IF((Y80=AJ25), AF80, 0)</f>
        <v>0</v>
      </c>
      <c r="BS25" s="730">
        <f>IF((Y82=AJ25), AF82, 0)</f>
        <v>0</v>
      </c>
      <c r="BT25" s="730">
        <f>IF((Y84=AJ25), AF84, 0)</f>
        <v>0</v>
      </c>
      <c r="BU25" s="731">
        <f>IF((Y86=AJ25), AF86, 0)</f>
        <v>0</v>
      </c>
      <c r="BV25" s="729">
        <f>IF((Y89=AJ25), AF89, 0)</f>
        <v>0</v>
      </c>
      <c r="BW25" s="730">
        <f>IF((Y91=AJ25), AF91, 0)</f>
        <v>0</v>
      </c>
      <c r="BX25" s="730">
        <f>IF((Y93=AJ25), AF93, 0)</f>
        <v>0</v>
      </c>
      <c r="BY25" s="731">
        <f>IF((Y95=AJ25), AF95, 0)</f>
        <v>0</v>
      </c>
      <c r="BZ25" s="729">
        <f>IF((Y98=AJ25), AF98, 0)</f>
        <v>0</v>
      </c>
      <c r="CA25" s="730">
        <f>IF((Y100=AJ25), AF100, 0)</f>
        <v>0</v>
      </c>
      <c r="CB25" s="730">
        <f>IF((Y102=AJ25), AF102, 0)</f>
        <v>0</v>
      </c>
      <c r="CC25" s="731">
        <f>IF((Y104=AJ25), AF104, 0)</f>
        <v>0</v>
      </c>
      <c r="CD25" s="729">
        <f>IF((Y107=AJ25), AF107, 0)</f>
        <v>0</v>
      </c>
      <c r="CE25" s="730">
        <f>IF((Y109=AJ25), AF109, 0)</f>
        <v>0</v>
      </c>
      <c r="CF25" s="730">
        <f>IF((Y111=AJ25), AF111, 0)</f>
        <v>0</v>
      </c>
      <c r="CG25" s="731">
        <f>IF((Y113=AJ25), AF113, 0)</f>
        <v>0</v>
      </c>
      <c r="CH25" s="729">
        <f>IF((Y116=AJ25), AF116, 0)</f>
        <v>0</v>
      </c>
      <c r="CI25" s="730">
        <f>IF((Y118=AJ25), AF118, 0)</f>
        <v>0</v>
      </c>
      <c r="CJ25" s="730">
        <f>IF((Y120=AJ25), AF120, 0)</f>
        <v>0</v>
      </c>
      <c r="CK25" s="731">
        <f>IF((Y122=AJ25), AF122, 0)</f>
        <v>0</v>
      </c>
      <c r="CL25" s="729">
        <f>IF((Y125=AJ25), AF125, 0)</f>
        <v>0</v>
      </c>
      <c r="CM25" s="730">
        <f>IF((Y127=AJ25), AF127, 0)</f>
        <v>0</v>
      </c>
      <c r="CN25" s="730">
        <f>IF((Y129=AJ25), AF129, 0)</f>
        <v>0</v>
      </c>
      <c r="CO25" s="731">
        <f>IF((Y131=AJ25), AF131, 0)</f>
        <v>0</v>
      </c>
      <c r="CP25" s="739">
        <f>IF((Y134=AJ25),AF134, 0)</f>
        <v>0</v>
      </c>
      <c r="CQ25" s="737">
        <f>IF((Y136=AJ25), AF136, 0)</f>
        <v>0</v>
      </c>
      <c r="CR25" s="737">
        <f>IF((Y138=AJ25), AF138, 0)</f>
        <v>0</v>
      </c>
      <c r="CS25" s="738">
        <f>IF((Y140=AJ25), AF140, 0)</f>
        <v>0</v>
      </c>
      <c r="CT25" s="739">
        <f>IF((Y143=AJ25), AF143, 0)</f>
        <v>0</v>
      </c>
      <c r="CU25" s="737">
        <f>IF((Y145=AJ25), AF145, 0)</f>
        <v>0</v>
      </c>
      <c r="CV25" s="737">
        <f>IF((Y147=AJ25), AF147, 0)</f>
        <v>0</v>
      </c>
      <c r="CW25" s="738">
        <f>IF((Y149=AJ25), AF149, 0)</f>
        <v>0</v>
      </c>
      <c r="CX25" s="739">
        <f>IF((Y152=AJ25), AF152, 0)</f>
        <v>0</v>
      </c>
      <c r="CY25" s="737">
        <f>IF((Y154=AJ25), AF154, 0)</f>
        <v>0</v>
      </c>
      <c r="CZ25" s="737">
        <f>IF((Y156=AJ25), AF156, 0)</f>
        <v>0</v>
      </c>
      <c r="DA25" s="738">
        <f>IF((Y158=AJ25), AF158, 0)</f>
        <v>0</v>
      </c>
      <c r="DB25" s="739">
        <f>IF((Y161=AJ25), AF161, 0)</f>
        <v>0</v>
      </c>
      <c r="DC25" s="737">
        <f>IF((Y163=AJ25), AF163, 0)</f>
        <v>0</v>
      </c>
      <c r="DD25" s="737">
        <f>IF((Y165=AJ25), AF165, 0)</f>
        <v>0</v>
      </c>
      <c r="DE25" s="738">
        <f>IF((Y167=AJ25), AF167, 0)</f>
        <v>0</v>
      </c>
      <c r="DF25" s="737">
        <f>IF((Y170=AJ25), AF170, 0)</f>
        <v>0</v>
      </c>
      <c r="DG25" s="737">
        <f>IF((Y172=AJ25), AF172, 0)</f>
        <v>0</v>
      </c>
      <c r="DH25" s="737">
        <f>IF((Y174=AJ25), AF174, 0)</f>
        <v>0</v>
      </c>
      <c r="DI25" s="738">
        <f>IF((Y176=AJ25), AF176, 0)</f>
        <v>0</v>
      </c>
      <c r="DJ25" s="729">
        <f>IF((Y179=AJ25), AF179, 0)</f>
        <v>0</v>
      </c>
      <c r="DK25" s="730">
        <f>IF((Y181=AJ25), AF181, 0)</f>
        <v>0</v>
      </c>
      <c r="DL25" s="730">
        <f>IF((Y183=AJ25), AF183, 0)</f>
        <v>0</v>
      </c>
      <c r="DM25" s="731">
        <f>IF((Y185=AJ25), AF185, 0)</f>
        <v>0</v>
      </c>
      <c r="DN25" s="729">
        <f>IF((Y188=AJ25), AF188, 0)</f>
        <v>0</v>
      </c>
      <c r="DO25" s="730">
        <f>IF((Y190=AJ25), AF190, 0)</f>
        <v>0</v>
      </c>
      <c r="DP25" s="730">
        <f>IF((Y192=AJ25), AF192, 0)</f>
        <v>0</v>
      </c>
      <c r="DQ25" s="731">
        <f>IF((Y194=AJ25), AF194, 0)</f>
        <v>0</v>
      </c>
      <c r="DR25" s="729">
        <f>IF((Y197=AJ25), AF197, 0)</f>
        <v>0</v>
      </c>
      <c r="DS25" s="730">
        <f>IF((Y199=AJ25), AF199, 0)</f>
        <v>0</v>
      </c>
      <c r="DT25" s="730">
        <f>IF((Y201=AJ25), AF201, 0)</f>
        <v>0</v>
      </c>
      <c r="DU25" s="731">
        <f>IF((Y203=AJ25), AF203, 0)</f>
        <v>0</v>
      </c>
      <c r="DV25" s="729">
        <f>IF((Y206=AJ25), AF206, 0)</f>
        <v>0</v>
      </c>
      <c r="DW25" s="730">
        <f>IF((Y208=AJ25), AF208, 0)</f>
        <v>0</v>
      </c>
      <c r="DX25" s="730">
        <f>IF((Y210=AJ25), AF210, 0)</f>
        <v>0</v>
      </c>
      <c r="DY25" s="731">
        <f>IF((Y212=AJ25), AF212, 0)</f>
        <v>0</v>
      </c>
      <c r="DZ25" s="729">
        <f>IF((Y215=AJ25), AF215, 0)</f>
        <v>0</v>
      </c>
      <c r="EA25" s="730">
        <f>IF((Y217=AJ25), AF217, 0)</f>
        <v>0</v>
      </c>
      <c r="EB25" s="730">
        <f>IF((Y219=AJ25), AF219, 0)</f>
        <v>0</v>
      </c>
      <c r="EC25" s="731">
        <f>IF((Y221=AJ25), AF221, 0)</f>
        <v>0</v>
      </c>
      <c r="ED25" s="729">
        <f>IF((Y224=AJ25), AF224, 0)</f>
        <v>0</v>
      </c>
      <c r="EE25" s="730">
        <f>IF((Y226=AJ25), AF226, 0)</f>
        <v>0</v>
      </c>
      <c r="EF25" s="730">
        <f>IF((Y228=AJ25), AF228, 0)</f>
        <v>0</v>
      </c>
      <c r="EG25" s="731">
        <f>IF((Y230=AJ25), AF230, 0)</f>
        <v>0</v>
      </c>
      <c r="EH25" s="729">
        <f>IF((Y233=AJ25), AF233, 0)</f>
        <v>0</v>
      </c>
      <c r="EI25" s="730">
        <f>IF((Y235=AJ25), AF235, 0)</f>
        <v>0</v>
      </c>
      <c r="EJ25" s="730">
        <f>IF((Y237=AJ25), AF237, 0)</f>
        <v>0</v>
      </c>
      <c r="EK25" s="731">
        <f>IF((Y239=AJ25), AF239, 0)</f>
        <v>0</v>
      </c>
      <c r="EL25" s="729">
        <f>IF((Y242=AJ25), AF242, 0)</f>
        <v>0</v>
      </c>
      <c r="EM25" s="730">
        <f>IF((Y244=AJ25), AF244, 0)</f>
        <v>0</v>
      </c>
      <c r="EN25" s="730">
        <f>IF((Y246=AJ25), AF246, 0)</f>
        <v>0</v>
      </c>
      <c r="EO25" s="731">
        <f>IF((Y248=AJ25), AF248, 0)</f>
        <v>0</v>
      </c>
      <c r="EP25" s="471">
        <f>IF('NOME + Nº'!E62="SIM",0,IF((Y251=AJ25),AF251,0)+IF((Y252=AJ25),AF252,0))</f>
        <v>0</v>
      </c>
      <c r="EQ25" s="472">
        <f>IF('NOME + Nº'!E62="SIM",0,IF((Y254=AJ25),AF254,0)+IF((Y255=AJ25),AF255,0))</f>
        <v>0</v>
      </c>
      <c r="ER25" s="472">
        <f>IF('NOME + Nº'!E62="SIM",0,IF((Y257=AJ25), AF257,0)+IF((Y258=AJ25), AF258,0))</f>
        <v>0</v>
      </c>
      <c r="ES25" s="473">
        <f>IF('NOME + Nº'!E62="SIM",0,IF((Y260=AJ25), AF260,0)+IF((Y261=AJ25), AF261,0))</f>
        <v>0</v>
      </c>
      <c r="ET25" s="471">
        <f>IF(Y263=AJ25,AF263,0)</f>
        <v>0</v>
      </c>
      <c r="EU25" s="479">
        <f>IF('NOME + Nº'!D27="SIM",SUM(AP25:ET25),0)</f>
        <v>0</v>
      </c>
      <c r="EW25" s="403">
        <f>SUM(EP25:ES25)</f>
        <v>0</v>
      </c>
    </row>
    <row r="26" spans="2:153" ht="15" customHeight="1" thickBot="1" x14ac:dyDescent="0.3">
      <c r="B26" s="1621"/>
      <c r="C26" s="1621"/>
      <c r="D26" s="1621"/>
      <c r="E26" s="1621"/>
      <c r="F26" s="1621"/>
      <c r="I26" s="498">
        <v>6</v>
      </c>
      <c r="J26" s="499" t="str">
        <f>IF(N26=0," ",ENFESTO!AJ25)</f>
        <v xml:space="preserve"> </v>
      </c>
      <c r="K26" s="500" t="str">
        <f>IF(N26=0," ",ENFESTO!AK25)</f>
        <v xml:space="preserve"> </v>
      </c>
      <c r="L26" s="501" t="str">
        <f>IF(N26=0," ",ENFESTO!AL25)</f>
        <v xml:space="preserve"> </v>
      </c>
      <c r="M26" s="499" t="str">
        <f>IF(N26=0," ",ENFESTO!AM25)</f>
        <v xml:space="preserve"> </v>
      </c>
      <c r="N26" s="950">
        <f>IF(ENFESTO!AN25=0,0,ENFESTO!AN25)</f>
        <v>0</v>
      </c>
      <c r="O26" s="513">
        <f>IF(ENFESTO!AO25=0,0,ENFESTO!AO25)</f>
        <v>0</v>
      </c>
      <c r="P26" s="497"/>
      <c r="T26" s="1699" t="str">
        <f>MODELAGEM!H20</f>
        <v>MOLDE 2</v>
      </c>
      <c r="U26" s="761">
        <f>U23+1</f>
        <v>5</v>
      </c>
      <c r="V26" s="760" t="str">
        <f>MODELAGEM!K20</f>
        <v>NÃO</v>
      </c>
      <c r="W26" s="1701" t="str">
        <f>MODELAGEM!H21</f>
        <v>NOME</v>
      </c>
      <c r="X26" s="1701"/>
      <c r="Y26" s="1690" t="str">
        <f>MODELAGEM!M20</f>
        <v>Tec. Externo</v>
      </c>
      <c r="Z26" s="1690"/>
      <c r="AA26" s="794">
        <f>MODELAGEM!N20</f>
        <v>49.9</v>
      </c>
      <c r="AB26" s="795">
        <f>IF(V26="NÃO",0,((Z27*MODELAGEM!P20/(MODELAGEM!R20/MODELAGEM!L20))/100))</f>
        <v>0</v>
      </c>
      <c r="AC26" s="796">
        <f>AC23</f>
        <v>2.5</v>
      </c>
      <c r="AD26" s="796"/>
      <c r="AE26" s="797">
        <f>IF(V26="NÃO",0,((Z27/(MODELAGEM!R20))*(AC26*2/100)+AB26)*W27)</f>
        <v>0</v>
      </c>
      <c r="AF26" s="798">
        <f>AE26*AA26</f>
        <v>0</v>
      </c>
      <c r="AG26" s="400">
        <f>IF(V26="SIM",1,IF(V28="SIM",1,IF(V30="SIM",1,0)))</f>
        <v>0</v>
      </c>
      <c r="AH26" s="21"/>
      <c r="AI26" s="946" t="s">
        <v>910</v>
      </c>
      <c r="AJ26" s="398" t="str">
        <f>'NOME + Nº'!B41</f>
        <v>Reforço</v>
      </c>
      <c r="AK26" s="398" t="str">
        <f>IF('NOME + Nº'!D41=0," ",'NOME + Nº'!D41)</f>
        <v>TNT 120</v>
      </c>
      <c r="AL26" s="399">
        <f>'NOME + Nº'!H41</f>
        <v>7.9</v>
      </c>
      <c r="AM26" s="474">
        <f>'NOME + Nº'!J41</f>
        <v>140</v>
      </c>
      <c r="AN26" s="809">
        <f>IF('NOME + Nº'!D28="NÃO",0,IF(AL26&lt;&gt;0,AO26/AL26,0))</f>
        <v>0</v>
      </c>
      <c r="AO26" s="810">
        <f>IF('NOME + Nº'!D28="NÃO",0,SUM(AP26:ET26))</f>
        <v>0</v>
      </c>
      <c r="AP26" s="908">
        <f>IF((Y17=AJ26), AF17, 0)</f>
        <v>0</v>
      </c>
      <c r="AQ26" s="909">
        <f>IF((Y19=AJ26), AF19, 0)</f>
        <v>31.126000000000001</v>
      </c>
      <c r="AR26" s="909">
        <f>IF((Y21=AJ26), AF21, 0)</f>
        <v>31.126000000000001</v>
      </c>
      <c r="AS26" s="910">
        <f>IF((Y23=AJ26), AF23, 0)</f>
        <v>0</v>
      </c>
      <c r="AT26" s="908">
        <f>IF((Y26=AJ26), AF26, 0)</f>
        <v>0</v>
      </c>
      <c r="AU26" s="909">
        <f>IF((Y28=AJ26), AF28, 0)</f>
        <v>0</v>
      </c>
      <c r="AV26" s="909">
        <f>IF((Y30=AJ26), AF30, 0)</f>
        <v>0</v>
      </c>
      <c r="AW26" s="910">
        <f>IF((Y32=AJ26), AF32, 0)</f>
        <v>0</v>
      </c>
      <c r="AX26" s="908">
        <f>IF((Y35=AJ26), AF35, 0)</f>
        <v>0</v>
      </c>
      <c r="AY26" s="909">
        <f>IF((Y37=AJ26), AF37, 0)</f>
        <v>0</v>
      </c>
      <c r="AZ26" s="909">
        <f>IF((Y39=AJ26), AF39, 0)</f>
        <v>0</v>
      </c>
      <c r="BA26" s="910">
        <f>IF((Y41=AJ26), AF41, 0)</f>
        <v>0</v>
      </c>
      <c r="BB26" s="908">
        <f>IF((Y44=AJ26), AF44, 0)</f>
        <v>0</v>
      </c>
      <c r="BC26" s="909">
        <f>IF((Y46=AJ26), AF46, 0)</f>
        <v>0</v>
      </c>
      <c r="BD26" s="909">
        <f>IF((Y48=AJ26), AF48, 0)</f>
        <v>0</v>
      </c>
      <c r="BE26" s="910">
        <f>IF((Y50=AJ26), AF50, 0)</f>
        <v>0</v>
      </c>
      <c r="BF26" s="908">
        <f>IF((Y53=AJ26), AF53, 0)</f>
        <v>0</v>
      </c>
      <c r="BG26" s="909">
        <f>IF((Y55=AJ26), AF55, 0)</f>
        <v>0</v>
      </c>
      <c r="BH26" s="909">
        <f>IF((Y57=AJ26), AF57, 0)</f>
        <v>0</v>
      </c>
      <c r="BI26" s="910">
        <f>IF((Y59=AJ26), AF59, 0)</f>
        <v>0</v>
      </c>
      <c r="BJ26" s="911">
        <f>IF((Y62=AJ26), AF62, 0)</f>
        <v>0</v>
      </c>
      <c r="BK26" s="912">
        <f>IF((Y64=AJ26), AF64, 0)</f>
        <v>0</v>
      </c>
      <c r="BL26" s="912">
        <f>IF((Y66=AJ26), AF66, 0)</f>
        <v>0</v>
      </c>
      <c r="BM26" s="913">
        <f>IF((Y68=AJ26), AF68, 0)</f>
        <v>0</v>
      </c>
      <c r="BN26" s="911">
        <f>IF((Y71=AJ26), AF71, 0)</f>
        <v>0</v>
      </c>
      <c r="BO26" s="912">
        <f>IF((Y73=AJ26), AF73, 0)</f>
        <v>0</v>
      </c>
      <c r="BP26" s="912">
        <f>IF((Y75=AJ26), AF75, 0)</f>
        <v>0</v>
      </c>
      <c r="BQ26" s="913">
        <f>IF((Y77=AJ26), AF77, 0)</f>
        <v>0</v>
      </c>
      <c r="BR26" s="911">
        <f>IF((Y80=AJ26), AF80, 0)</f>
        <v>0</v>
      </c>
      <c r="BS26" s="912">
        <f>IF((Y82=AJ26), AF82, 0)</f>
        <v>0</v>
      </c>
      <c r="BT26" s="912">
        <f>IF((Y84=AJ26), AF84, 0)</f>
        <v>0</v>
      </c>
      <c r="BU26" s="913">
        <f>IF((Y86=AJ26), AF86, 0)</f>
        <v>0</v>
      </c>
      <c r="BV26" s="911">
        <f>IF((Y89=AJ26), AF89, 0)</f>
        <v>0</v>
      </c>
      <c r="BW26" s="912">
        <f>IF((Y91=AJ26), AF91, 0)</f>
        <v>0</v>
      </c>
      <c r="BX26" s="912">
        <f>IF((Y93=AJ26), AF93, 0)</f>
        <v>0</v>
      </c>
      <c r="BY26" s="913">
        <f>IF((Y95=AJ26), AF95, 0)</f>
        <v>0</v>
      </c>
      <c r="BZ26" s="911">
        <f>IF((Y98=AJ26), AF98, 0)</f>
        <v>0</v>
      </c>
      <c r="CA26" s="912">
        <f>IF((Y100=AJ26), AF100, 0)</f>
        <v>0</v>
      </c>
      <c r="CB26" s="912">
        <f>IF((Y102=AJ26), AF102, 0)</f>
        <v>0</v>
      </c>
      <c r="CC26" s="913">
        <f>IF((Y104=AJ26), AF104, 0)</f>
        <v>0</v>
      </c>
      <c r="CD26" s="911">
        <f>IF((Y107=AJ26), AF107, 0)</f>
        <v>0</v>
      </c>
      <c r="CE26" s="912">
        <f>IF((Y109=AJ26), AF109, 0)</f>
        <v>0</v>
      </c>
      <c r="CF26" s="912">
        <f>IF((Y111=AJ26), AF111, 0)</f>
        <v>0</v>
      </c>
      <c r="CG26" s="913">
        <f>IF((Y113=AJ26), AF113, 0)</f>
        <v>0</v>
      </c>
      <c r="CH26" s="911">
        <f>IF((Y116=AJ26), AF116, 0)</f>
        <v>0</v>
      </c>
      <c r="CI26" s="912">
        <f>IF((Y118=AJ26), AF118, 0)</f>
        <v>0</v>
      </c>
      <c r="CJ26" s="912">
        <f>IF((Y120=AJ26), AF120, 0)</f>
        <v>0</v>
      </c>
      <c r="CK26" s="913">
        <f>IF((Y122=AJ26), AF122, 0)</f>
        <v>0</v>
      </c>
      <c r="CL26" s="911">
        <f>IF((Y125=AJ26), AF125, 0)</f>
        <v>0</v>
      </c>
      <c r="CM26" s="912">
        <f>IF((Y127=AJ26), AF127, 0)</f>
        <v>0</v>
      </c>
      <c r="CN26" s="912">
        <f>IF((Y129=AJ26), AF129, 0)</f>
        <v>0</v>
      </c>
      <c r="CO26" s="913">
        <f>IF((Y131=AJ26), AF131, 0)</f>
        <v>0</v>
      </c>
      <c r="CP26" s="908">
        <f>IF((Y134=AJ26),AF134, 0)</f>
        <v>0</v>
      </c>
      <c r="CQ26" s="909">
        <f>IF((Y136=AJ26), AF136, 0)</f>
        <v>0</v>
      </c>
      <c r="CR26" s="909">
        <f>IF((Y138=AJ26), AF138, 0)</f>
        <v>0</v>
      </c>
      <c r="CS26" s="910">
        <f>IF((Y140=AJ26), AF140, 0)</f>
        <v>0</v>
      </c>
      <c r="CT26" s="908">
        <f>IF((Y143=AJ26), AF143, 0)</f>
        <v>0</v>
      </c>
      <c r="CU26" s="909">
        <f>IF((Y145=AJ26), AF145, 0)</f>
        <v>0</v>
      </c>
      <c r="CV26" s="909">
        <f>IF((Y147=AJ26), AF147, 0)</f>
        <v>0</v>
      </c>
      <c r="CW26" s="910">
        <f>IF((Y149=AJ26), AF149, 0)</f>
        <v>0</v>
      </c>
      <c r="CX26" s="908">
        <f>IF((Y152=AJ26), AF152, 0)</f>
        <v>0</v>
      </c>
      <c r="CY26" s="909">
        <f>IF((Y154=AJ26), AF154, 0)</f>
        <v>0</v>
      </c>
      <c r="CZ26" s="909">
        <f>IF((Y156=AJ26), AF156, 0)</f>
        <v>0</v>
      </c>
      <c r="DA26" s="910">
        <f>IF((Y158=AJ26), AF158, 0)</f>
        <v>0</v>
      </c>
      <c r="DB26" s="908">
        <f>IF((Y161=AJ26), AF161, 0)</f>
        <v>0</v>
      </c>
      <c r="DC26" s="909">
        <f>IF((Y163=AJ26), AF163, 0)</f>
        <v>0</v>
      </c>
      <c r="DD26" s="909">
        <f>IF((Y165=AJ26), AF165, 0)</f>
        <v>0</v>
      </c>
      <c r="DE26" s="910">
        <f>IF((Y167=AJ26), AF167, 0)</f>
        <v>0</v>
      </c>
      <c r="DF26" s="909">
        <f>IF((Y170=AJ26), AF170, 0)</f>
        <v>0</v>
      </c>
      <c r="DG26" s="909">
        <f>IF((Y172=AJ26), AF172, 0)</f>
        <v>0</v>
      </c>
      <c r="DH26" s="909">
        <f>IF((Y174=AJ26), AF174, 0)</f>
        <v>0</v>
      </c>
      <c r="DI26" s="910">
        <f>IF((Y176=AJ26), AF176, 0)</f>
        <v>0</v>
      </c>
      <c r="DJ26" s="911">
        <f>IF((Y179=AJ26), AF179, 0)</f>
        <v>0</v>
      </c>
      <c r="DK26" s="912">
        <f>IF((Y181=AJ26), AF181, 0)</f>
        <v>0</v>
      </c>
      <c r="DL26" s="912">
        <f>IF((Y183=AJ26), AF183, 0)</f>
        <v>0</v>
      </c>
      <c r="DM26" s="913">
        <f>IF((Y185=AJ26), AF185, 0)</f>
        <v>0</v>
      </c>
      <c r="DN26" s="911">
        <f>IF((Y188=AJ26), AF188, 0)</f>
        <v>0</v>
      </c>
      <c r="DO26" s="912">
        <f>IF((Y190=AJ26), AF190, 0)</f>
        <v>0</v>
      </c>
      <c r="DP26" s="912">
        <f>IF((Y192=AJ26), AF192, 0)</f>
        <v>0</v>
      </c>
      <c r="DQ26" s="913">
        <f>IF((Y194=AJ26), AF194, 0)</f>
        <v>0</v>
      </c>
      <c r="DR26" s="911">
        <f>IF((Y197=AJ26), AF197, 0)</f>
        <v>0</v>
      </c>
      <c r="DS26" s="912">
        <f>IF((Y199=AJ26), AF199, 0)</f>
        <v>0</v>
      </c>
      <c r="DT26" s="912">
        <f>IF((Y201=AJ26), AF201, 0)</f>
        <v>0</v>
      </c>
      <c r="DU26" s="913">
        <f>IF((Y203=AJ26), AF203, 0)</f>
        <v>0</v>
      </c>
      <c r="DV26" s="911">
        <f>IF((Y206=AJ26), AF206, 0)</f>
        <v>0</v>
      </c>
      <c r="DW26" s="912">
        <f>IF((Y208=AJ26), AF208, 0)</f>
        <v>0</v>
      </c>
      <c r="DX26" s="912">
        <f>IF((Y210=AJ26), AF210, 0)</f>
        <v>0</v>
      </c>
      <c r="DY26" s="913">
        <f>IF((Y212=AJ26), AF212, 0)</f>
        <v>0</v>
      </c>
      <c r="DZ26" s="911">
        <f>IF((Y215=AJ26), AF215, 0)</f>
        <v>0</v>
      </c>
      <c r="EA26" s="912">
        <f>IF((Y217=AJ26), AF217, 0)</f>
        <v>0</v>
      </c>
      <c r="EB26" s="912">
        <f>IF((Y219=AJ26), AF219, 0)</f>
        <v>0</v>
      </c>
      <c r="EC26" s="913">
        <f>IF((Y221=AJ26), AF221, 0)</f>
        <v>0</v>
      </c>
      <c r="ED26" s="911">
        <f>IF((Y224=AJ26), AF224, 0)</f>
        <v>0</v>
      </c>
      <c r="EE26" s="912">
        <f>IF((Y226=AJ26), AF226, 0)</f>
        <v>0</v>
      </c>
      <c r="EF26" s="912">
        <f>IF((Y228=AJ26), AF228, 0)</f>
        <v>0</v>
      </c>
      <c r="EG26" s="913">
        <f>IF((Y230=AJ26), AF230, 0)</f>
        <v>0</v>
      </c>
      <c r="EH26" s="911">
        <f>IF((Y233=AJ26), AF233, 0)</f>
        <v>0</v>
      </c>
      <c r="EI26" s="912">
        <f>IF((Y235=AJ26), AF235, 0)</f>
        <v>0</v>
      </c>
      <c r="EJ26" s="912">
        <f>IF((Y237=AJ26), AF237, 0)</f>
        <v>0</v>
      </c>
      <c r="EK26" s="913">
        <f>IF((Y239=AJ26), AF239, 0)</f>
        <v>0</v>
      </c>
      <c r="EL26" s="911">
        <f>IF((Y242=AJ26), AF242, 0)</f>
        <v>0</v>
      </c>
      <c r="EM26" s="912">
        <f>IF((Y244=AJ26), AF244, 0)</f>
        <v>0</v>
      </c>
      <c r="EN26" s="912">
        <f>IF((Y246=AJ26), AF246, 0)</f>
        <v>0</v>
      </c>
      <c r="EO26" s="913">
        <f>IF((Y248=AJ26), AF248, 0)</f>
        <v>0</v>
      </c>
      <c r="EP26" s="914">
        <f>IF('NOME + Nº'!E62="SIM",0,IF((Y251=AJ26),AF251,0)+IF((Y252=AJ26),AF252,0))</f>
        <v>0</v>
      </c>
      <c r="EQ26" s="915">
        <f>IF('NOME + Nº'!E62="SIM",0,IF((Y254=AJ26),AF254,0)+IF((Y255=AJ26),AF255,0))</f>
        <v>0</v>
      </c>
      <c r="ER26" s="915">
        <f>IF('NOME + Nº'!E62="SIM",0,IF((Y257=AJ26), AF257,0)+IF((Y258=AJ26), AF258,0))</f>
        <v>0</v>
      </c>
      <c r="ES26" s="916">
        <f>IF('NOME + Nº'!E62="SIM",0,IF((Y260=AJ26), AF260,0)+IF((Y261=AJ26), AF261,0))</f>
        <v>0</v>
      </c>
      <c r="ET26" s="914">
        <f>IF(Y264=AJ26,AF264,0)</f>
        <v>0</v>
      </c>
      <c r="EU26" s="917">
        <f>IF('NOME + Nº'!D28="SIM",SUM(AP26:ET26),0)</f>
        <v>0</v>
      </c>
      <c r="EW26" s="403">
        <f>SUM(EP26:ES26)</f>
        <v>0</v>
      </c>
    </row>
    <row r="27" spans="2:153" ht="15" customHeight="1" thickBot="1" x14ac:dyDescent="0.3">
      <c r="B27" s="1621"/>
      <c r="C27" s="1621"/>
      <c r="D27" s="1621"/>
      <c r="E27" s="1621"/>
      <c r="F27" s="1621"/>
      <c r="I27" s="498">
        <v>7</v>
      </c>
      <c r="J27" s="954" t="str">
        <f>IF(N27=0," ",ENFESTO!AJ26)</f>
        <v xml:space="preserve"> </v>
      </c>
      <c r="K27" s="955" t="str">
        <f>IF(N27=0," ",ENFESTO!AK26)</f>
        <v xml:space="preserve"> </v>
      </c>
      <c r="L27" s="956" t="str">
        <f>IF(N27=0," ",ENFESTO!AL26)</f>
        <v xml:space="preserve"> </v>
      </c>
      <c r="M27" s="954" t="str">
        <f>IF(N27=0," ",ENFESTO!AM26)</f>
        <v xml:space="preserve"> </v>
      </c>
      <c r="N27" s="957">
        <f>IF(ENFESTO!AN26=0,0,ENFESTO!AN26)</f>
        <v>0</v>
      </c>
      <c r="O27" s="958">
        <f>IF(ENFESTO!AO26=0,0,ENFESTO!AO26)</f>
        <v>0</v>
      </c>
      <c r="P27" s="497"/>
      <c r="T27" s="1699"/>
      <c r="V27" s="20"/>
      <c r="W27" s="10" t="str">
        <f>IF(V26="SIM","1","0")</f>
        <v>0</v>
      </c>
      <c r="X27" s="10"/>
      <c r="Z27" s="140">
        <f>Z22</f>
        <v>20</v>
      </c>
      <c r="AA27" s="22"/>
      <c r="AB27" s="34"/>
      <c r="AC27" s="186"/>
      <c r="AD27" s="186"/>
      <c r="AE27" s="184"/>
      <c r="AF27" s="184"/>
      <c r="AG27" s="34"/>
      <c r="AH27" s="34"/>
      <c r="AI27" s="34"/>
    </row>
    <row r="28" spans="2:153" ht="15" customHeight="1" thickBot="1" x14ac:dyDescent="0.3">
      <c r="I28" s="498"/>
      <c r="J28" s="148"/>
      <c r="K28" s="148"/>
      <c r="L28" s="148"/>
      <c r="M28" s="148"/>
      <c r="N28" s="951"/>
      <c r="O28" s="148"/>
      <c r="P28" s="497"/>
      <c r="T28" s="1699"/>
      <c r="U28">
        <f t="shared" ref="U28" si="7">U26+1</f>
        <v>6</v>
      </c>
      <c r="V28" s="192" t="str">
        <f>MODELAGEM!K22</f>
        <v>NÃO</v>
      </c>
      <c r="W28" s="1653" t="s">
        <v>712</v>
      </c>
      <c r="X28" s="1653"/>
      <c r="Y28" s="1656" t="str">
        <f>MODELAGEM!M22</f>
        <v>Entretela</v>
      </c>
      <c r="Z28" s="1656"/>
      <c r="AA28" s="778">
        <f>MODELAGEM!N22</f>
        <v>16</v>
      </c>
      <c r="AB28" s="750">
        <f>IF(V28="NÃO",0,((Z29*MODELAGEM!P22/(MODELAGEM!R22/MODELAGEM!L22))/100))</f>
        <v>0</v>
      </c>
      <c r="AC28" s="779">
        <f>AC26</f>
        <v>2.5</v>
      </c>
      <c r="AD28" s="779"/>
      <c r="AE28" s="769">
        <f>IF(V28="NÃO",0,((Z29/(MODELAGEM!R22))*(AC28*2/100)+AB28)*W29)</f>
        <v>0</v>
      </c>
      <c r="AF28" s="770">
        <f>AE28*AA28</f>
        <v>0</v>
      </c>
      <c r="AG28" s="34"/>
      <c r="AH28" s="34"/>
      <c r="AI28" s="34"/>
      <c r="AK28" s="1691" t="s">
        <v>256</v>
      </c>
      <c r="AL28" s="1692"/>
      <c r="AM28" s="1693"/>
      <c r="AN28" s="523">
        <f>SUM(AN20:AN26)</f>
        <v>4.144705882352941</v>
      </c>
      <c r="AO28" s="944">
        <f>SUM(AO20:AO26)</f>
        <v>206.82082352941177</v>
      </c>
      <c r="AV28" s="49"/>
      <c r="CF28" s="49"/>
      <c r="EN28" s="18"/>
      <c r="ES28" s="1549" t="s">
        <v>256</v>
      </c>
      <c r="ET28" s="1550"/>
      <c r="EU28" s="408">
        <f>SUM(EU20:EU26)</f>
        <v>206.82082352941177</v>
      </c>
      <c r="EW28" s="404">
        <f>SUM(EW20:EW26)</f>
        <v>20.223712418300654</v>
      </c>
    </row>
    <row r="29" spans="2:153" ht="15" customHeight="1" x14ac:dyDescent="0.25">
      <c r="B29" s="1785" t="s">
        <v>260</v>
      </c>
      <c r="C29" s="1786"/>
      <c r="D29" s="1786"/>
      <c r="E29" s="1786"/>
      <c r="F29" s="1787"/>
      <c r="I29" s="498"/>
      <c r="J29" s="148"/>
      <c r="K29" s="1764" t="s">
        <v>256</v>
      </c>
      <c r="L29" s="1764"/>
      <c r="M29" s="1764"/>
      <c r="N29" s="509">
        <f>ENFESTO!AN28</f>
        <v>4.144705882352941</v>
      </c>
      <c r="O29" s="945">
        <f>ENFESTO!AO28</f>
        <v>206.82082352941177</v>
      </c>
      <c r="P29" s="497"/>
      <c r="T29" s="1699"/>
      <c r="V29" s="20"/>
      <c r="W29" s="10" t="str">
        <f>IF(V28="SIM","1","0")</f>
        <v>0</v>
      </c>
      <c r="X29" s="10"/>
      <c r="Z29" s="140">
        <f>Z27</f>
        <v>20</v>
      </c>
      <c r="AA29" s="22"/>
      <c r="AB29" s="34"/>
      <c r="AC29" s="186"/>
      <c r="AD29" s="186"/>
      <c r="AE29" s="184"/>
      <c r="AF29" s="184"/>
      <c r="AG29" s="34"/>
      <c r="AH29" s="34"/>
      <c r="AI29" s="34"/>
    </row>
    <row r="30" spans="2:153" ht="15" customHeight="1" x14ac:dyDescent="0.25">
      <c r="B30" s="520" t="s">
        <v>227</v>
      </c>
      <c r="C30" s="1788" t="s">
        <v>228</v>
      </c>
      <c r="D30" s="1788"/>
      <c r="E30" s="1788"/>
      <c r="F30" s="1789"/>
      <c r="I30" s="502"/>
      <c r="J30" s="503"/>
      <c r="K30" s="503"/>
      <c r="L30" s="503"/>
      <c r="M30" s="503"/>
      <c r="N30" s="503"/>
      <c r="O30" s="503"/>
      <c r="P30" s="504"/>
      <c r="T30" s="1699"/>
      <c r="U30">
        <f t="shared" ref="U30" si="8">U28+1</f>
        <v>7</v>
      </c>
      <c r="V30" s="192" t="str">
        <f>MODELAGEM!K24</f>
        <v>NÃO</v>
      </c>
      <c r="W30" s="1653" t="s">
        <v>712</v>
      </c>
      <c r="X30" s="1653"/>
      <c r="Y30" s="1656" t="str">
        <f>MODELAGEM!M24</f>
        <v>Forro</v>
      </c>
      <c r="Z30" s="1656"/>
      <c r="AA30" s="778">
        <f>MODELAGEM!N24</f>
        <v>19.899999999999999</v>
      </c>
      <c r="AB30" s="750">
        <f>IF(V30="NÃO",0,((Z31*MODELAGEM!P24/(MODELAGEM!R24/MODELAGEM!L24))/100))</f>
        <v>0</v>
      </c>
      <c r="AC30" s="779">
        <f>AC28</f>
        <v>2.5</v>
      </c>
      <c r="AD30" s="779"/>
      <c r="AE30" s="769">
        <f>IF(V30="NÃO",0,((Z31/(MODELAGEM!R24))*(AC30*2/100)+AB30)*W31)</f>
        <v>0</v>
      </c>
      <c r="AF30" s="770">
        <f>AE30*AA30</f>
        <v>0</v>
      </c>
      <c r="AG30" s="34"/>
      <c r="AH30" s="34"/>
      <c r="AI30" s="34"/>
    </row>
    <row r="31" spans="2:153" ht="15" customHeight="1" x14ac:dyDescent="0.25">
      <c r="B31" s="283"/>
      <c r="C31" s="1303"/>
      <c r="D31" s="1303"/>
      <c r="E31" s="1303"/>
      <c r="F31" s="1553"/>
      <c r="T31" s="1699"/>
      <c r="V31" s="20"/>
      <c r="W31" s="10" t="str">
        <f>IF(V30="SIM","1","0")</f>
        <v>0</v>
      </c>
      <c r="X31" s="10"/>
      <c r="Z31" s="140">
        <f>Z29</f>
        <v>20</v>
      </c>
      <c r="AA31" s="22"/>
      <c r="AB31" s="34"/>
      <c r="AC31" s="186"/>
      <c r="AD31" s="186"/>
      <c r="AE31" s="184"/>
      <c r="AF31" s="184"/>
      <c r="AG31" s="34"/>
      <c r="AH31" s="34"/>
      <c r="AI31" s="34"/>
    </row>
    <row r="32" spans="2:153" ht="15" customHeight="1" x14ac:dyDescent="0.25">
      <c r="B32" s="427"/>
      <c r="C32" s="1303"/>
      <c r="D32" s="1303"/>
      <c r="E32" s="1303"/>
      <c r="F32" s="1553"/>
      <c r="I32" s="1757"/>
      <c r="J32" s="1758"/>
      <c r="K32" s="1758"/>
      <c r="L32" s="1758"/>
      <c r="M32" s="1758"/>
      <c r="N32" s="1758"/>
      <c r="O32" s="1758"/>
      <c r="P32" s="1759"/>
      <c r="T32" s="1699"/>
      <c r="U32">
        <f>U30+1</f>
        <v>8</v>
      </c>
      <c r="V32" s="767" t="str">
        <f>MODELAGEM!K26</f>
        <v>NÃO</v>
      </c>
      <c r="W32" s="1657" t="s">
        <v>712</v>
      </c>
      <c r="X32" s="1657"/>
      <c r="Y32" s="1655" t="str">
        <f>MODELAGEM!M26</f>
        <v>Forro</v>
      </c>
      <c r="Z32" s="1655"/>
      <c r="AA32" s="780">
        <f>MODELAGEM!N26</f>
        <v>19.899999999999999</v>
      </c>
      <c r="AB32" s="750">
        <f>IF(V32="NÃO",0,((Z33*MODELAGEM!P26/(MODELAGEM!R26/MODELAGEM!L26))/100))</f>
        <v>0</v>
      </c>
      <c r="AC32" s="779">
        <f>AC30</f>
        <v>2.5</v>
      </c>
      <c r="AD32" s="779"/>
      <c r="AE32" s="769">
        <f>IF(V32="NÃO",0,((Z33/(MODELAGEM!R25))*(AC32*2/100)+AB32)*W33)</f>
        <v>0</v>
      </c>
      <c r="AF32" s="770">
        <f>AE32*AA32</f>
        <v>0</v>
      </c>
      <c r="AG32" s="34"/>
      <c r="AH32" s="34"/>
    </row>
    <row r="33" spans="2:148" ht="15" customHeight="1" x14ac:dyDescent="0.25">
      <c r="B33" s="427"/>
      <c r="C33" s="1303"/>
      <c r="D33" s="1303"/>
      <c r="E33" s="1303"/>
      <c r="F33" s="1553"/>
      <c r="I33" s="1761">
        <v>2</v>
      </c>
      <c r="J33" s="1762" t="str">
        <f>ENFESTO!W10</f>
        <v>REF. NOME + Nº - 15H x 10B x 5L (cm)</v>
      </c>
      <c r="K33" s="1762"/>
      <c r="L33" s="1762"/>
      <c r="M33" s="1762"/>
      <c r="N33" s="1762"/>
      <c r="O33" s="1762"/>
      <c r="P33" s="497"/>
      <c r="T33" s="1699"/>
      <c r="V33" s="20"/>
      <c r="W33" s="10" t="str">
        <f>IF(V32="SIM","1","0")</f>
        <v>0</v>
      </c>
      <c r="X33" s="10"/>
      <c r="Z33" s="140">
        <f>Z31</f>
        <v>20</v>
      </c>
      <c r="AA33" s="22"/>
      <c r="AB33" s="34"/>
      <c r="AC33" s="186"/>
      <c r="AD33" s="186"/>
      <c r="AE33" s="184"/>
      <c r="AF33" s="184"/>
      <c r="AG33" s="34"/>
      <c r="AH33" s="34"/>
      <c r="ER33" s="48" t="s">
        <v>913</v>
      </c>
    </row>
    <row r="34" spans="2:148" ht="15" customHeight="1" x14ac:dyDescent="0.25">
      <c r="B34" s="283"/>
      <c r="C34" s="1303"/>
      <c r="D34" s="1303"/>
      <c r="E34" s="1303"/>
      <c r="F34" s="1553"/>
      <c r="I34" s="1761"/>
      <c r="J34" s="1689" t="s">
        <v>285</v>
      </c>
      <c r="K34" s="1689"/>
      <c r="L34" s="1689"/>
      <c r="M34" s="1689"/>
      <c r="N34" s="1689"/>
      <c r="O34" s="1689"/>
      <c r="P34" s="497"/>
      <c r="T34" s="1699"/>
      <c r="U34" s="262"/>
      <c r="V34" s="782"/>
      <c r="W34" s="783"/>
      <c r="X34" s="783"/>
      <c r="Y34" s="783"/>
      <c r="Z34" s="783"/>
      <c r="AA34" s="783"/>
      <c r="AB34" s="783"/>
      <c r="AC34" s="783"/>
      <c r="AD34" s="783"/>
      <c r="AE34" s="783"/>
      <c r="AF34" s="784"/>
      <c r="AG34" s="34"/>
      <c r="AH34" s="34"/>
    </row>
    <row r="35" spans="2:148" ht="15" customHeight="1" x14ac:dyDescent="0.3">
      <c r="B35" s="283"/>
      <c r="C35" s="1303"/>
      <c r="D35" s="1303"/>
      <c r="E35" s="1303"/>
      <c r="F35" s="1553"/>
      <c r="I35" s="498"/>
      <c r="J35" s="228" t="str">
        <f>IF('NOME + Nº'!$C$33="NÃO","!!ENFESTO não atualizado!!","")</f>
        <v>!!ENFESTO não atualizado!!</v>
      </c>
      <c r="K35" s="148"/>
      <c r="L35" s="148"/>
      <c r="M35" s="149"/>
      <c r="N35" s="148"/>
      <c r="O35" s="148"/>
      <c r="P35" s="497"/>
      <c r="T35" s="1700" t="str">
        <f>MODELAGEM!H29</f>
        <v>MOLDE 3</v>
      </c>
      <c r="U35" s="761">
        <f>U32+1</f>
        <v>9</v>
      </c>
      <c r="V35" s="793" t="str">
        <f>MODELAGEM!K29</f>
        <v>NÃO</v>
      </c>
      <c r="W35" s="1701" t="str">
        <f>MODELAGEM!H30</f>
        <v>NOME</v>
      </c>
      <c r="X35" s="1701"/>
      <c r="Y35" s="1690" t="str">
        <f>MODELAGEM!M29</f>
        <v>Tela OU Cristal</v>
      </c>
      <c r="Z35" s="1690"/>
      <c r="AA35" s="794" t="b">
        <f>MODELAGEM!N29</f>
        <v>0</v>
      </c>
      <c r="AB35" s="795">
        <f>IF(V35="NÃO",0,((Z36*MODELAGEM!P29/(MODELAGEM!R29/MODELAGEM!L29))/100))</f>
        <v>0</v>
      </c>
      <c r="AC35" s="779">
        <f>AC32</f>
        <v>2.5</v>
      </c>
      <c r="AD35" s="796"/>
      <c r="AE35" s="797">
        <f>IF(V35="NÃO",0,((Z36/(MODELAGEM!R29))*(AC35*2/100)+AB35)*W36)</f>
        <v>0</v>
      </c>
      <c r="AF35" s="798">
        <f>AE35*AA35</f>
        <v>0</v>
      </c>
      <c r="AG35" s="400">
        <f>IF(V35="SIM",1,IF(V37="SIM",1,IF(V39="SIM",1,0)))</f>
        <v>0</v>
      </c>
      <c r="AH35" s="21"/>
    </row>
    <row r="36" spans="2:148" ht="15" customHeight="1" x14ac:dyDescent="0.25">
      <c r="B36" s="283"/>
      <c r="C36" s="1303"/>
      <c r="D36" s="1303"/>
      <c r="E36" s="1303"/>
      <c r="F36" s="1553"/>
      <c r="I36" s="498"/>
      <c r="J36" s="148"/>
      <c r="K36" s="150" t="s">
        <v>237</v>
      </c>
      <c r="L36" s="148"/>
      <c r="M36" s="149"/>
      <c r="N36" s="148"/>
      <c r="O36" s="148"/>
      <c r="P36" s="497"/>
      <c r="T36" s="1700"/>
      <c r="V36" s="20"/>
      <c r="W36" s="10" t="str">
        <f>IF(V35="SIM","1","0")</f>
        <v>0</v>
      </c>
      <c r="X36" s="10"/>
      <c r="Z36" s="140">
        <f>Z31</f>
        <v>20</v>
      </c>
      <c r="AA36" s="22"/>
      <c r="AB36" s="34"/>
      <c r="AC36" s="186"/>
      <c r="AD36" s="186"/>
      <c r="AE36" s="184"/>
      <c r="AF36" s="184"/>
      <c r="AG36" s="34"/>
      <c r="AH36" s="34"/>
    </row>
    <row r="37" spans="2:148" ht="15" customHeight="1" x14ac:dyDescent="0.25">
      <c r="B37" s="283"/>
      <c r="C37" s="1303"/>
      <c r="D37" s="1303"/>
      <c r="E37" s="1303"/>
      <c r="F37" s="1553"/>
      <c r="I37" s="1760"/>
      <c r="J37" s="510" t="s">
        <v>234</v>
      </c>
      <c r="K37" s="511">
        <f>ENFESTO!U14</f>
        <v>20</v>
      </c>
      <c r="L37" s="148"/>
      <c r="M37" s="148"/>
      <c r="N37" s="148"/>
      <c r="O37" s="148"/>
      <c r="P37" s="497"/>
      <c r="T37" s="1700"/>
      <c r="U37">
        <f>U35+1</f>
        <v>10</v>
      </c>
      <c r="V37" s="767" t="str">
        <f>MODELAGEM!K31</f>
        <v>NÃO</v>
      </c>
      <c r="W37" s="1653" t="s">
        <v>712</v>
      </c>
      <c r="X37" s="1653"/>
      <c r="Y37" s="1656" t="str">
        <f>MODELAGEM!M31</f>
        <v>Material Secundário III</v>
      </c>
      <c r="Z37" s="1656"/>
      <c r="AA37" s="778" t="b">
        <f>MODELAGEM!N31</f>
        <v>0</v>
      </c>
      <c r="AB37" s="750">
        <f>IF(V37="NÃO",0,((Z38*MODELAGEM!P31/(MODELAGEM!R31/MODELAGEM!L31))/100))</f>
        <v>0</v>
      </c>
      <c r="AC37" s="779">
        <f t="shared" ref="AC37" si="9">AC35</f>
        <v>2.5</v>
      </c>
      <c r="AD37" s="779"/>
      <c r="AE37" s="769">
        <f>IF(V37="NÃO",0,((Z38/(MODELAGEM!R31))*(AC37*2/100)+AB37)*W38)</f>
        <v>0</v>
      </c>
      <c r="AF37" s="770">
        <f>AE37*AA37</f>
        <v>0</v>
      </c>
      <c r="AG37" s="34"/>
      <c r="AH37" s="34"/>
    </row>
    <row r="38" spans="2:148" ht="15" customHeight="1" x14ac:dyDescent="0.25">
      <c r="B38" s="283"/>
      <c r="C38" s="1616"/>
      <c r="D38" s="1303"/>
      <c r="E38" s="1303"/>
      <c r="F38" s="1553"/>
      <c r="I38" s="1760"/>
      <c r="J38" s="1763" t="s">
        <v>249</v>
      </c>
      <c r="K38" s="1763"/>
      <c r="L38" s="1763"/>
      <c r="M38" s="1763"/>
      <c r="N38" s="1756" t="s">
        <v>251</v>
      </c>
      <c r="O38" s="1756"/>
      <c r="P38" s="497"/>
      <c r="T38" s="1700"/>
      <c r="V38" s="20"/>
      <c r="W38" s="10" t="str">
        <f>IF(V37="SIM","1","0")</f>
        <v>0</v>
      </c>
      <c r="X38" s="10"/>
      <c r="Z38" s="140">
        <f>Z36</f>
        <v>20</v>
      </c>
      <c r="AA38" s="22"/>
      <c r="AB38" s="34"/>
      <c r="AC38" s="186"/>
      <c r="AD38" s="186"/>
      <c r="AE38" s="184"/>
      <c r="AF38" s="184"/>
      <c r="AG38" s="34"/>
      <c r="AH38" s="34"/>
    </row>
    <row r="39" spans="2:148" ht="15" customHeight="1" x14ac:dyDescent="0.25">
      <c r="B39" s="283"/>
      <c r="C39" s="1303"/>
      <c r="D39" s="1303"/>
      <c r="E39" s="1303"/>
      <c r="F39" s="1553"/>
      <c r="I39" s="498"/>
      <c r="J39" s="481" t="s">
        <v>239</v>
      </c>
      <c r="K39" s="481" t="s">
        <v>195</v>
      </c>
      <c r="L39" s="481" t="s">
        <v>376</v>
      </c>
      <c r="M39" s="481" t="s">
        <v>244</v>
      </c>
      <c r="N39" s="508" t="s">
        <v>284</v>
      </c>
      <c r="O39" s="508" t="s">
        <v>274</v>
      </c>
      <c r="P39" s="497"/>
      <c r="T39" s="1700"/>
      <c r="U39">
        <f>U37+1</f>
        <v>11</v>
      </c>
      <c r="V39" s="767" t="str">
        <f>MODELAGEM!K33</f>
        <v>NÃO</v>
      </c>
      <c r="W39" s="1653" t="s">
        <v>712</v>
      </c>
      <c r="X39" s="1653"/>
      <c r="Y39" s="1656" t="str">
        <f>MODELAGEM!M33</f>
        <v>Forro</v>
      </c>
      <c r="Z39" s="1656"/>
      <c r="AA39" s="778">
        <f>MODELAGEM!N33</f>
        <v>19.899999999999999</v>
      </c>
      <c r="AB39" s="750">
        <f>IF(V39="NÃO",0,((Z40*MODELAGEM!P33/(MODELAGEM!R33/MODELAGEM!L33))/100))</f>
        <v>0</v>
      </c>
      <c r="AC39" s="779">
        <f t="shared" ref="AC39" si="10">AC37</f>
        <v>2.5</v>
      </c>
      <c r="AD39" s="779"/>
      <c r="AE39" s="769">
        <f>IF(V39="NÃO",0,((Z40/(MODELAGEM!R33))*(AC39*2/100)+AB39)*W40)</f>
        <v>0</v>
      </c>
      <c r="AF39" s="770">
        <f>AE39*AA39</f>
        <v>0</v>
      </c>
      <c r="AG39" s="34"/>
      <c r="AH39" s="34"/>
    </row>
    <row r="40" spans="2:148" ht="15" customHeight="1" x14ac:dyDescent="0.25">
      <c r="B40" s="283"/>
      <c r="C40" s="1551"/>
      <c r="D40" s="1551"/>
      <c r="E40" s="1551"/>
      <c r="F40" s="1552"/>
      <c r="I40" s="498">
        <v>1</v>
      </c>
      <c r="J40" s="505" t="str">
        <f t="shared" ref="J40:J46" si="11">IF(N40=0," ",AQ274)</f>
        <v xml:space="preserve"> </v>
      </c>
      <c r="K40" s="506" t="str">
        <f t="shared" ref="K40:K46" si="12">IF(N40=0," ",AR274)</f>
        <v xml:space="preserve"> </v>
      </c>
      <c r="L40" s="507" t="str">
        <f t="shared" ref="L40:L46" si="13">IF(N40=0," ",AS274)</f>
        <v xml:space="preserve"> </v>
      </c>
      <c r="M40" s="505" t="str">
        <f t="shared" ref="M40:M46" si="14">IF(N40=0," ",AT274)</f>
        <v xml:space="preserve"> </v>
      </c>
      <c r="N40" s="516">
        <f>IF(AU274=0,0,AU274)</f>
        <v>0</v>
      </c>
      <c r="O40" s="512">
        <f>IF(AU274=0,0,AV274)</f>
        <v>0</v>
      </c>
      <c r="P40" s="497"/>
      <c r="T40" s="1700"/>
      <c r="V40" s="20"/>
      <c r="W40" s="10" t="str">
        <f>IF(V39="SIM","1","0")</f>
        <v>0</v>
      </c>
      <c r="X40" s="10"/>
      <c r="Z40" s="140">
        <f>Z38</f>
        <v>20</v>
      </c>
      <c r="AA40" s="22"/>
      <c r="AB40" s="34"/>
      <c r="AC40" s="186"/>
      <c r="AD40" s="186"/>
      <c r="AE40" s="184"/>
      <c r="AF40" s="184"/>
      <c r="AG40" s="34"/>
      <c r="AH40" s="34"/>
    </row>
    <row r="41" spans="2:148" ht="15" customHeight="1" x14ac:dyDescent="0.25">
      <c r="B41" s="283"/>
      <c r="C41" s="1303"/>
      <c r="D41" s="1303"/>
      <c r="E41" s="1303"/>
      <c r="F41" s="1553"/>
      <c r="I41" s="498">
        <v>2</v>
      </c>
      <c r="J41" s="499" t="str">
        <f t="shared" si="11"/>
        <v xml:space="preserve"> </v>
      </c>
      <c r="K41" s="500" t="str">
        <f t="shared" si="12"/>
        <v xml:space="preserve"> </v>
      </c>
      <c r="L41" s="501" t="str">
        <f t="shared" si="13"/>
        <v xml:space="preserve"> </v>
      </c>
      <c r="M41" s="499" t="str">
        <f t="shared" si="14"/>
        <v xml:space="preserve"> </v>
      </c>
      <c r="N41" s="514">
        <f>IF(AU275=0,0,AU275)</f>
        <v>0</v>
      </c>
      <c r="O41" s="513">
        <f>IF(AU275=0,0,AV275)</f>
        <v>0</v>
      </c>
      <c r="P41" s="497"/>
      <c r="T41" s="1700"/>
      <c r="U41">
        <f>U39+1</f>
        <v>12</v>
      </c>
      <c r="V41" s="767" t="str">
        <f>MODELAGEM!K35</f>
        <v>NÃO</v>
      </c>
      <c r="W41" s="1657" t="s">
        <v>712</v>
      </c>
      <c r="X41" s="1657"/>
      <c r="Y41" s="1655" t="str">
        <f>MODELAGEM!M35</f>
        <v>Forro</v>
      </c>
      <c r="Z41" s="1655"/>
      <c r="AA41" s="780">
        <f>MODELAGEM!N35</f>
        <v>19.899999999999999</v>
      </c>
      <c r="AB41" s="750">
        <f>IF(V41="NÃO",0,((Z42*MODELAGEM!P35/(MODELAGEM!R35/MODELAGEM!L35))/100))</f>
        <v>0</v>
      </c>
      <c r="AC41" s="779">
        <f t="shared" ref="AC41" si="15">AC39</f>
        <v>2.5</v>
      </c>
      <c r="AD41" s="779"/>
      <c r="AE41" s="769">
        <f>IF(V41="NÃO",0,((Z42/(MODELAGEM!R33))*(AC41*2/100)+AB41)*W42)</f>
        <v>0</v>
      </c>
      <c r="AF41" s="770">
        <f>AE41*AA41</f>
        <v>0</v>
      </c>
      <c r="AG41" s="34"/>
      <c r="AH41" s="34"/>
    </row>
    <row r="42" spans="2:148" ht="15" customHeight="1" x14ac:dyDescent="0.25">
      <c r="B42" s="428"/>
      <c r="C42" s="1303"/>
      <c r="D42" s="1303"/>
      <c r="E42" s="1303"/>
      <c r="F42" s="1553"/>
      <c r="I42" s="498">
        <v>3</v>
      </c>
      <c r="J42" s="499" t="str">
        <f t="shared" si="11"/>
        <v xml:space="preserve"> </v>
      </c>
      <c r="K42" s="500" t="str">
        <f t="shared" si="12"/>
        <v xml:space="preserve"> </v>
      </c>
      <c r="L42" s="501" t="str">
        <f t="shared" si="13"/>
        <v xml:space="preserve"> </v>
      </c>
      <c r="M42" s="499" t="str">
        <f t="shared" si="14"/>
        <v xml:space="preserve"> </v>
      </c>
      <c r="N42" s="514">
        <f t="shared" ref="N42:N45" si="16">IF(AU276=0,0,AU276)</f>
        <v>0</v>
      </c>
      <c r="O42" s="513">
        <f t="shared" ref="O42:O45" si="17">IF(AU276=0,0,AV276)</f>
        <v>0</v>
      </c>
      <c r="P42" s="497"/>
      <c r="T42" s="1700"/>
      <c r="V42" s="20"/>
      <c r="W42" s="10" t="str">
        <f>IF(V41="SIM","1","0")</f>
        <v>0</v>
      </c>
      <c r="X42" s="10"/>
      <c r="Z42" s="140">
        <f>Z40</f>
        <v>20</v>
      </c>
      <c r="AA42" s="22"/>
      <c r="AB42" s="34"/>
      <c r="AC42" s="186"/>
      <c r="AD42" s="186"/>
      <c r="AE42" s="184"/>
      <c r="AF42" s="184"/>
      <c r="AG42" s="34"/>
      <c r="AH42" s="34"/>
    </row>
    <row r="43" spans="2:148" ht="15" customHeight="1" x14ac:dyDescent="0.25">
      <c r="B43" s="283"/>
      <c r="C43" s="1303"/>
      <c r="D43" s="1303"/>
      <c r="E43" s="1303"/>
      <c r="F43" s="1553"/>
      <c r="I43" s="498">
        <v>4</v>
      </c>
      <c r="J43" s="499" t="str">
        <f t="shared" si="11"/>
        <v xml:space="preserve"> </v>
      </c>
      <c r="K43" s="500" t="str">
        <f t="shared" si="12"/>
        <v xml:space="preserve"> </v>
      </c>
      <c r="L43" s="501" t="str">
        <f t="shared" si="13"/>
        <v xml:space="preserve"> </v>
      </c>
      <c r="M43" s="499" t="str">
        <f t="shared" si="14"/>
        <v xml:space="preserve"> </v>
      </c>
      <c r="N43" s="514">
        <f t="shared" si="16"/>
        <v>0</v>
      </c>
      <c r="O43" s="513">
        <f t="shared" si="17"/>
        <v>0</v>
      </c>
      <c r="P43" s="497"/>
      <c r="T43" s="1700"/>
      <c r="U43" s="262"/>
      <c r="V43" s="782"/>
      <c r="W43" s="783"/>
      <c r="X43" s="783"/>
      <c r="Y43" s="783"/>
      <c r="Z43" s="783"/>
      <c r="AA43" s="783"/>
      <c r="AB43" s="783"/>
      <c r="AC43" s="783"/>
      <c r="AD43" s="783"/>
      <c r="AE43" s="783"/>
      <c r="AF43" s="784"/>
      <c r="AG43" s="34"/>
      <c r="AH43" s="34"/>
    </row>
    <row r="44" spans="2:148" ht="15" customHeight="1" x14ac:dyDescent="0.25">
      <c r="B44" s="283"/>
      <c r="C44" s="1778"/>
      <c r="D44" s="1303"/>
      <c r="E44" s="1303"/>
      <c r="F44" s="1553"/>
      <c r="I44" s="498">
        <v>5</v>
      </c>
      <c r="J44" s="499" t="str">
        <f t="shared" si="11"/>
        <v xml:space="preserve"> </v>
      </c>
      <c r="K44" s="500" t="str">
        <f t="shared" si="12"/>
        <v xml:space="preserve"> </v>
      </c>
      <c r="L44" s="501" t="str">
        <f t="shared" si="13"/>
        <v xml:space="preserve"> </v>
      </c>
      <c r="M44" s="499" t="str">
        <f t="shared" si="14"/>
        <v xml:space="preserve"> </v>
      </c>
      <c r="N44" s="514">
        <f t="shared" si="16"/>
        <v>0</v>
      </c>
      <c r="O44" s="513">
        <f t="shared" si="17"/>
        <v>0</v>
      </c>
      <c r="P44" s="497"/>
      <c r="T44" s="1699" t="str">
        <f>MODELAGEM!H38</f>
        <v>MOLDE 4</v>
      </c>
      <c r="U44" s="761">
        <f>U41+1</f>
        <v>13</v>
      </c>
      <c r="V44" s="793" t="str">
        <f>MODELAGEM!K38</f>
        <v>NÃO</v>
      </c>
      <c r="W44" s="1701" t="str">
        <f>MODELAGEM!H39</f>
        <v>NOME</v>
      </c>
      <c r="X44" s="1701"/>
      <c r="Y44" s="1690" t="str">
        <f>MODELAGEM!M38</f>
        <v>Forro</v>
      </c>
      <c r="Z44" s="1690"/>
      <c r="AA44" s="794">
        <f>MODELAGEM!N38</f>
        <v>19.899999999999999</v>
      </c>
      <c r="AB44" s="795">
        <f>IF(V44="NÃO",0,((Z45*MODELAGEM!P38/(MODELAGEM!R38/MODELAGEM!L38))/100))</f>
        <v>0</v>
      </c>
      <c r="AC44" s="796">
        <f t="shared" ref="AC44" si="18">AC41</f>
        <v>2.5</v>
      </c>
      <c r="AD44" s="796"/>
      <c r="AE44" s="797">
        <f>IF(V44="NÃO",0,((Z45/(MODELAGEM!R38))*(AC44*2/100)+AB44)*W45)</f>
        <v>0</v>
      </c>
      <c r="AF44" s="798">
        <f>AE44*AA44</f>
        <v>0</v>
      </c>
      <c r="AG44" s="400">
        <f>IF(V44="SIM",1,IF(V46="SIM",1,IF(V48="SIM",1,0)))</f>
        <v>0</v>
      </c>
      <c r="AH44" s="21"/>
    </row>
    <row r="45" spans="2:148" ht="15" customHeight="1" x14ac:dyDescent="0.25">
      <c r="B45" s="427"/>
      <c r="C45" s="1778"/>
      <c r="D45" s="1303"/>
      <c r="E45" s="1303"/>
      <c r="F45" s="1553"/>
      <c r="I45" s="498">
        <v>6</v>
      </c>
      <c r="J45" s="499" t="str">
        <f t="shared" si="11"/>
        <v xml:space="preserve"> </v>
      </c>
      <c r="K45" s="500" t="str">
        <f t="shared" si="12"/>
        <v xml:space="preserve"> </v>
      </c>
      <c r="L45" s="501" t="str">
        <f t="shared" si="13"/>
        <v xml:space="preserve"> </v>
      </c>
      <c r="M45" s="499" t="str">
        <f t="shared" si="14"/>
        <v xml:space="preserve"> </v>
      </c>
      <c r="N45" s="514">
        <f t="shared" si="16"/>
        <v>0</v>
      </c>
      <c r="O45" s="513">
        <f t="shared" si="17"/>
        <v>0</v>
      </c>
      <c r="P45" s="497"/>
      <c r="T45" s="1699"/>
      <c r="V45" s="20"/>
      <c r="W45" s="10" t="str">
        <f>IF(V44="SIM","1","0")</f>
        <v>0</v>
      </c>
      <c r="X45" s="10"/>
      <c r="Z45" s="140">
        <f>Z40</f>
        <v>20</v>
      </c>
      <c r="AA45" s="22"/>
      <c r="AB45" s="34"/>
      <c r="AC45" s="186"/>
      <c r="AD45" s="186"/>
      <c r="AE45" s="184"/>
      <c r="AF45" s="184"/>
      <c r="AG45" s="34"/>
      <c r="AH45" s="34"/>
    </row>
    <row r="46" spans="2:148" ht="15" customHeight="1" x14ac:dyDescent="0.25">
      <c r="B46" s="427"/>
      <c r="C46" s="1303"/>
      <c r="D46" s="1303"/>
      <c r="E46" s="1303"/>
      <c r="F46" s="1553"/>
      <c r="I46" s="498">
        <v>7</v>
      </c>
      <c r="J46" s="954" t="str">
        <f t="shared" si="11"/>
        <v xml:space="preserve"> </v>
      </c>
      <c r="K46" s="955" t="str">
        <f t="shared" si="12"/>
        <v xml:space="preserve"> </v>
      </c>
      <c r="L46" s="956" t="str">
        <f t="shared" si="13"/>
        <v xml:space="preserve"> </v>
      </c>
      <c r="M46" s="954" t="str">
        <f t="shared" si="14"/>
        <v xml:space="preserve"> </v>
      </c>
      <c r="N46" s="952">
        <f t="shared" ref="N46" si="19">IF(AU280=0,0,AU280)</f>
        <v>0</v>
      </c>
      <c r="O46" s="953">
        <f t="shared" ref="O46" si="20">IF(AU280=0,0,AV280)</f>
        <v>0</v>
      </c>
      <c r="P46" s="497"/>
      <c r="T46" s="1699"/>
      <c r="U46">
        <f>U44+1</f>
        <v>14</v>
      </c>
      <c r="V46" s="767" t="str">
        <f>MODELAGEM!K40</f>
        <v>NÃO</v>
      </c>
      <c r="W46" s="1653" t="s">
        <v>712</v>
      </c>
      <c r="X46" s="1653"/>
      <c r="Y46" s="1656" t="str">
        <f>MODELAGEM!M40</f>
        <v>Tela OU Cristal</v>
      </c>
      <c r="Z46" s="1656"/>
      <c r="AA46" s="778" t="b">
        <f>MODELAGEM!N40</f>
        <v>0</v>
      </c>
      <c r="AB46" s="750">
        <f>IF(V46="NÃO",0,((Z47*MODELAGEM!P40/(MODELAGEM!R40/MODELAGEM!L40))/100))</f>
        <v>0</v>
      </c>
      <c r="AC46" s="779">
        <f t="shared" ref="AC46" si="21">AC44</f>
        <v>2.5</v>
      </c>
      <c r="AD46" s="779"/>
      <c r="AE46" s="769">
        <f>IF(V46="NÃO",0,((Z47/(MODELAGEM!R40))*(AC46*2/100)+AB46)*W47)</f>
        <v>0</v>
      </c>
      <c r="AF46" s="770">
        <f>AE46*AA46</f>
        <v>0</v>
      </c>
      <c r="AG46" s="34"/>
      <c r="AH46" s="34"/>
    </row>
    <row r="47" spans="2:148" ht="15" customHeight="1" x14ac:dyDescent="0.25">
      <c r="B47" s="283"/>
      <c r="C47" s="1303"/>
      <c r="D47" s="1303"/>
      <c r="E47" s="1303"/>
      <c r="F47" s="1553"/>
      <c r="I47" s="498"/>
      <c r="J47" s="148"/>
      <c r="K47" s="148"/>
      <c r="L47" s="148"/>
      <c r="M47" s="148"/>
      <c r="N47" s="515"/>
      <c r="O47" s="148"/>
      <c r="P47" s="497"/>
      <c r="T47" s="1699"/>
      <c r="V47" s="20"/>
      <c r="W47" s="10" t="str">
        <f>IF(V46="SIM","1","0")</f>
        <v>0</v>
      </c>
      <c r="X47" s="10"/>
      <c r="Z47" s="140">
        <f>Z45</f>
        <v>20</v>
      </c>
      <c r="AA47" s="22"/>
      <c r="AB47" s="34"/>
      <c r="AC47" s="186"/>
      <c r="AD47" s="186"/>
      <c r="AE47" s="184"/>
      <c r="AF47" s="184"/>
      <c r="AG47" s="34"/>
      <c r="AH47" s="34"/>
    </row>
    <row r="48" spans="2:148" ht="15" customHeight="1" x14ac:dyDescent="0.25">
      <c r="B48" s="283"/>
      <c r="C48" s="1303"/>
      <c r="D48" s="1303"/>
      <c r="E48" s="1303"/>
      <c r="F48" s="1553"/>
      <c r="I48" s="498"/>
      <c r="J48" s="148"/>
      <c r="K48" s="1764" t="s">
        <v>256</v>
      </c>
      <c r="L48" s="1764"/>
      <c r="M48" s="1764"/>
      <c r="N48" s="509">
        <f>IF(ENFESTO!AU282=0,0,ENFESTO!AU282)</f>
        <v>0</v>
      </c>
      <c r="O48" s="801">
        <f>IF(ENFESTO!AV282=0,0,ENFESTO!AV282)</f>
        <v>0</v>
      </c>
      <c r="P48" s="497"/>
      <c r="T48" s="1699"/>
      <c r="U48">
        <f>U46+1</f>
        <v>15</v>
      </c>
      <c r="V48" s="767" t="str">
        <f>MODELAGEM!K42</f>
        <v>NÃO</v>
      </c>
      <c r="W48" s="1653" t="s">
        <v>712</v>
      </c>
      <c r="X48" s="1653"/>
      <c r="Y48" s="1656" t="str">
        <f>MODELAGEM!M42</f>
        <v>Forro</v>
      </c>
      <c r="Z48" s="1656"/>
      <c r="AA48" s="778">
        <f>MODELAGEM!N42</f>
        <v>19.899999999999999</v>
      </c>
      <c r="AB48" s="750">
        <f>IF(V48="NÃO",0,((Z49*MODELAGEM!P42/(MODELAGEM!R42/MODELAGEM!L42))/100))</f>
        <v>0</v>
      </c>
      <c r="AC48" s="779">
        <f t="shared" ref="AC48" si="22">AC46</f>
        <v>2.5</v>
      </c>
      <c r="AD48" s="779"/>
      <c r="AE48" s="769">
        <f>IF(V48="NÃO",0,((Z49/(MODELAGEM!R42))*(AC48*2/100)+AB48)*W49)</f>
        <v>0</v>
      </c>
      <c r="AF48" s="770">
        <f>AE48*AA48</f>
        <v>0</v>
      </c>
      <c r="AG48" s="34"/>
      <c r="AH48" s="34"/>
    </row>
    <row r="49" spans="2:80" ht="15" customHeight="1" x14ac:dyDescent="0.25">
      <c r="B49" s="283"/>
      <c r="C49" s="1303"/>
      <c r="D49" s="1303"/>
      <c r="E49" s="1303"/>
      <c r="F49" s="1553"/>
      <c r="I49" s="502"/>
      <c r="J49" s="503"/>
      <c r="K49" s="503"/>
      <c r="L49" s="503"/>
      <c r="M49" s="503"/>
      <c r="N49" s="503"/>
      <c r="O49" s="503"/>
      <c r="P49" s="504"/>
      <c r="T49" s="1699"/>
      <c r="V49" s="20"/>
      <c r="W49" s="10" t="str">
        <f>IF(V48="SIM","1","0")</f>
        <v>0</v>
      </c>
      <c r="X49" s="10"/>
      <c r="Z49" s="140">
        <f>Z47</f>
        <v>20</v>
      </c>
      <c r="AA49" s="22"/>
      <c r="AB49" s="34"/>
      <c r="AC49" s="186"/>
      <c r="AD49" s="186"/>
      <c r="AE49" s="184"/>
      <c r="AF49" s="184"/>
      <c r="AG49" s="34"/>
      <c r="AH49" s="34"/>
    </row>
    <row r="50" spans="2:80" ht="15" customHeight="1" x14ac:dyDescent="0.25">
      <c r="B50" s="283"/>
      <c r="C50" s="1616"/>
      <c r="D50" s="1303"/>
      <c r="E50" s="1303"/>
      <c r="F50" s="1553"/>
      <c r="T50" s="1699"/>
      <c r="U50">
        <f>U48+1</f>
        <v>16</v>
      </c>
      <c r="V50" s="767" t="str">
        <f>MODELAGEM!K44</f>
        <v>NÃO</v>
      </c>
      <c r="W50" s="1657" t="s">
        <v>712</v>
      </c>
      <c r="X50" s="1657"/>
      <c r="Y50" s="1655" t="str">
        <f>MODELAGEM!M44</f>
        <v>Forro</v>
      </c>
      <c r="Z50" s="1655"/>
      <c r="AA50" s="780">
        <f>MODELAGEM!N44</f>
        <v>19.899999999999999</v>
      </c>
      <c r="AB50" s="750">
        <f>IF(V50="NÃO",0,((Z51*MODELAGEM!P44/(MODELAGEM!R44/MODELAGEM!L44))/100))</f>
        <v>0</v>
      </c>
      <c r="AC50" s="779">
        <f t="shared" ref="AC50" si="23">AC48</f>
        <v>2.5</v>
      </c>
      <c r="AD50" s="779"/>
      <c r="AE50" s="769">
        <f>IF(V50="NÃO",0,((Z51/(MODELAGEM!R41))*(AC50*2/100)+AB50)*W51)</f>
        <v>0</v>
      </c>
      <c r="AF50" s="770">
        <f>AE50*AA50</f>
        <v>0</v>
      </c>
      <c r="AG50" s="34"/>
      <c r="AH50" s="34"/>
    </row>
    <row r="51" spans="2:80" ht="15" customHeight="1" x14ac:dyDescent="0.25">
      <c r="B51" s="283"/>
      <c r="C51" s="1303"/>
      <c r="D51" s="1303"/>
      <c r="E51" s="1303"/>
      <c r="F51" s="1553"/>
      <c r="T51" s="1699"/>
      <c r="V51" s="20"/>
      <c r="W51" s="10" t="str">
        <f>IF(V50="SIM","1","0")</f>
        <v>0</v>
      </c>
      <c r="X51" s="10"/>
      <c r="Z51" s="140">
        <f>Z49</f>
        <v>20</v>
      </c>
      <c r="AA51" s="22"/>
      <c r="AB51" s="34"/>
      <c r="AC51" s="186"/>
      <c r="AD51" s="186"/>
      <c r="AE51" s="184"/>
      <c r="AF51" s="184"/>
      <c r="AG51" s="34"/>
      <c r="AH51" s="34"/>
    </row>
    <row r="52" spans="2:80" ht="15" customHeight="1" x14ac:dyDescent="0.25">
      <c r="B52" s="283"/>
      <c r="C52" s="1551"/>
      <c r="D52" s="1551"/>
      <c r="E52" s="1551"/>
      <c r="F52" s="1552"/>
      <c r="T52" s="1699"/>
      <c r="U52" s="262"/>
      <c r="V52" s="775"/>
      <c r="W52" s="776"/>
      <c r="X52" s="776"/>
      <c r="Y52" s="776"/>
      <c r="Z52" s="776"/>
      <c r="AA52" s="776"/>
      <c r="AB52" s="776"/>
      <c r="AC52" s="783"/>
      <c r="AD52" s="776"/>
      <c r="AE52" s="776"/>
      <c r="AF52" s="777"/>
      <c r="AG52" s="34"/>
      <c r="AH52" s="34"/>
    </row>
    <row r="53" spans="2:80" ht="15" customHeight="1" x14ac:dyDescent="0.25">
      <c r="B53" s="283"/>
      <c r="C53" s="1303"/>
      <c r="D53" s="1303"/>
      <c r="E53" s="1303"/>
      <c r="F53" s="1553"/>
      <c r="T53" s="1700" t="str">
        <f>MODELAGEM!H47</f>
        <v>MOLDE 5</v>
      </c>
      <c r="U53" s="761">
        <f>U50+1</f>
        <v>17</v>
      </c>
      <c r="V53" s="767" t="str">
        <f>MODELAGEM!K47</f>
        <v>NÃO</v>
      </c>
      <c r="W53" s="1653" t="str">
        <f>MODELAGEM!H48</f>
        <v>NOME</v>
      </c>
      <c r="X53" s="1653"/>
      <c r="Y53" s="1656" t="str">
        <f>MODELAGEM!M47</f>
        <v>Forro</v>
      </c>
      <c r="Z53" s="1656"/>
      <c r="AA53" s="778">
        <f>MODELAGEM!N47</f>
        <v>19.899999999999999</v>
      </c>
      <c r="AB53" s="750">
        <f>IF(V53="NÃO",0,((Z54*MODELAGEM!P47/(MODELAGEM!R47/MODELAGEM!L47))/100))</f>
        <v>0</v>
      </c>
      <c r="AC53" s="779">
        <f t="shared" ref="AC53" si="24">AC50</f>
        <v>2.5</v>
      </c>
      <c r="AD53" s="779"/>
      <c r="AE53" s="769">
        <f>IF(V53="NÃO",0,((Z54/(MODELAGEM!R47))*(AC53*2/100)+AB53)*W54)</f>
        <v>0</v>
      </c>
      <c r="AF53" s="770">
        <f>AE53*AA53</f>
        <v>0</v>
      </c>
      <c r="AG53" s="400">
        <f>IF(V53="SIM",1,IF(V55="SIM",1,IF(V57="SIM",1,0)))</f>
        <v>0</v>
      </c>
      <c r="AH53" s="21"/>
    </row>
    <row r="54" spans="2:80" ht="15" customHeight="1" x14ac:dyDescent="0.25">
      <c r="B54" s="283"/>
      <c r="C54" s="1303"/>
      <c r="D54" s="1303"/>
      <c r="E54" s="1303"/>
      <c r="F54" s="1553"/>
      <c r="T54" s="1700"/>
      <c r="V54" s="20"/>
      <c r="W54" s="10" t="str">
        <f>IF(V53="SIM","1","0")</f>
        <v>0</v>
      </c>
      <c r="X54" s="10"/>
      <c r="Z54" s="140">
        <f>Z49</f>
        <v>20</v>
      </c>
      <c r="AA54" s="22"/>
      <c r="AB54" s="34"/>
      <c r="AC54" s="186"/>
      <c r="AD54" s="186"/>
      <c r="AF54" s="184"/>
      <c r="AG54" s="34"/>
      <c r="AH54" s="34"/>
    </row>
    <row r="55" spans="2:80" ht="15" customHeight="1" x14ac:dyDescent="0.25">
      <c r="B55" s="428"/>
      <c r="C55" s="1303"/>
      <c r="D55" s="1303"/>
      <c r="E55" s="1303"/>
      <c r="F55" s="1553"/>
      <c r="T55" s="1700"/>
      <c r="U55">
        <f>U53+1</f>
        <v>18</v>
      </c>
      <c r="V55" s="767" t="str">
        <f>MODELAGEM!K49</f>
        <v>NÃO</v>
      </c>
      <c r="W55" s="1653" t="s">
        <v>712</v>
      </c>
      <c r="X55" s="1653"/>
      <c r="Y55" s="1656" t="str">
        <f>MODELAGEM!M49</f>
        <v>Forro</v>
      </c>
      <c r="Z55" s="1656"/>
      <c r="AA55" s="778">
        <f>MODELAGEM!N49</f>
        <v>19.899999999999999</v>
      </c>
      <c r="AB55" s="750">
        <f>IF(V55="NÃO",0,((Z56*MODELAGEM!P49/(MODELAGEM!R49/MODELAGEM!L49))/100))</f>
        <v>0</v>
      </c>
      <c r="AC55" s="779">
        <f t="shared" ref="AC55:AC109" si="25">AC53</f>
        <v>2.5</v>
      </c>
      <c r="AD55" s="779"/>
      <c r="AE55" s="769">
        <f>IF(V55="NÃO",0,((Z56/(MODELAGEM!R49))*(AC55*2/100)+AB55)*W56)</f>
        <v>0</v>
      </c>
      <c r="AF55" s="770">
        <f>AE55*AA55</f>
        <v>0</v>
      </c>
      <c r="AG55" s="34"/>
    </row>
    <row r="56" spans="2:80" ht="15" customHeight="1" x14ac:dyDescent="0.25">
      <c r="B56" s="283"/>
      <c r="C56" s="1303"/>
      <c r="D56" s="1303"/>
      <c r="E56" s="1303"/>
      <c r="F56" s="1553"/>
      <c r="T56" s="1700"/>
      <c r="V56" s="20"/>
      <c r="W56" s="10" t="str">
        <f>IF(V55="SIM","1","0")</f>
        <v>0</v>
      </c>
      <c r="X56" s="10"/>
      <c r="Z56" s="140">
        <f>Z54</f>
        <v>20</v>
      </c>
      <c r="AA56" s="22"/>
      <c r="AB56" s="34"/>
      <c r="AC56" s="186"/>
      <c r="AD56" s="186"/>
      <c r="AF56" s="141"/>
    </row>
    <row r="57" spans="2:80" ht="15" customHeight="1" x14ac:dyDescent="0.25">
      <c r="B57" s="283"/>
      <c r="C57" s="1303"/>
      <c r="D57" s="1303"/>
      <c r="E57" s="1303"/>
      <c r="F57" s="1553"/>
      <c r="T57" s="1700"/>
      <c r="U57">
        <f>U55+1</f>
        <v>19</v>
      </c>
      <c r="V57" s="767" t="str">
        <f>MODELAGEM!K51</f>
        <v>NÃO</v>
      </c>
      <c r="W57" s="1653" t="s">
        <v>712</v>
      </c>
      <c r="X57" s="1653"/>
      <c r="Y57" s="1656" t="str">
        <f>MODELAGEM!M51</f>
        <v>Tec. Externo</v>
      </c>
      <c r="Z57" s="1656"/>
      <c r="AA57" s="778">
        <f>MODELAGEM!N51</f>
        <v>49.9</v>
      </c>
      <c r="AB57" s="750">
        <f>IF(V57="NÃO",0,((Z58*MODELAGEM!P51/(MODELAGEM!R51/MODELAGEM!L51))/100))</f>
        <v>0</v>
      </c>
      <c r="AC57" s="779">
        <f t="shared" ref="AC57:AC111" si="26">AC55</f>
        <v>2.5</v>
      </c>
      <c r="AD57" s="779"/>
      <c r="AE57" s="769">
        <f>IF(V57="NÃO",0,((Z58/(MODELAGEM!R51))*(AC57*2/100)+AB57)*W58)</f>
        <v>0</v>
      </c>
      <c r="AF57" s="770">
        <f>AE57*AA57</f>
        <v>0</v>
      </c>
    </row>
    <row r="58" spans="2:80" ht="15" customHeight="1" x14ac:dyDescent="0.25">
      <c r="B58" s="283"/>
      <c r="C58" s="1303"/>
      <c r="D58" s="1303"/>
      <c r="E58" s="1303"/>
      <c r="F58" s="1553"/>
      <c r="T58" s="1700"/>
      <c r="V58" s="20"/>
      <c r="W58" s="10" t="str">
        <f>IF(V57="SIM","1","0")</f>
        <v>0</v>
      </c>
      <c r="X58" s="10"/>
      <c r="Z58" s="140">
        <f>Z56</f>
        <v>20</v>
      </c>
      <c r="AA58" s="22"/>
      <c r="AB58" s="34"/>
      <c r="AC58" s="186"/>
      <c r="AD58" s="186"/>
      <c r="AF58" s="184"/>
    </row>
    <row r="59" spans="2:80" ht="15" customHeight="1" x14ac:dyDescent="0.25">
      <c r="B59" s="283"/>
      <c r="C59" s="1303"/>
      <c r="D59" s="1303"/>
      <c r="E59" s="1303"/>
      <c r="F59" s="1553"/>
      <c r="T59" s="1700"/>
      <c r="U59">
        <f>U57+1</f>
        <v>20</v>
      </c>
      <c r="V59" s="767" t="str">
        <f>MODELAGEM!K53</f>
        <v>NÃO</v>
      </c>
      <c r="W59" s="1657" t="s">
        <v>712</v>
      </c>
      <c r="X59" s="1657"/>
      <c r="Y59" s="1655" t="str">
        <f>MODELAGEM!M53</f>
        <v>Forro</v>
      </c>
      <c r="Z59" s="1655"/>
      <c r="AA59" s="780">
        <f>MODELAGEM!N53</f>
        <v>19.899999999999999</v>
      </c>
      <c r="AB59" s="750">
        <f>IF(V59="NÃO",0,((Z60*MODELAGEM!P53/(MODELAGEM!R53/MODELAGEM!L53))/100))</f>
        <v>0</v>
      </c>
      <c r="AC59" s="779">
        <f t="shared" ref="AC59:AC113" si="27">AC57</f>
        <v>2.5</v>
      </c>
      <c r="AD59" s="779"/>
      <c r="AE59" s="769">
        <f>IF(V59="NÃO",0,((Z60/(MODELAGEM!R49))*(AC59*2/100)+AB59)*W60)</f>
        <v>0</v>
      </c>
      <c r="AF59" s="770">
        <f>AE59*AA59</f>
        <v>0</v>
      </c>
    </row>
    <row r="60" spans="2:80" ht="15" customHeight="1" x14ac:dyDescent="0.25">
      <c r="B60" s="284"/>
      <c r="C60" s="1629"/>
      <c r="D60" s="1629"/>
      <c r="E60" s="1629"/>
      <c r="F60" s="1630"/>
      <c r="T60" s="1700"/>
      <c r="V60" s="20"/>
      <c r="W60" s="10" t="str">
        <f>IF(V59="SIM","1","0")</f>
        <v>0</v>
      </c>
      <c r="X60" s="10"/>
      <c r="Z60" s="140">
        <f>Z58</f>
        <v>20</v>
      </c>
      <c r="AA60" s="22"/>
      <c r="AB60" s="34"/>
      <c r="AC60" s="186"/>
      <c r="AD60" s="186"/>
      <c r="AE60" s="184"/>
      <c r="AF60" s="184"/>
    </row>
    <row r="61" spans="2:80" ht="15" customHeight="1" x14ac:dyDescent="0.25">
      <c r="T61" s="1700"/>
      <c r="U61" s="262"/>
      <c r="V61" s="775"/>
      <c r="W61" s="776"/>
      <c r="X61" s="776"/>
      <c r="Y61" s="776"/>
      <c r="Z61" s="776"/>
      <c r="AA61" s="776"/>
      <c r="AB61" s="776"/>
      <c r="AC61" s="783"/>
      <c r="AD61" s="776"/>
      <c r="AE61" s="776"/>
      <c r="AF61" s="777"/>
    </row>
    <row r="62" spans="2:80" ht="15" customHeight="1" x14ac:dyDescent="0.25">
      <c r="T62" s="1699" t="str">
        <f>MODELAGEM!H56</f>
        <v>MOLDE 6</v>
      </c>
      <c r="U62" s="761">
        <f>U59+1</f>
        <v>21</v>
      </c>
      <c r="V62" s="767" t="str">
        <f>MODELAGEM!K56</f>
        <v>NÃO</v>
      </c>
      <c r="W62" s="1653" t="str">
        <f>MODELAGEM!H57</f>
        <v>NOME</v>
      </c>
      <c r="X62" s="1653"/>
      <c r="Y62" s="1656" t="str">
        <f>MODELAGEM!M56</f>
        <v>Forro</v>
      </c>
      <c r="Z62" s="1656"/>
      <c r="AA62" s="778">
        <f>MODELAGEM!N56</f>
        <v>19.899999999999999</v>
      </c>
      <c r="AB62" s="750">
        <f>IF(V62="NÃO",0,((Z63*MODELAGEM!P56/(MODELAGEM!R56/MODELAGEM!L56))/100))</f>
        <v>0</v>
      </c>
      <c r="AC62" s="796">
        <f t="shared" ref="AC62" si="28">AC59</f>
        <v>2.5</v>
      </c>
      <c r="AD62" s="779"/>
      <c r="AE62" s="769">
        <f>IF(V62="NÃO",0,((Z63/(MODELAGEM!R56))*(AC62*2/100)+AB62)*W63)</f>
        <v>0</v>
      </c>
      <c r="AF62" s="770">
        <f>AE62*AA62</f>
        <v>0</v>
      </c>
      <c r="AG62" s="400">
        <f>IF(V62="SIM",1,IF(V64="SIM",1,IF(V66="SIM",1,0)))</f>
        <v>0</v>
      </c>
    </row>
    <row r="63" spans="2:80" ht="15" customHeight="1" x14ac:dyDescent="0.25">
      <c r="T63" s="1699"/>
      <c r="V63" s="20"/>
      <c r="W63" s="10" t="str">
        <f>IF(V62="SIM","1","0")</f>
        <v>0</v>
      </c>
      <c r="X63" s="10"/>
      <c r="Z63" s="140">
        <f>Z58</f>
        <v>20</v>
      </c>
      <c r="AA63" s="22"/>
      <c r="AB63" s="34"/>
      <c r="AC63" s="186"/>
      <c r="AD63" s="186"/>
      <c r="AF63" s="184"/>
    </row>
    <row r="64" spans="2:80" ht="15" customHeight="1" x14ac:dyDescent="0.25">
      <c r="T64" s="1699"/>
      <c r="U64">
        <f>U62+1</f>
        <v>22</v>
      </c>
      <c r="V64" s="767" t="str">
        <f>MODELAGEM!K58</f>
        <v>NÃO</v>
      </c>
      <c r="W64" s="1653" t="s">
        <v>712</v>
      </c>
      <c r="X64" s="1653"/>
      <c r="Y64" s="1656" t="str">
        <f>MODELAGEM!M58</f>
        <v>Entretela</v>
      </c>
      <c r="Z64" s="1656"/>
      <c r="AA64" s="778">
        <f>MODELAGEM!N58</f>
        <v>16</v>
      </c>
      <c r="AB64" s="750">
        <f>IF(V64="NÃO",0,((Z65*MODELAGEM!P58/(MODELAGEM!R58/MODELAGEM!L58))/100))</f>
        <v>0</v>
      </c>
      <c r="AC64" s="779">
        <f t="shared" ref="AC64" si="29">AC62</f>
        <v>2.5</v>
      </c>
      <c r="AD64" s="779"/>
      <c r="AE64" s="769">
        <f>IF(V64="NÃO",0,((Z65/(MODELAGEM!R58))*(AC64*2/100)+AB64)*W65)</f>
        <v>0</v>
      </c>
      <c r="AF64" s="770">
        <f>AE64*AA64</f>
        <v>0</v>
      </c>
      <c r="AR64" s="49"/>
      <c r="CB64" s="49"/>
    </row>
    <row r="65" spans="20:80" ht="15" customHeight="1" x14ac:dyDescent="0.25">
      <c r="T65" s="1699"/>
      <c r="V65" s="20"/>
      <c r="W65" s="10" t="str">
        <f>IF(V64="SIM","1","0")</f>
        <v>0</v>
      </c>
      <c r="X65" s="10"/>
      <c r="Z65" s="140">
        <f>Z63</f>
        <v>20</v>
      </c>
      <c r="AA65" s="22"/>
      <c r="AB65" s="34"/>
      <c r="AC65" s="186"/>
      <c r="AD65" s="186"/>
      <c r="AF65" s="184"/>
      <c r="AR65" s="49"/>
      <c r="CB65" s="49"/>
    </row>
    <row r="66" spans="20:80" ht="15" customHeight="1" x14ac:dyDescent="0.25">
      <c r="T66" s="1699"/>
      <c r="U66">
        <f>U64+1</f>
        <v>23</v>
      </c>
      <c r="V66" s="767" t="str">
        <f>MODELAGEM!K60</f>
        <v>NÃO</v>
      </c>
      <c r="W66" s="1653" t="s">
        <v>712</v>
      </c>
      <c r="X66" s="1653"/>
      <c r="Y66" s="1656" t="str">
        <f>MODELAGEM!M60</f>
        <v>Forro</v>
      </c>
      <c r="Z66" s="1656"/>
      <c r="AA66" s="778">
        <f>MODELAGEM!N60</f>
        <v>19.899999999999999</v>
      </c>
      <c r="AB66" s="750">
        <f>IF(V66="NÃO",0,((Z67*MODELAGEM!P60/(MODELAGEM!R60/MODELAGEM!L60))/100))</f>
        <v>0</v>
      </c>
      <c r="AC66" s="779">
        <f t="shared" ref="AC66" si="30">AC64</f>
        <v>2.5</v>
      </c>
      <c r="AD66" s="779"/>
      <c r="AE66" s="769">
        <f>IF(V66="NÃO",0,((Z67/(MODELAGEM!R60))*(AC66*2/100)+AB66)*W67)</f>
        <v>0</v>
      </c>
      <c r="AF66" s="770">
        <f>AE66*AA66</f>
        <v>0</v>
      </c>
      <c r="AR66" s="49"/>
      <c r="CB66" s="49"/>
    </row>
    <row r="67" spans="20:80" ht="15" customHeight="1" x14ac:dyDescent="0.25">
      <c r="T67" s="1699"/>
      <c r="V67" s="20"/>
      <c r="W67" s="10" t="str">
        <f>IF(V66="SIM","1","0")</f>
        <v>0</v>
      </c>
      <c r="X67" s="10"/>
      <c r="Z67" s="140">
        <f>Z65</f>
        <v>20</v>
      </c>
      <c r="AA67" s="22"/>
      <c r="AB67" s="34"/>
      <c r="AC67" s="186"/>
      <c r="AD67" s="186"/>
      <c r="AF67" s="184"/>
      <c r="AR67" s="49"/>
      <c r="CB67" s="49"/>
    </row>
    <row r="68" spans="20:80" ht="15" customHeight="1" x14ac:dyDescent="0.25">
      <c r="T68" s="1699"/>
      <c r="U68">
        <f>U66+1</f>
        <v>24</v>
      </c>
      <c r="V68" s="767" t="str">
        <f>MODELAGEM!K62</f>
        <v>NÃO</v>
      </c>
      <c r="W68" s="1657" t="s">
        <v>712</v>
      </c>
      <c r="X68" s="1657"/>
      <c r="Y68" s="1655" t="str">
        <f>MODELAGEM!M62</f>
        <v>Forro</v>
      </c>
      <c r="Z68" s="1655"/>
      <c r="AA68" s="780">
        <f>MODELAGEM!N62</f>
        <v>19.899999999999999</v>
      </c>
      <c r="AB68" s="750">
        <f>IF(V68="NÃO",0,((Z69*MODELAGEM!P62/(MODELAGEM!R62/MODELAGEM!L62))/100))</f>
        <v>0</v>
      </c>
      <c r="AC68" s="779">
        <f t="shared" ref="AC68" si="31">AC66</f>
        <v>2.5</v>
      </c>
      <c r="AD68" s="779"/>
      <c r="AE68" s="769">
        <f>IF(V68="NÃO",0,((Z69/(MODELAGEM!R57))*(AC68*2/100)+AB68)*W69)</f>
        <v>0</v>
      </c>
      <c r="AF68" s="770">
        <f>AE68*AA68</f>
        <v>0</v>
      </c>
      <c r="AR68" s="49"/>
      <c r="CB68" s="49"/>
    </row>
    <row r="69" spans="20:80" ht="15" customHeight="1" x14ac:dyDescent="0.25">
      <c r="T69" s="1699"/>
      <c r="V69" s="20"/>
      <c r="W69" s="10" t="str">
        <f>IF(V68="SIM","1","0")</f>
        <v>0</v>
      </c>
      <c r="X69" s="10"/>
      <c r="Z69" s="140">
        <f>Z67</f>
        <v>20</v>
      </c>
      <c r="AA69" s="22"/>
      <c r="AB69" s="34"/>
      <c r="AC69" s="186"/>
      <c r="AD69" s="186"/>
      <c r="AE69" s="184"/>
      <c r="AF69" s="184"/>
      <c r="AR69" s="49"/>
      <c r="CB69" s="49"/>
    </row>
    <row r="70" spans="20:80" ht="15" customHeight="1" x14ac:dyDescent="0.25">
      <c r="T70" s="1699"/>
      <c r="U70" s="262"/>
      <c r="V70" s="782"/>
      <c r="W70" s="783"/>
      <c r="X70" s="783"/>
      <c r="Y70" s="783"/>
      <c r="Z70" s="783"/>
      <c r="AA70" s="783"/>
      <c r="AB70" s="783"/>
      <c r="AC70" s="783"/>
      <c r="AD70" s="783"/>
      <c r="AE70" s="783"/>
      <c r="AF70" s="784"/>
      <c r="AR70" s="49"/>
      <c r="CB70" s="49"/>
    </row>
    <row r="71" spans="20:80" ht="15" customHeight="1" x14ac:dyDescent="0.25">
      <c r="T71" s="1700" t="str">
        <f>MODELAGEM!H65</f>
        <v>MOLDE 7</v>
      </c>
      <c r="U71" s="761">
        <f>U68+1</f>
        <v>25</v>
      </c>
      <c r="V71" s="767" t="str">
        <f>MODELAGEM!K65</f>
        <v>NÃO</v>
      </c>
      <c r="W71" s="1653" t="str">
        <f>MODELAGEM!H66</f>
        <v>NOME</v>
      </c>
      <c r="X71" s="1653"/>
      <c r="Y71" s="1656" t="str">
        <f>MODELAGEM!M65</f>
        <v>Forro</v>
      </c>
      <c r="Z71" s="1656"/>
      <c r="AA71" s="778">
        <f>MODELAGEM!N65</f>
        <v>19.899999999999999</v>
      </c>
      <c r="AB71" s="750">
        <f>IF(V71="NÃO",0,((Z72*MODELAGEM!P65/(MODELAGEM!R65/MODELAGEM!L65))/100))</f>
        <v>0</v>
      </c>
      <c r="AC71" s="779">
        <f t="shared" ref="AC71" si="32">AC68</f>
        <v>2.5</v>
      </c>
      <c r="AD71" s="779"/>
      <c r="AE71" s="769">
        <f>IF(V71="NÃO",0,((Z72/(MODELAGEM!R65))*(AC71*2/100)+AB71)*W72)</f>
        <v>0</v>
      </c>
      <c r="AF71" s="770">
        <f>AE71*AA71</f>
        <v>0</v>
      </c>
      <c r="AG71" s="400">
        <f>IF(V71="SIM",1,IF(V73="SIM",1,IF(V75="SIM",1,0)))</f>
        <v>0</v>
      </c>
      <c r="AR71" s="49"/>
      <c r="CB71" s="49"/>
    </row>
    <row r="72" spans="20:80" ht="15" customHeight="1" x14ac:dyDescent="0.25">
      <c r="T72" s="1700"/>
      <c r="V72" s="20"/>
      <c r="W72" s="10" t="str">
        <f>IF(V71="SIM","1","0")</f>
        <v>0</v>
      </c>
      <c r="X72" s="10"/>
      <c r="Z72" s="140">
        <f>Z67</f>
        <v>20</v>
      </c>
      <c r="AA72" s="22"/>
      <c r="AB72" s="34"/>
      <c r="AC72" s="186"/>
      <c r="AD72" s="186"/>
      <c r="AF72" s="184"/>
      <c r="AR72" s="49"/>
      <c r="CB72" s="49"/>
    </row>
    <row r="73" spans="20:80" ht="15" customHeight="1" x14ac:dyDescent="0.25">
      <c r="T73" s="1700"/>
      <c r="U73">
        <f>U71+1</f>
        <v>26</v>
      </c>
      <c r="V73" s="767" t="str">
        <f>MODELAGEM!K67</f>
        <v>NÃO</v>
      </c>
      <c r="W73" s="1653" t="s">
        <v>712</v>
      </c>
      <c r="X73" s="1653"/>
      <c r="Y73" s="1656" t="str">
        <f>MODELAGEM!M67</f>
        <v>Tec. Externo</v>
      </c>
      <c r="Z73" s="1656"/>
      <c r="AA73" s="778">
        <f>MODELAGEM!N67</f>
        <v>49.9</v>
      </c>
      <c r="AB73" s="750">
        <f>IF(V73="NÃO",0,((Z74*MODELAGEM!P67/(MODELAGEM!R67/MODELAGEM!L67))/100))</f>
        <v>0</v>
      </c>
      <c r="AC73" s="779">
        <f t="shared" si="25"/>
        <v>2.5</v>
      </c>
      <c r="AD73" s="779"/>
      <c r="AE73" s="769">
        <f>IF(V73="NÃO",0,((Z74/(MODELAGEM!R67))*(AC73*2/100)+AB73)*W74)</f>
        <v>0</v>
      </c>
      <c r="AF73" s="770">
        <f>AE73*AA73</f>
        <v>0</v>
      </c>
      <c r="AR73" s="49"/>
      <c r="CB73" s="49"/>
    </row>
    <row r="74" spans="20:80" ht="15" customHeight="1" x14ac:dyDescent="0.25">
      <c r="T74" s="1700"/>
      <c r="V74" s="20"/>
      <c r="W74" s="10" t="str">
        <f>IF(V73="SIM","1","0")</f>
        <v>0</v>
      </c>
      <c r="X74" s="10"/>
      <c r="Z74" s="140">
        <f>Z72</f>
        <v>20</v>
      </c>
      <c r="AA74" s="22"/>
      <c r="AB74" s="34"/>
      <c r="AC74" s="186"/>
      <c r="AF74" s="184"/>
      <c r="AR74" s="49"/>
      <c r="CB74" s="49"/>
    </row>
    <row r="75" spans="20:80" ht="15" customHeight="1" x14ac:dyDescent="0.25">
      <c r="T75" s="1700"/>
      <c r="U75">
        <f>U73+1</f>
        <v>27</v>
      </c>
      <c r="V75" s="767" t="str">
        <f>MODELAGEM!K69</f>
        <v>NÃO</v>
      </c>
      <c r="W75" s="1653" t="s">
        <v>712</v>
      </c>
      <c r="X75" s="1653"/>
      <c r="Y75" s="1656" t="str">
        <f>MODELAGEM!M69</f>
        <v>Entretela</v>
      </c>
      <c r="Z75" s="1656"/>
      <c r="AA75" s="778">
        <f>MODELAGEM!N69</f>
        <v>16</v>
      </c>
      <c r="AB75" s="750">
        <f>IF(V75="NÃO",0,((Z76*MODELAGEM!P69/(MODELAGEM!R69/MODELAGEM!L69))/100))</f>
        <v>0</v>
      </c>
      <c r="AC75" s="779">
        <f t="shared" si="26"/>
        <v>2.5</v>
      </c>
      <c r="AD75" s="779"/>
      <c r="AE75" s="769">
        <f>IF(V75="NÃO",0,((Z76/(MODELAGEM!R69))*(AC75*2/100)+AB75)*W76)</f>
        <v>0</v>
      </c>
      <c r="AF75" s="770">
        <f>AE75*AA75</f>
        <v>0</v>
      </c>
    </row>
    <row r="76" spans="20:80" ht="15" customHeight="1" x14ac:dyDescent="0.25">
      <c r="T76" s="1700"/>
      <c r="V76" s="20"/>
      <c r="W76" s="10" t="str">
        <f>IF(V75="SIM","1","0")</f>
        <v>0</v>
      </c>
      <c r="X76" s="10"/>
      <c r="Z76" s="140">
        <f>Z74</f>
        <v>20</v>
      </c>
      <c r="AA76" s="22"/>
      <c r="AB76" s="34"/>
      <c r="AC76" s="186"/>
      <c r="AD76" s="186"/>
      <c r="AF76" s="184"/>
    </row>
    <row r="77" spans="20:80" ht="15" customHeight="1" x14ac:dyDescent="0.25">
      <c r="T77" s="1700"/>
      <c r="U77">
        <f>U75+1</f>
        <v>28</v>
      </c>
      <c r="V77" s="767" t="str">
        <f>MODELAGEM!K71</f>
        <v>NÃO</v>
      </c>
      <c r="W77" s="1657" t="s">
        <v>712</v>
      </c>
      <c r="X77" s="1657"/>
      <c r="Y77" s="1655" t="str">
        <f>MODELAGEM!M71</f>
        <v>Forro</v>
      </c>
      <c r="Z77" s="1655"/>
      <c r="AA77" s="780">
        <f>MODELAGEM!N71</f>
        <v>19.899999999999999</v>
      </c>
      <c r="AB77" s="750">
        <f>IF(V77="NÃO",0,((Z78*MODELAGEM!P71/(MODELAGEM!R71/MODELAGEM!L71))/100))</f>
        <v>0</v>
      </c>
      <c r="AC77" s="779">
        <f t="shared" si="27"/>
        <v>2.5</v>
      </c>
      <c r="AD77" s="779"/>
      <c r="AE77" s="769">
        <f>IF(V77="NÃO",0,((Z78/(MODELAGEM!R65))*(AC77*2/100)+AB77)*W78)</f>
        <v>0</v>
      </c>
      <c r="AF77" s="770">
        <f>AE77*AA77</f>
        <v>0</v>
      </c>
    </row>
    <row r="78" spans="20:80" ht="15" customHeight="1" x14ac:dyDescent="0.25">
      <c r="T78" s="1700"/>
      <c r="V78" s="20"/>
      <c r="W78" s="10" t="str">
        <f>IF(V77="SIM","1","0")</f>
        <v>0</v>
      </c>
      <c r="X78" s="10"/>
      <c r="Z78" s="140">
        <f>Z76</f>
        <v>20</v>
      </c>
      <c r="AA78" s="22"/>
      <c r="AB78" s="34"/>
      <c r="AC78" s="186"/>
      <c r="AD78" s="186"/>
      <c r="AE78" s="184"/>
      <c r="AF78" s="184"/>
    </row>
    <row r="79" spans="20:80" ht="15" customHeight="1" x14ac:dyDescent="0.25">
      <c r="T79" s="1700"/>
      <c r="U79" s="262"/>
      <c r="V79" s="775"/>
      <c r="W79" s="776"/>
      <c r="X79" s="776"/>
      <c r="Y79" s="776"/>
      <c r="Z79" s="776"/>
      <c r="AA79" s="776"/>
      <c r="AB79" s="776"/>
      <c r="AC79" s="783"/>
      <c r="AD79" s="776"/>
      <c r="AE79" s="776"/>
      <c r="AF79" s="777"/>
    </row>
    <row r="80" spans="20:80" ht="15" customHeight="1" x14ac:dyDescent="0.25">
      <c r="T80" s="1699" t="str">
        <f>MODELAGEM!H74</f>
        <v>MOLDE 8</v>
      </c>
      <c r="U80" s="761">
        <f>U77+1</f>
        <v>29</v>
      </c>
      <c r="V80" s="767" t="str">
        <f>MODELAGEM!K74</f>
        <v>NÃO</v>
      </c>
      <c r="W80" s="1653" t="str">
        <f>MODELAGEM!H75</f>
        <v>NOME</v>
      </c>
      <c r="X80" s="1653"/>
      <c r="Y80" s="1656" t="str">
        <f>MODELAGEM!M74</f>
        <v>Tec. Externo</v>
      </c>
      <c r="Z80" s="1656"/>
      <c r="AA80" s="778">
        <f>MODELAGEM!N74</f>
        <v>49.9</v>
      </c>
      <c r="AB80" s="750">
        <f>IF(V80="NÃO",0,((Z81*MODELAGEM!P74/(MODELAGEM!R74/MODELAGEM!L74))/100))</f>
        <v>0</v>
      </c>
      <c r="AC80" s="796">
        <f t="shared" ref="AC80" si="33">AC77</f>
        <v>2.5</v>
      </c>
      <c r="AD80" s="779"/>
      <c r="AE80" s="785">
        <f>IF(V80="NÃO",0,((Z81/(MODELAGEM!R74))*(AC80*2/100)+AB80)*W81)</f>
        <v>0</v>
      </c>
      <c r="AF80" s="770">
        <f>AE80*AA80</f>
        <v>0</v>
      </c>
      <c r="AG80" s="400">
        <f>IF(V80="SIM",1,IF(V82="SIM",1,IF(V84="SIM",1,0)))</f>
        <v>0</v>
      </c>
    </row>
    <row r="81" spans="20:33" ht="15" customHeight="1" x14ac:dyDescent="0.25">
      <c r="T81" s="1699"/>
      <c r="V81" s="20"/>
      <c r="W81" s="10" t="str">
        <f>IF(V80="SIM","1","0")</f>
        <v>0</v>
      </c>
      <c r="X81" s="10"/>
      <c r="Z81" s="140">
        <f>Z76</f>
        <v>20</v>
      </c>
      <c r="AA81" s="22"/>
      <c r="AB81" s="34"/>
      <c r="AC81" s="186"/>
      <c r="AF81" s="184"/>
    </row>
    <row r="82" spans="20:33" ht="15" customHeight="1" x14ac:dyDescent="0.25">
      <c r="T82" s="1699"/>
      <c r="U82">
        <f>U80+1</f>
        <v>30</v>
      </c>
      <c r="V82" s="767" t="str">
        <f>MODELAGEM!K76</f>
        <v>NÃO</v>
      </c>
      <c r="W82" s="1653" t="s">
        <v>712</v>
      </c>
      <c r="X82" s="1653"/>
      <c r="Y82" s="1656" t="str">
        <f>MODELAGEM!M76</f>
        <v>Entretela</v>
      </c>
      <c r="Z82" s="1656"/>
      <c r="AA82" s="778">
        <f>MODELAGEM!N76</f>
        <v>16</v>
      </c>
      <c r="AB82" s="750">
        <f>IF(V82="NÃO",0,((Z83*MODELAGEM!P76/(MODELAGEM!R76/MODELAGEM!L76))/100))</f>
        <v>0</v>
      </c>
      <c r="AC82" s="779">
        <f t="shared" ref="AC82" si="34">AC80</f>
        <v>2.5</v>
      </c>
      <c r="AD82" s="779"/>
      <c r="AE82" s="769">
        <f>IF(V82="NÃO",0,((Z83/(MODELAGEM!R76))*(AC82*2/100)+AB82)*W83)</f>
        <v>0</v>
      </c>
      <c r="AF82" s="770">
        <f>AE82*AA82</f>
        <v>0</v>
      </c>
    </row>
    <row r="83" spans="20:33" ht="15" customHeight="1" x14ac:dyDescent="0.25">
      <c r="T83" s="1699"/>
      <c r="V83" s="20"/>
      <c r="W83" s="10" t="str">
        <f t="shared" ref="W83" si="35">IF(V82="SIM","1","0")</f>
        <v>0</v>
      </c>
      <c r="X83" s="10"/>
      <c r="Z83" s="140">
        <f>Z81</f>
        <v>20</v>
      </c>
      <c r="AA83" s="22"/>
      <c r="AB83" s="34"/>
      <c r="AC83" s="186"/>
      <c r="AD83" s="186"/>
      <c r="AF83" s="184"/>
    </row>
    <row r="84" spans="20:33" ht="15" customHeight="1" x14ac:dyDescent="0.25">
      <c r="T84" s="1699"/>
      <c r="U84">
        <f>U82+1</f>
        <v>31</v>
      </c>
      <c r="V84" s="767" t="str">
        <f>MODELAGEM!K78</f>
        <v>NÃO</v>
      </c>
      <c r="W84" s="1653" t="s">
        <v>712</v>
      </c>
      <c r="X84" s="1653"/>
      <c r="Y84" s="1656" t="str">
        <f>MODELAGEM!M78</f>
        <v>Tec. Externo</v>
      </c>
      <c r="Z84" s="1656"/>
      <c r="AA84" s="778">
        <f>MODELAGEM!N78</f>
        <v>49.9</v>
      </c>
      <c r="AB84" s="750">
        <f>IF(V84="NÃO",0,((Z85*MODELAGEM!P78/(MODELAGEM!R78/MODELAGEM!L78))/100))</f>
        <v>0</v>
      </c>
      <c r="AC84" s="779">
        <f t="shared" ref="AC84" si="36">AC82</f>
        <v>2.5</v>
      </c>
      <c r="AD84" s="779"/>
      <c r="AE84" s="769">
        <f>IF(V84="NÃO",0,((Z85/(MODELAGEM!R78))*(AC84*2/100)+AB84)*W85)</f>
        <v>0</v>
      </c>
      <c r="AF84" s="770">
        <f>AE84*AA84</f>
        <v>0</v>
      </c>
    </row>
    <row r="85" spans="20:33" ht="15" customHeight="1" x14ac:dyDescent="0.25">
      <c r="T85" s="1699"/>
      <c r="V85" s="20"/>
      <c r="W85" s="10" t="str">
        <f t="shared" ref="W85" si="37">IF(V84="SIM","1","0")</f>
        <v>0</v>
      </c>
      <c r="X85" s="10"/>
      <c r="Z85" s="140">
        <f>Z83</f>
        <v>20</v>
      </c>
      <c r="AA85" s="22"/>
      <c r="AB85" s="34"/>
      <c r="AC85" s="186"/>
      <c r="AF85" s="184"/>
    </row>
    <row r="86" spans="20:33" ht="15" customHeight="1" x14ac:dyDescent="0.25">
      <c r="T86" s="1699"/>
      <c r="U86">
        <f>U84+1</f>
        <v>32</v>
      </c>
      <c r="V86" s="767" t="str">
        <f>MODELAGEM!K80</f>
        <v>NÃO</v>
      </c>
      <c r="W86" s="1657" t="s">
        <v>712</v>
      </c>
      <c r="X86" s="1657"/>
      <c r="Y86" s="1655" t="str">
        <f>MODELAGEM!M80</f>
        <v>Forro</v>
      </c>
      <c r="Z86" s="1655"/>
      <c r="AA86" s="780">
        <f>MODELAGEM!N80</f>
        <v>19.899999999999999</v>
      </c>
      <c r="AB86" s="750">
        <f>IF(V86="NÃO",0,((Z87*MODELAGEM!P80/(MODELAGEM!R80/MODELAGEM!L80))/100))</f>
        <v>0</v>
      </c>
      <c r="AC86" s="779">
        <f t="shared" ref="AC86" si="38">AC84</f>
        <v>2.5</v>
      </c>
      <c r="AD86" s="779"/>
      <c r="AE86" s="769">
        <f>IF(V86="NÃO",0,((Z87/(MODELAGEM!R80))*(AC86*2/100)+AB86)*W87)</f>
        <v>0</v>
      </c>
      <c r="AF86" s="770">
        <f>AE86*AA86</f>
        <v>0</v>
      </c>
    </row>
    <row r="87" spans="20:33" ht="15" customHeight="1" x14ac:dyDescent="0.25">
      <c r="T87" s="1699"/>
      <c r="V87" s="20"/>
      <c r="W87" s="10" t="str">
        <f>IF(V86="SIM","1","0")</f>
        <v>0</v>
      </c>
      <c r="X87" s="10"/>
      <c r="Z87" s="140">
        <f>Z85</f>
        <v>20</v>
      </c>
      <c r="AA87" s="22"/>
      <c r="AB87" s="34"/>
      <c r="AC87" s="186"/>
      <c r="AD87" s="186"/>
      <c r="AE87" s="184"/>
      <c r="AF87" s="184"/>
    </row>
    <row r="88" spans="20:33" ht="15" customHeight="1" x14ac:dyDescent="0.25">
      <c r="T88" s="1699"/>
      <c r="U88" s="262"/>
      <c r="V88" s="764"/>
      <c r="W88" s="765"/>
      <c r="X88" s="765"/>
      <c r="Y88" s="765"/>
      <c r="Z88" s="765"/>
      <c r="AA88" s="765"/>
      <c r="AB88" s="765"/>
      <c r="AC88" s="783"/>
      <c r="AD88" s="765"/>
      <c r="AE88" s="765"/>
      <c r="AF88" s="763"/>
    </row>
    <row r="89" spans="20:33" ht="15" customHeight="1" x14ac:dyDescent="0.25">
      <c r="T89" s="1700" t="str">
        <f>MODELAGEM!H83</f>
        <v>MOLDE 9</v>
      </c>
      <c r="U89" s="761">
        <f>U86+1</f>
        <v>33</v>
      </c>
      <c r="V89" s="767" t="str">
        <f>MODELAGEM!K83</f>
        <v>NÃO</v>
      </c>
      <c r="W89" s="1653" t="str">
        <f>MODELAGEM!H84</f>
        <v>NOME</v>
      </c>
      <c r="X89" s="1653"/>
      <c r="Y89" s="1656" t="str">
        <f>MODELAGEM!M83</f>
        <v>Forro</v>
      </c>
      <c r="Z89" s="1656"/>
      <c r="AA89" s="778">
        <f>MODELAGEM!N83</f>
        <v>19.899999999999999</v>
      </c>
      <c r="AB89" s="750">
        <f>IF(V89="NÃO",0,((Z90*MODELAGEM!P83/(MODELAGEM!R83/MODELAGEM!L83))/100))</f>
        <v>0</v>
      </c>
      <c r="AC89" s="779">
        <f t="shared" ref="AC89" si="39">AC86</f>
        <v>2.5</v>
      </c>
      <c r="AD89" s="779"/>
      <c r="AE89" s="769">
        <f>IF(V89="NÃO",0,((Z90/(MODELAGEM!R83))*(AC89*2/100)+AB89)*W90)</f>
        <v>0</v>
      </c>
      <c r="AF89" s="770">
        <f>AE89*AA89</f>
        <v>0</v>
      </c>
      <c r="AG89" s="400">
        <f>IF(V89="SIM",1,IF(V91="SIM",1,IF(V93="SIM",1,0)))</f>
        <v>0</v>
      </c>
    </row>
    <row r="90" spans="20:33" ht="15" customHeight="1" x14ac:dyDescent="0.25">
      <c r="T90" s="1700"/>
      <c r="V90" s="20"/>
      <c r="W90" s="10" t="str">
        <f t="shared" ref="W90" si="40">IF(V89="SIM","1","0")</f>
        <v>0</v>
      </c>
      <c r="X90" s="10"/>
      <c r="Z90" s="140">
        <f>Z85</f>
        <v>20</v>
      </c>
      <c r="AA90" s="22"/>
      <c r="AB90" s="34"/>
      <c r="AC90" s="186"/>
      <c r="AD90" s="186"/>
      <c r="AF90" s="184"/>
    </row>
    <row r="91" spans="20:33" ht="15" customHeight="1" x14ac:dyDescent="0.25">
      <c r="T91" s="1700"/>
      <c r="U91">
        <f>U89+1</f>
        <v>34</v>
      </c>
      <c r="V91" s="767" t="str">
        <f>MODELAGEM!K85</f>
        <v>NÃO</v>
      </c>
      <c r="W91" s="1653" t="s">
        <v>712</v>
      </c>
      <c r="X91" s="1653"/>
      <c r="Y91" s="1656" t="str">
        <f>MODELAGEM!M85</f>
        <v>Entretela</v>
      </c>
      <c r="Z91" s="1656"/>
      <c r="AA91" s="778">
        <f>MODELAGEM!N85</f>
        <v>16</v>
      </c>
      <c r="AB91" s="750">
        <f>IF(V91="NÃO",0,((Z92*MODELAGEM!P85/(MODELAGEM!R85/MODELAGEM!L85))/100))</f>
        <v>0</v>
      </c>
      <c r="AC91" s="779">
        <f t="shared" si="25"/>
        <v>2.5</v>
      </c>
      <c r="AD91" s="779"/>
      <c r="AE91" s="769">
        <f>IF(V91="NÃO",0,((Z92/(MODELAGEM!R85))*(AC91*2/100)+AB91)*W92)</f>
        <v>0</v>
      </c>
      <c r="AF91" s="770">
        <f>AE91*AA91</f>
        <v>0</v>
      </c>
    </row>
    <row r="92" spans="20:33" ht="15" customHeight="1" x14ac:dyDescent="0.25">
      <c r="T92" s="1700"/>
      <c r="V92" s="20"/>
      <c r="W92" s="10" t="str">
        <f t="shared" ref="W92" si="41">IF(V91="SIM","1","0")</f>
        <v>0</v>
      </c>
      <c r="X92" s="10"/>
      <c r="Z92" s="140">
        <f>Z90</f>
        <v>20</v>
      </c>
      <c r="AA92" s="22"/>
      <c r="AB92" s="34"/>
      <c r="AC92" s="186"/>
      <c r="AF92" s="184"/>
    </row>
    <row r="93" spans="20:33" ht="15" customHeight="1" x14ac:dyDescent="0.25">
      <c r="T93" s="1700"/>
      <c r="U93">
        <f>U91+1</f>
        <v>35</v>
      </c>
      <c r="V93" s="767" t="str">
        <f>MODELAGEM!K87</f>
        <v>NÃO</v>
      </c>
      <c r="W93" s="1653" t="s">
        <v>712</v>
      </c>
      <c r="X93" s="1653"/>
      <c r="Y93" s="1656" t="str">
        <f>MODELAGEM!M87</f>
        <v>Tec. Externo</v>
      </c>
      <c r="Z93" s="1656"/>
      <c r="AA93" s="778">
        <f>MODELAGEM!N87</f>
        <v>49.9</v>
      </c>
      <c r="AB93" s="750">
        <f>IF(V93="NÃO",0,((Z94*MODELAGEM!P87/(MODELAGEM!R87/MODELAGEM!L87))/100))</f>
        <v>0</v>
      </c>
      <c r="AC93" s="779">
        <f t="shared" si="26"/>
        <v>2.5</v>
      </c>
      <c r="AD93" s="779"/>
      <c r="AE93" s="769">
        <f>IF(V93="NÃO",0,((Z94/(MODELAGEM!R87))*(AC93*2/100)+AB93)*W94)</f>
        <v>0</v>
      </c>
      <c r="AF93" s="770">
        <f>AE93*AA93</f>
        <v>0</v>
      </c>
    </row>
    <row r="94" spans="20:33" ht="15" customHeight="1" x14ac:dyDescent="0.25">
      <c r="T94" s="1700"/>
      <c r="V94" s="20"/>
      <c r="W94" s="10" t="str">
        <f t="shared" ref="W94" si="42">IF(V93="SIM","1","0")</f>
        <v>0</v>
      </c>
      <c r="X94" s="10"/>
      <c r="Z94" s="140">
        <f>Z92</f>
        <v>20</v>
      </c>
      <c r="AA94" s="22"/>
      <c r="AB94" s="34"/>
      <c r="AC94" s="186"/>
      <c r="AD94" s="186"/>
      <c r="AF94" s="184"/>
    </row>
    <row r="95" spans="20:33" ht="15" customHeight="1" x14ac:dyDescent="0.25">
      <c r="T95" s="1700"/>
      <c r="U95">
        <f>U93+1</f>
        <v>36</v>
      </c>
      <c r="V95" s="767" t="str">
        <f>MODELAGEM!K89</f>
        <v>NÃO</v>
      </c>
      <c r="W95" s="1657" t="s">
        <v>712</v>
      </c>
      <c r="X95" s="1657"/>
      <c r="Y95" s="1655" t="str">
        <f>MODELAGEM!M89</f>
        <v>Forro</v>
      </c>
      <c r="Z95" s="1655"/>
      <c r="AA95" s="780">
        <f>MODELAGEM!N89</f>
        <v>19.899999999999999</v>
      </c>
      <c r="AB95" s="750">
        <f>IF(V95="NÃO",0,((Z96*MODELAGEM!P89/(MODELAGEM!R89/MODELAGEM!L89))/100))</f>
        <v>0</v>
      </c>
      <c r="AC95" s="779">
        <f t="shared" si="27"/>
        <v>2.5</v>
      </c>
      <c r="AD95" s="779"/>
      <c r="AE95" s="769">
        <f>IF(V95="NÃO",0,((Z96/(MODELAGEM!R89))*(AC95*2/100)+AB95)*W96)</f>
        <v>0</v>
      </c>
      <c r="AF95" s="770">
        <f>AE95*AA95</f>
        <v>0</v>
      </c>
    </row>
    <row r="96" spans="20:33" ht="15" customHeight="1" x14ac:dyDescent="0.25">
      <c r="T96" s="1700"/>
      <c r="V96" s="20"/>
      <c r="W96" s="10" t="str">
        <f>IF(V95="SIM","1","0")</f>
        <v>0</v>
      </c>
      <c r="X96" s="10"/>
      <c r="Z96" s="140">
        <f>Z94</f>
        <v>20</v>
      </c>
      <c r="AA96" s="22"/>
      <c r="AB96" s="34"/>
      <c r="AC96" s="186"/>
      <c r="AD96" s="186"/>
      <c r="AE96" s="184"/>
      <c r="AF96" s="184"/>
    </row>
    <row r="97" spans="20:94" ht="15" customHeight="1" x14ac:dyDescent="0.25">
      <c r="T97" s="1700"/>
      <c r="U97" s="262"/>
      <c r="V97" s="764"/>
      <c r="W97" s="765"/>
      <c r="X97" s="765"/>
      <c r="Y97" s="765"/>
      <c r="Z97" s="765"/>
      <c r="AA97" s="765"/>
      <c r="AB97" s="765"/>
      <c r="AC97" s="783"/>
      <c r="AD97" s="765"/>
      <c r="AE97" s="765"/>
      <c r="AF97" s="763"/>
    </row>
    <row r="98" spans="20:94" ht="15" customHeight="1" x14ac:dyDescent="0.25">
      <c r="T98" s="1699" t="str">
        <f>MODELAGEM!H92</f>
        <v>MOLDE 10</v>
      </c>
      <c r="U98" s="761">
        <f>U95+1</f>
        <v>37</v>
      </c>
      <c r="V98" s="767" t="str">
        <f>MODELAGEM!K92</f>
        <v>NÃO</v>
      </c>
      <c r="W98" s="1653" t="str">
        <f>MODELAGEM!H93</f>
        <v>NOME</v>
      </c>
      <c r="X98" s="1653"/>
      <c r="Y98" s="1656" t="str">
        <f>MODELAGEM!M92</f>
        <v>Forro</v>
      </c>
      <c r="Z98" s="1656"/>
      <c r="AA98" s="778">
        <f>MODELAGEM!N92</f>
        <v>19.899999999999999</v>
      </c>
      <c r="AB98" s="750">
        <f>IF(V98="NÃO",0,((Z99*MODELAGEM!P92/(MODELAGEM!R92/MODELAGEM!L92))/100))</f>
        <v>0</v>
      </c>
      <c r="AC98" s="796">
        <f t="shared" ref="AC98" si="43">AC95</f>
        <v>2.5</v>
      </c>
      <c r="AD98" s="779"/>
      <c r="AE98" s="769">
        <f>IF(V98="NÃO",0,((Z99/(MODELAGEM!R92))*(AC98*2/100)+AB98)*W99)</f>
        <v>0</v>
      </c>
      <c r="AF98" s="770">
        <f>AE98*AA98</f>
        <v>0</v>
      </c>
      <c r="AG98" s="400">
        <f>IF(V98="SIM",1,IF(V100="SIM",1,IF(V102="SIM",1,0)))</f>
        <v>0</v>
      </c>
    </row>
    <row r="99" spans="20:94" ht="15" customHeight="1" x14ac:dyDescent="0.25">
      <c r="T99" s="1699"/>
      <c r="V99" s="20"/>
      <c r="W99" s="10" t="str">
        <f t="shared" ref="W99" si="44">IF(V98="SIM","1","0")</f>
        <v>0</v>
      </c>
      <c r="X99" s="10"/>
      <c r="Z99" s="140">
        <f>Z94</f>
        <v>20</v>
      </c>
      <c r="AA99" s="22"/>
      <c r="AB99" s="34"/>
      <c r="AC99" s="186"/>
      <c r="AE99" s="184"/>
      <c r="AF99" s="184"/>
    </row>
    <row r="100" spans="20:94" ht="15" customHeight="1" x14ac:dyDescent="0.25">
      <c r="T100" s="1699"/>
      <c r="U100">
        <f>U98+1</f>
        <v>38</v>
      </c>
      <c r="V100" s="767" t="str">
        <f>MODELAGEM!K94</f>
        <v>NÃO</v>
      </c>
      <c r="W100" s="1653" t="s">
        <v>712</v>
      </c>
      <c r="X100" s="1653"/>
      <c r="Y100" s="1656" t="str">
        <f>MODELAGEM!M94</f>
        <v>Tec. Externo</v>
      </c>
      <c r="Z100" s="1656"/>
      <c r="AA100" s="778">
        <f>MODELAGEM!N94</f>
        <v>49.9</v>
      </c>
      <c r="AB100" s="750">
        <f>IF(V100="NÃO",0,((Z101*MODELAGEM!P94/(MODELAGEM!R94/MODELAGEM!L94))/100))</f>
        <v>0</v>
      </c>
      <c r="AC100" s="779">
        <f t="shared" ref="AC100" si="45">AC98</f>
        <v>2.5</v>
      </c>
      <c r="AD100" s="779"/>
      <c r="AE100" s="769">
        <f>IF(V100="NÃO",0,((Z101/(MODELAGEM!R94))*(AC100*2/100)+AB100)*W101)</f>
        <v>0</v>
      </c>
      <c r="AF100" s="770">
        <f>AE100*AA100</f>
        <v>0</v>
      </c>
    </row>
    <row r="101" spans="20:94" ht="15" customHeight="1" x14ac:dyDescent="0.25">
      <c r="T101" s="1699"/>
      <c r="V101" s="20"/>
      <c r="W101" s="10" t="str">
        <f t="shared" ref="W101" si="46">IF(V100="SIM","1","0")</f>
        <v>0</v>
      </c>
      <c r="X101" s="10"/>
      <c r="Z101" s="140">
        <f>Z99</f>
        <v>20</v>
      </c>
      <c r="AA101" s="22"/>
      <c r="AB101" s="34"/>
      <c r="AC101" s="186"/>
      <c r="AD101" s="186"/>
      <c r="AE101" s="184"/>
      <c r="AF101" s="184"/>
      <c r="BF101" s="7"/>
      <c r="CP101" s="7"/>
    </row>
    <row r="102" spans="20:94" ht="15" customHeight="1" x14ac:dyDescent="0.25">
      <c r="T102" s="1699"/>
      <c r="U102">
        <f>U100+1</f>
        <v>39</v>
      </c>
      <c r="V102" s="767" t="str">
        <f>MODELAGEM!K96</f>
        <v>NÃO</v>
      </c>
      <c r="W102" s="1653" t="s">
        <v>712</v>
      </c>
      <c r="X102" s="1653"/>
      <c r="Y102" s="1656" t="str">
        <f>MODELAGEM!M96</f>
        <v>Tec. Externo</v>
      </c>
      <c r="Z102" s="1656"/>
      <c r="AA102" s="778">
        <f>MODELAGEM!N96</f>
        <v>49.9</v>
      </c>
      <c r="AB102" s="750">
        <f>IF(V102="NÃO",0,((Z103*MODELAGEM!P96/(MODELAGEM!R96/MODELAGEM!L96))/100))</f>
        <v>0</v>
      </c>
      <c r="AC102" s="779">
        <f t="shared" ref="AC102" si="47">AC100</f>
        <v>2.5</v>
      </c>
      <c r="AD102" s="779"/>
      <c r="AE102" s="769">
        <f>IF(V102="NÃO",0,((Z103/(MODELAGEM!R96))*(AC102*2/100)+AB102)*W103)</f>
        <v>0</v>
      </c>
      <c r="AF102" s="770">
        <f>AE102*AA102</f>
        <v>0</v>
      </c>
    </row>
    <row r="103" spans="20:94" ht="15" customHeight="1" x14ac:dyDescent="0.25">
      <c r="T103" s="1699"/>
      <c r="V103" s="20"/>
      <c r="W103" s="10" t="str">
        <f t="shared" ref="W103" si="48">IF(V102="SIM","1","0")</f>
        <v>0</v>
      </c>
      <c r="X103" s="10"/>
      <c r="Z103" s="140">
        <f>Z101</f>
        <v>20</v>
      </c>
      <c r="AA103" s="22"/>
      <c r="AB103" s="34"/>
      <c r="AC103" s="186"/>
      <c r="AE103" s="184"/>
      <c r="AF103" s="184"/>
    </row>
    <row r="104" spans="20:94" ht="15" customHeight="1" x14ac:dyDescent="0.25">
      <c r="T104" s="1699"/>
      <c r="U104">
        <f>U102+1</f>
        <v>40</v>
      </c>
      <c r="V104" s="767" t="str">
        <f>MODELAGEM!K98</f>
        <v>NÃO</v>
      </c>
      <c r="W104" s="1657" t="s">
        <v>712</v>
      </c>
      <c r="X104" s="1657"/>
      <c r="Y104" s="1655" t="str">
        <f>MODELAGEM!M98</f>
        <v>Forro</v>
      </c>
      <c r="Z104" s="1655"/>
      <c r="AA104" s="780">
        <f>MODELAGEM!N98</f>
        <v>19.899999999999999</v>
      </c>
      <c r="AB104" s="750">
        <f>IF(V104="NÃO",0,((Z105*MODELAGEM!P98/(MODELAGEM!R98/MODELAGEM!L98))/100))</f>
        <v>0</v>
      </c>
      <c r="AC104" s="779">
        <f t="shared" ref="AC104" si="49">AC102</f>
        <v>2.5</v>
      </c>
      <c r="AD104" s="779"/>
      <c r="AE104" s="769">
        <f>IF(V104="NÃO",0,((Z105/(MODELAGEM!R98))*(AC104*2/100)+AB104)*W105)</f>
        <v>0</v>
      </c>
      <c r="AF104" s="770">
        <f>AE104*AA104</f>
        <v>0</v>
      </c>
    </row>
    <row r="105" spans="20:94" ht="15" customHeight="1" x14ac:dyDescent="0.25">
      <c r="T105" s="1699"/>
      <c r="W105" s="10" t="str">
        <f>IF(V104="SIM","1","0")</f>
        <v>0</v>
      </c>
      <c r="X105" s="10"/>
      <c r="Z105" s="140">
        <f>Z103</f>
        <v>20</v>
      </c>
      <c r="AA105" s="22"/>
      <c r="AB105" s="34"/>
      <c r="AC105" s="186"/>
      <c r="AD105" s="186"/>
      <c r="AE105" s="184"/>
      <c r="AF105" s="184"/>
    </row>
    <row r="106" spans="20:94" ht="15" customHeight="1" x14ac:dyDescent="0.25">
      <c r="T106" s="1699"/>
      <c r="U106" s="262"/>
      <c r="V106" s="786"/>
      <c r="W106" s="787"/>
      <c r="X106" s="787"/>
      <c r="Y106" s="787"/>
      <c r="Z106" s="787"/>
      <c r="AA106" s="787"/>
      <c r="AB106" s="787"/>
      <c r="AC106" s="783"/>
      <c r="AD106" s="787"/>
      <c r="AE106" s="787"/>
      <c r="AF106" s="788"/>
    </row>
    <row r="107" spans="20:94" ht="15" customHeight="1" x14ac:dyDescent="0.25">
      <c r="T107" s="1700" t="str">
        <f>MODELAGEM!H101</f>
        <v>MOLDE 11</v>
      </c>
      <c r="U107" s="761">
        <f>U104+1</f>
        <v>41</v>
      </c>
      <c r="V107" s="767" t="str">
        <f>MODELAGEM!K101</f>
        <v>NÃO</v>
      </c>
      <c r="W107" s="1653" t="str">
        <f>MODELAGEM!H102</f>
        <v>NOME</v>
      </c>
      <c r="X107" s="1653"/>
      <c r="Y107" s="1656" t="str">
        <f>MODELAGEM!M101</f>
        <v>Forro</v>
      </c>
      <c r="Z107" s="1656"/>
      <c r="AA107" s="778">
        <f>MODELAGEM!N101</f>
        <v>19.899999999999999</v>
      </c>
      <c r="AB107" s="750">
        <f>IF(V107="NÃO",0,((Z108*MODELAGEM!P101/(MODELAGEM!R101/MODELAGEM!L101))/100))</f>
        <v>0</v>
      </c>
      <c r="AC107" s="779">
        <f t="shared" ref="AC107" si="50">AC104</f>
        <v>2.5</v>
      </c>
      <c r="AD107" s="779"/>
      <c r="AE107" s="769">
        <f>IF(V107="NÃO",0,((Z108/(MODELAGEM!R101))*(AC107*2/100)+AB107)*W108)</f>
        <v>0</v>
      </c>
      <c r="AF107" s="770">
        <f>AE107*AA107</f>
        <v>0</v>
      </c>
      <c r="AG107" s="400">
        <f>IF(V107="SIM",1,IF(V109="SIM",1,IF(V111="SIM",1,0)))</f>
        <v>0</v>
      </c>
      <c r="BE107" s="11"/>
      <c r="CO107" s="11"/>
    </row>
    <row r="108" spans="20:94" ht="15" customHeight="1" x14ac:dyDescent="0.25">
      <c r="T108" s="1700"/>
      <c r="V108" s="20"/>
      <c r="W108" s="10" t="str">
        <f t="shared" ref="W108" si="51">IF(V107="SIM","1","0")</f>
        <v>0</v>
      </c>
      <c r="X108" s="10"/>
      <c r="Z108" s="140">
        <f>Z103</f>
        <v>20</v>
      </c>
      <c r="AA108" s="22"/>
      <c r="AB108" s="34"/>
      <c r="AC108" s="186"/>
      <c r="AD108" s="186"/>
      <c r="AE108" s="184"/>
      <c r="AF108" s="184"/>
    </row>
    <row r="109" spans="20:94" ht="15" customHeight="1" x14ac:dyDescent="0.25">
      <c r="T109" s="1700"/>
      <c r="U109">
        <f>U107+1</f>
        <v>42</v>
      </c>
      <c r="V109" s="767" t="str">
        <f>MODELAGEM!K103</f>
        <v>NÃO</v>
      </c>
      <c r="W109" s="1653" t="s">
        <v>712</v>
      </c>
      <c r="X109" s="1653"/>
      <c r="Y109" s="1656" t="str">
        <f>MODELAGEM!M103</f>
        <v>Tec. Externo</v>
      </c>
      <c r="Z109" s="1656"/>
      <c r="AA109" s="778">
        <f>MODELAGEM!N103</f>
        <v>49.9</v>
      </c>
      <c r="AB109" s="750">
        <f>IF(V109="NÃO",0,((Z110*MODELAGEM!P103/(MODELAGEM!R103/MODELAGEM!L103))/100))</f>
        <v>0</v>
      </c>
      <c r="AC109" s="779">
        <f t="shared" si="25"/>
        <v>2.5</v>
      </c>
      <c r="AD109" s="779"/>
      <c r="AE109" s="769">
        <f>IF(V109="NÃO",0,((Z110/(MODELAGEM!R103))*(AC109*2/100)+AB109)*W110)</f>
        <v>0</v>
      </c>
      <c r="AF109" s="770">
        <f>AE109*AA109</f>
        <v>0</v>
      </c>
    </row>
    <row r="110" spans="20:94" ht="15" customHeight="1" x14ac:dyDescent="0.25">
      <c r="T110" s="1700"/>
      <c r="V110" s="20"/>
      <c r="W110" s="10" t="str">
        <f t="shared" ref="W110" si="52">IF(V109="SIM","1","0")</f>
        <v>0</v>
      </c>
      <c r="X110" s="10"/>
      <c r="Z110" s="140">
        <f>Z108</f>
        <v>20</v>
      </c>
      <c r="AA110" s="22"/>
      <c r="AB110" s="34"/>
      <c r="AC110" s="186"/>
      <c r="AE110" s="184"/>
      <c r="AF110" s="184"/>
    </row>
    <row r="111" spans="20:94" ht="15" customHeight="1" x14ac:dyDescent="0.25">
      <c r="T111" s="1700"/>
      <c r="U111">
        <f>U109+1</f>
        <v>43</v>
      </c>
      <c r="V111" s="767" t="str">
        <f>MODELAGEM!K105</f>
        <v>NÃO</v>
      </c>
      <c r="W111" s="1653" t="s">
        <v>712</v>
      </c>
      <c r="X111" s="1653"/>
      <c r="Y111" s="1656" t="str">
        <f>MODELAGEM!M105</f>
        <v>Tec. Externo</v>
      </c>
      <c r="Z111" s="1656"/>
      <c r="AA111" s="778">
        <f>MODELAGEM!N105</f>
        <v>49.9</v>
      </c>
      <c r="AB111" s="750">
        <f>IF(V111="NÃO",0,((Z112*MODELAGEM!P105/(MODELAGEM!R105/MODELAGEM!L105))/100))</f>
        <v>0</v>
      </c>
      <c r="AC111" s="779">
        <f t="shared" si="26"/>
        <v>2.5</v>
      </c>
      <c r="AD111" s="779"/>
      <c r="AE111" s="769">
        <f>IF(V111="NÃO",0,((Z112/(MODELAGEM!R105))*(AC111*2/100)+AB111)*W112)</f>
        <v>0</v>
      </c>
      <c r="AF111" s="770">
        <f>AE111*AA111</f>
        <v>0</v>
      </c>
    </row>
    <row r="112" spans="20:94" ht="15" customHeight="1" x14ac:dyDescent="0.25">
      <c r="T112" s="1700"/>
      <c r="V112" s="20"/>
      <c r="W112" s="10" t="str">
        <f t="shared" ref="W112" si="53">IF(V111="SIM","1","0")</f>
        <v>0</v>
      </c>
      <c r="X112" s="10"/>
      <c r="Z112" s="140">
        <f>Z110</f>
        <v>20</v>
      </c>
      <c r="AA112" s="22"/>
      <c r="AB112" s="34"/>
      <c r="AC112" s="186"/>
      <c r="AD112" s="186"/>
      <c r="AE112" s="184"/>
      <c r="AF112" s="184"/>
    </row>
    <row r="113" spans="20:33" ht="15" customHeight="1" x14ac:dyDescent="0.25">
      <c r="T113" s="1700"/>
      <c r="U113">
        <f>U111+1</f>
        <v>44</v>
      </c>
      <c r="V113" s="767" t="str">
        <f>MODELAGEM!K107</f>
        <v>NÃO</v>
      </c>
      <c r="W113" s="1657" t="s">
        <v>712</v>
      </c>
      <c r="X113" s="1657"/>
      <c r="Y113" s="1655" t="str">
        <f>MODELAGEM!M107</f>
        <v>Tec. Externo</v>
      </c>
      <c r="Z113" s="1655"/>
      <c r="AA113" s="780">
        <f>MODELAGEM!N107</f>
        <v>49.9</v>
      </c>
      <c r="AB113" s="750">
        <f>IF(V113="NÃO",0,((Z114*MODELAGEM!P107/(MODELAGEM!R107/MODELAGEM!L107))/100))</f>
        <v>0</v>
      </c>
      <c r="AC113" s="779">
        <f t="shared" si="27"/>
        <v>2.5</v>
      </c>
      <c r="AD113" s="779"/>
      <c r="AE113" s="769">
        <f>IF(V113="NÃO",0,((Z114/(MODELAGEM!R107))*(AC113*2/100)+AB113)*W114)</f>
        <v>0</v>
      </c>
      <c r="AF113" s="770">
        <f>AE113*AA113</f>
        <v>0</v>
      </c>
    </row>
    <row r="114" spans="20:33" ht="15" customHeight="1" x14ac:dyDescent="0.25">
      <c r="T114" s="1700"/>
      <c r="V114" s="20"/>
      <c r="W114" s="10" t="str">
        <f>IF(V113="SIM","1","0")</f>
        <v>0</v>
      </c>
      <c r="X114" s="10"/>
      <c r="Z114" s="140">
        <f>Z112</f>
        <v>20</v>
      </c>
      <c r="AA114" s="22"/>
      <c r="AB114" s="34"/>
      <c r="AC114" s="186"/>
      <c r="AD114" s="186"/>
      <c r="AE114" s="184"/>
      <c r="AF114" s="184"/>
    </row>
    <row r="115" spans="20:33" ht="15" customHeight="1" x14ac:dyDescent="0.25">
      <c r="T115" s="1700"/>
      <c r="U115" s="262"/>
      <c r="V115" s="775"/>
      <c r="W115" s="776"/>
      <c r="X115" s="776"/>
      <c r="Y115" s="776"/>
      <c r="Z115" s="776"/>
      <c r="AA115" s="776"/>
      <c r="AB115" s="776"/>
      <c r="AC115" s="783"/>
      <c r="AD115" s="776"/>
      <c r="AE115" s="776"/>
      <c r="AF115" s="777"/>
    </row>
    <row r="116" spans="20:33" ht="15" customHeight="1" x14ac:dyDescent="0.25">
      <c r="T116" s="1699" t="str">
        <f>MODELAGEM!H110</f>
        <v>MOLDE 12</v>
      </c>
      <c r="U116" s="761">
        <f>U113+1</f>
        <v>45</v>
      </c>
      <c r="V116" s="767" t="str">
        <f>MODELAGEM!K110</f>
        <v>NÃO</v>
      </c>
      <c r="W116" s="1653" t="str">
        <f>MODELAGEM!H111</f>
        <v>NOME</v>
      </c>
      <c r="X116" s="1653"/>
      <c r="Y116" s="1656" t="str">
        <f>MODELAGEM!M110</f>
        <v>Entretela</v>
      </c>
      <c r="Z116" s="1656"/>
      <c r="AA116" s="778">
        <f>MODELAGEM!N110</f>
        <v>16</v>
      </c>
      <c r="AB116" s="750">
        <f>IF(V116="NÃO",0,((Z117*MODELAGEM!P110/(MODELAGEM!R110/MODELAGEM!L110))/100))</f>
        <v>0</v>
      </c>
      <c r="AC116" s="796">
        <f t="shared" ref="AC116" si="54">AC113</f>
        <v>2.5</v>
      </c>
      <c r="AD116" s="779"/>
      <c r="AE116" s="769">
        <f>IF(V116="NÃO",0,((Z117/(MODELAGEM!R110))*(AC116*2/100)+AB116)*W117)</f>
        <v>0</v>
      </c>
      <c r="AF116" s="770">
        <f>AE116*AA116</f>
        <v>0</v>
      </c>
      <c r="AG116" s="400">
        <f>IF(V116="SIM",1,IF(V118="SIM",1,IF(V120="SIM",1,0)))</f>
        <v>0</v>
      </c>
    </row>
    <row r="117" spans="20:33" ht="15" customHeight="1" x14ac:dyDescent="0.25">
      <c r="T117" s="1699"/>
      <c r="V117" s="20"/>
      <c r="W117" s="10" t="str">
        <f t="shared" ref="W117" si="55">IF(V116="SIM","1","0")</f>
        <v>0</v>
      </c>
      <c r="X117" s="10"/>
      <c r="Z117" s="140">
        <f>Z112</f>
        <v>20</v>
      </c>
      <c r="AA117" s="22"/>
      <c r="AB117" s="34"/>
      <c r="AC117" s="186"/>
      <c r="AE117" s="184"/>
      <c r="AF117" s="184"/>
    </row>
    <row r="118" spans="20:33" ht="15" customHeight="1" x14ac:dyDescent="0.25">
      <c r="T118" s="1699"/>
      <c r="U118">
        <f>U116+1</f>
        <v>46</v>
      </c>
      <c r="V118" s="767" t="str">
        <f>MODELAGEM!K112</f>
        <v>NÃO</v>
      </c>
      <c r="W118" s="1653" t="s">
        <v>712</v>
      </c>
      <c r="X118" s="1653"/>
      <c r="Y118" s="1656" t="str">
        <f>MODELAGEM!M112</f>
        <v>Tec. Externo</v>
      </c>
      <c r="Z118" s="1656"/>
      <c r="AA118" s="778">
        <f>MODELAGEM!N112</f>
        <v>49.9</v>
      </c>
      <c r="AB118" s="750">
        <f>IF(V118="NÃO",0,((Z119*MODELAGEM!P112/(MODELAGEM!R112/MODELAGEM!L112))/100))</f>
        <v>0</v>
      </c>
      <c r="AC118" s="779">
        <f t="shared" ref="AC118" si="56">AC116</f>
        <v>2.5</v>
      </c>
      <c r="AD118" s="779"/>
      <c r="AE118" s="769">
        <f>IF(V118="NÃO",0,((Z119/(MODELAGEM!R112))*(AC118*2/100)+AB118)*W119)</f>
        <v>0</v>
      </c>
      <c r="AF118" s="770">
        <f>AE118*AA118</f>
        <v>0</v>
      </c>
    </row>
    <row r="119" spans="20:33" ht="15" customHeight="1" x14ac:dyDescent="0.25">
      <c r="T119" s="1699"/>
      <c r="V119" s="20"/>
      <c r="W119" s="10" t="str">
        <f t="shared" ref="W119" si="57">IF(V118="SIM","1","0")</f>
        <v>0</v>
      </c>
      <c r="X119" s="10"/>
      <c r="Z119" s="140">
        <f>Z117</f>
        <v>20</v>
      </c>
      <c r="AA119" s="22"/>
      <c r="AB119" s="34"/>
      <c r="AC119" s="186"/>
      <c r="AD119" s="186"/>
      <c r="AE119" s="184"/>
      <c r="AF119" s="184"/>
    </row>
    <row r="120" spans="20:33" ht="15" customHeight="1" x14ac:dyDescent="0.25">
      <c r="T120" s="1699"/>
      <c r="U120">
        <f>U118+1</f>
        <v>47</v>
      </c>
      <c r="V120" s="767" t="str">
        <f>MODELAGEM!K114</f>
        <v>NÃO</v>
      </c>
      <c r="W120" s="1653" t="s">
        <v>712</v>
      </c>
      <c r="X120" s="1653"/>
      <c r="Y120" s="1656" t="str">
        <f>MODELAGEM!M114</f>
        <v>Tec. Externo</v>
      </c>
      <c r="Z120" s="1656"/>
      <c r="AA120" s="778">
        <f>MODELAGEM!N114</f>
        <v>49.9</v>
      </c>
      <c r="AB120" s="750">
        <f>IF(V120="NÃO",0,((Z121*MODELAGEM!P114/(MODELAGEM!R114/MODELAGEM!L114))/100))</f>
        <v>0</v>
      </c>
      <c r="AC120" s="779">
        <f t="shared" ref="AC120" si="58">AC118</f>
        <v>2.5</v>
      </c>
      <c r="AD120" s="779"/>
      <c r="AE120" s="769">
        <f>IF(V120="NÃO",0,((Z121/(MODELAGEM!R114))*(AC120*2/100)+AB120)*W121)</f>
        <v>0</v>
      </c>
      <c r="AF120" s="770">
        <f>AE120*AA120</f>
        <v>0</v>
      </c>
    </row>
    <row r="121" spans="20:33" ht="15" customHeight="1" x14ac:dyDescent="0.25">
      <c r="T121" s="1699"/>
      <c r="V121" s="20"/>
      <c r="W121" s="10" t="str">
        <f t="shared" ref="W121" si="59">IF(V120="SIM","1","0")</f>
        <v>0</v>
      </c>
      <c r="X121" s="10"/>
      <c r="Z121" s="140">
        <f>Z119</f>
        <v>20</v>
      </c>
      <c r="AA121" s="22"/>
      <c r="AB121" s="34"/>
      <c r="AC121" s="186"/>
      <c r="AE121" s="184"/>
      <c r="AF121" s="184"/>
    </row>
    <row r="122" spans="20:33" ht="15" customHeight="1" x14ac:dyDescent="0.25">
      <c r="T122" s="1699"/>
      <c r="U122">
        <f>U120+1</f>
        <v>48</v>
      </c>
      <c r="V122" s="767" t="str">
        <f>MODELAGEM!K116</f>
        <v>NÃO</v>
      </c>
      <c r="W122" s="1657" t="s">
        <v>712</v>
      </c>
      <c r="X122" s="1657"/>
      <c r="Y122" s="1655" t="str">
        <f>MODELAGEM!M116</f>
        <v>Tec. Externo</v>
      </c>
      <c r="Z122" s="1655"/>
      <c r="AA122" s="780">
        <f>MODELAGEM!N116</f>
        <v>49.9</v>
      </c>
      <c r="AB122" s="750">
        <f>IF(V122="NÃO",0,((Z123*MODELAGEM!P116/(MODELAGEM!R116/MODELAGEM!L116))/100))</f>
        <v>0</v>
      </c>
      <c r="AC122" s="779">
        <f t="shared" ref="AC122" si="60">AC120</f>
        <v>2.5</v>
      </c>
      <c r="AD122" s="779"/>
      <c r="AE122" s="769">
        <f>IF(V122="NÃO",0,((Z123/(MODELAGEM!R116))*(AC122*2/100)+AB122)*W123)</f>
        <v>0</v>
      </c>
      <c r="AF122" s="770">
        <f>AE122*AA122</f>
        <v>0</v>
      </c>
    </row>
    <row r="123" spans="20:33" ht="15" customHeight="1" x14ac:dyDescent="0.25">
      <c r="T123" s="1699"/>
      <c r="V123" s="20"/>
      <c r="W123" s="10" t="str">
        <f>IF(V122="SIM","1","0")</f>
        <v>0</v>
      </c>
      <c r="X123" s="10"/>
      <c r="Z123" s="140">
        <f>Z121</f>
        <v>20</v>
      </c>
      <c r="AA123" s="22"/>
      <c r="AB123" s="34"/>
      <c r="AC123" s="186"/>
      <c r="AD123" s="186"/>
      <c r="AE123" s="184"/>
      <c r="AF123" s="184"/>
    </row>
    <row r="124" spans="20:33" ht="15" customHeight="1" x14ac:dyDescent="0.25">
      <c r="T124" s="1699"/>
      <c r="U124" s="262"/>
      <c r="V124" s="775"/>
      <c r="W124" s="776"/>
      <c r="X124" s="776"/>
      <c r="Y124" s="776"/>
      <c r="Z124" s="776"/>
      <c r="AA124" s="776"/>
      <c r="AB124" s="776"/>
      <c r="AC124" s="783"/>
      <c r="AD124" s="776"/>
      <c r="AE124" s="776"/>
      <c r="AF124" s="777"/>
    </row>
    <row r="125" spans="20:33" ht="15" customHeight="1" x14ac:dyDescent="0.25">
      <c r="T125" s="1700" t="str">
        <f>MODELAGEM!H119</f>
        <v>MOLDE 13</v>
      </c>
      <c r="U125" s="761">
        <f>U122+1</f>
        <v>49</v>
      </c>
      <c r="V125" s="767" t="str">
        <f>MODELAGEM!K119</f>
        <v>NÃO</v>
      </c>
      <c r="W125" s="1657" t="str">
        <f>MODELAGEM!H120</f>
        <v>NOME</v>
      </c>
      <c r="X125" s="1657"/>
      <c r="Y125" s="1655" t="str">
        <f>MODELAGEM!M119</f>
        <v>Tec. Externo</v>
      </c>
      <c r="Z125" s="1655"/>
      <c r="AA125" s="778">
        <f>MODELAGEM!N119</f>
        <v>49.9</v>
      </c>
      <c r="AB125" s="750">
        <f>IF(V125="NÃO",0,((Z126*MODELAGEM!P119/(MODELAGEM!R119/MODELAGEM!L119))/100))</f>
        <v>0</v>
      </c>
      <c r="AC125" s="779">
        <f t="shared" ref="AC125" si="61">AC122</f>
        <v>2.5</v>
      </c>
      <c r="AD125" s="779"/>
      <c r="AE125" s="769">
        <f>IF(V125="NÃO",0,((Z126/(MODELAGEM!R119))*(AC125*2/100)+AB125)*W126)</f>
        <v>0</v>
      </c>
      <c r="AF125" s="770">
        <f>AE125*AA125</f>
        <v>0</v>
      </c>
      <c r="AG125" s="400">
        <f>IF(V125="SIM",1,IF(V127="SIM",1,IF(V129="SIM",1,0)))</f>
        <v>0</v>
      </c>
    </row>
    <row r="126" spans="20:33" ht="15" customHeight="1" x14ac:dyDescent="0.25">
      <c r="T126" s="1700"/>
      <c r="V126" s="20"/>
      <c r="W126" s="10" t="str">
        <f>IF(V125="SIM","1","0")</f>
        <v>0</v>
      </c>
      <c r="X126" s="10"/>
      <c r="Z126" s="140">
        <f>Z121</f>
        <v>20</v>
      </c>
      <c r="AA126" s="22"/>
      <c r="AB126" s="34"/>
      <c r="AC126" s="186"/>
      <c r="AE126" s="184"/>
      <c r="AF126" s="184"/>
    </row>
    <row r="127" spans="20:33" ht="15" customHeight="1" x14ac:dyDescent="0.25">
      <c r="T127" s="1700"/>
      <c r="U127">
        <f>U125+1</f>
        <v>50</v>
      </c>
      <c r="V127" s="767" t="str">
        <f>MODELAGEM!K121</f>
        <v>NÃO</v>
      </c>
      <c r="W127" s="1657" t="s">
        <v>712</v>
      </c>
      <c r="X127" s="1657"/>
      <c r="Y127" s="1655" t="str">
        <f>MODELAGEM!M121</f>
        <v>Entretela</v>
      </c>
      <c r="Z127" s="1655"/>
      <c r="AA127" s="778">
        <f>MODELAGEM!N121</f>
        <v>16</v>
      </c>
      <c r="AB127" s="750">
        <f>IF(V127="NÃO",0,((Z128*MODELAGEM!P121/(MODELAGEM!R121/MODELAGEM!L121))/100))</f>
        <v>0</v>
      </c>
      <c r="AC127" s="779">
        <f t="shared" ref="AC127:AC181" si="62">AC125</f>
        <v>2.5</v>
      </c>
      <c r="AD127" s="779"/>
      <c r="AE127" s="769">
        <f>IF(V127="NÃO",0,((Z128/(MODELAGEM!R121))*(AC127*2/100)+AB127)*W128)</f>
        <v>0</v>
      </c>
      <c r="AF127" s="770">
        <f>AE127*AA127</f>
        <v>0</v>
      </c>
    </row>
    <row r="128" spans="20:33" ht="15" customHeight="1" x14ac:dyDescent="0.25">
      <c r="T128" s="1700"/>
      <c r="V128" s="20"/>
      <c r="W128" s="10" t="str">
        <f>IF(V127="SIM","1","0")</f>
        <v>0</v>
      </c>
      <c r="X128" s="10"/>
      <c r="Z128" s="140">
        <f>Z126</f>
        <v>20</v>
      </c>
      <c r="AA128" s="22"/>
      <c r="AB128" s="34"/>
      <c r="AC128" s="186"/>
      <c r="AD128" s="186"/>
      <c r="AE128" s="184"/>
      <c r="AF128" s="184"/>
    </row>
    <row r="129" spans="20:33" ht="15" customHeight="1" x14ac:dyDescent="0.25">
      <c r="T129" s="1700"/>
      <c r="U129">
        <f>U127+1</f>
        <v>51</v>
      </c>
      <c r="V129" s="767" t="str">
        <f>MODELAGEM!K123</f>
        <v>NÃO</v>
      </c>
      <c r="W129" s="1657" t="s">
        <v>712</v>
      </c>
      <c r="X129" s="1657"/>
      <c r="Y129" s="1655" t="str">
        <f>MODELAGEM!M123</f>
        <v>Entretela</v>
      </c>
      <c r="Z129" s="1655"/>
      <c r="AA129" s="778">
        <f>MODELAGEM!N123</f>
        <v>16</v>
      </c>
      <c r="AB129" s="750">
        <f>IF(V129="NÃO",0,((Z130*MODELAGEM!P123/(MODELAGEM!R123/MODELAGEM!L123))/100))</f>
        <v>0</v>
      </c>
      <c r="AC129" s="779">
        <f t="shared" ref="AC129:AC183" si="63">AC127</f>
        <v>2.5</v>
      </c>
      <c r="AD129" s="779"/>
      <c r="AE129" s="769">
        <f>IF(V129="NÃO",0,((Z130/(MODELAGEM!R123))*(AC129*2/100)+AB129)*W130)</f>
        <v>0</v>
      </c>
      <c r="AF129" s="770">
        <f>AE129*AA129</f>
        <v>0</v>
      </c>
    </row>
    <row r="130" spans="20:33" ht="15" customHeight="1" x14ac:dyDescent="0.25">
      <c r="T130" s="1700"/>
      <c r="V130" s="20"/>
      <c r="W130" s="10" t="str">
        <f>IF(V129="SIM","1","0")</f>
        <v>0</v>
      </c>
      <c r="X130" s="10"/>
      <c r="Z130" s="140">
        <f>Z128</f>
        <v>20</v>
      </c>
      <c r="AA130" s="22"/>
      <c r="AB130" s="34"/>
      <c r="AC130" s="186"/>
      <c r="AE130" s="184"/>
      <c r="AF130" s="184"/>
    </row>
    <row r="131" spans="20:33" ht="15" customHeight="1" x14ac:dyDescent="0.25">
      <c r="T131" s="1700"/>
      <c r="U131">
        <f>U129+1</f>
        <v>52</v>
      </c>
      <c r="V131" s="767" t="str">
        <f>MODELAGEM!K125</f>
        <v>NÃO</v>
      </c>
      <c r="W131" s="1657" t="s">
        <v>712</v>
      </c>
      <c r="X131" s="1657"/>
      <c r="Y131" s="1655" t="str">
        <f>MODELAGEM!M125</f>
        <v>Forro</v>
      </c>
      <c r="Z131" s="1655"/>
      <c r="AA131" s="780">
        <f>MODELAGEM!N125</f>
        <v>19.899999999999999</v>
      </c>
      <c r="AB131" s="781">
        <f>IF(V131="NÃO",0,((Z132*MODELAGEM!P125/(MODELAGEM!R125/MODELAGEM!L125))/100))</f>
        <v>0</v>
      </c>
      <c r="AC131" s="779">
        <f t="shared" ref="AC131:AC185" si="64">AC129</f>
        <v>2.5</v>
      </c>
      <c r="AD131" s="779"/>
      <c r="AE131" s="769">
        <f>IF(V131="NÃO",0,((Z132/(MODELAGEM!R125))*(AC131*2/100)+AB131)*W132)</f>
        <v>0</v>
      </c>
      <c r="AF131" s="770">
        <f>AE131*AA131</f>
        <v>0</v>
      </c>
    </row>
    <row r="132" spans="20:33" ht="15" customHeight="1" x14ac:dyDescent="0.25">
      <c r="T132" s="1700"/>
      <c r="V132" s="20"/>
      <c r="W132" s="10" t="str">
        <f>IF(V131="SIM","1","0")</f>
        <v>0</v>
      </c>
      <c r="X132" s="10"/>
      <c r="Z132" s="140">
        <f>Z130</f>
        <v>20</v>
      </c>
      <c r="AA132" s="22"/>
      <c r="AB132" s="34"/>
      <c r="AC132" s="186"/>
      <c r="AD132" s="186"/>
      <c r="AE132" s="184"/>
      <c r="AF132" s="184"/>
    </row>
    <row r="133" spans="20:33" ht="15" customHeight="1" x14ac:dyDescent="0.25">
      <c r="T133" s="1700"/>
      <c r="U133" s="262"/>
      <c r="V133" s="775"/>
      <c r="W133" s="776"/>
      <c r="X133" s="776"/>
      <c r="Y133" s="776"/>
      <c r="Z133" s="776"/>
      <c r="AA133" s="776"/>
      <c r="AB133" s="776"/>
      <c r="AC133" s="783"/>
      <c r="AD133" s="776"/>
      <c r="AE133" s="776"/>
      <c r="AF133" s="777"/>
    </row>
    <row r="134" spans="20:33" ht="15" customHeight="1" x14ac:dyDescent="0.25">
      <c r="T134" s="1699" t="str">
        <f>MODELAGEM!H128</f>
        <v>MOLDE 14</v>
      </c>
      <c r="U134" s="761">
        <f>U131+1</f>
        <v>53</v>
      </c>
      <c r="V134" s="767" t="str">
        <f>MODELAGEM!K128</f>
        <v>NÃO</v>
      </c>
      <c r="W134" s="1657" t="str">
        <f>MODELAGEM!H129</f>
        <v>NOME</v>
      </c>
      <c r="X134" s="1657"/>
      <c r="Y134" s="1655" t="str">
        <f>MODELAGEM!M128</f>
        <v>Tec. Externo</v>
      </c>
      <c r="Z134" s="1655"/>
      <c r="AA134" s="778">
        <f>MODELAGEM!N128</f>
        <v>49.9</v>
      </c>
      <c r="AB134" s="750">
        <f>IF(V134="NÃO",0,((Z135*MODELAGEM!P128/(MODELAGEM!R128/MODELAGEM!L128))/100))</f>
        <v>0</v>
      </c>
      <c r="AC134" s="796">
        <f t="shared" ref="AC134" si="65">AC131</f>
        <v>2.5</v>
      </c>
      <c r="AD134" s="779"/>
      <c r="AE134" s="769">
        <f>IF(V134="NÃO",0,((Z135/(MODELAGEM!R128))*(AC134*2/100)+AB134)*W135)</f>
        <v>0</v>
      </c>
      <c r="AF134" s="772">
        <f>AE134*AA134</f>
        <v>0</v>
      </c>
      <c r="AG134" s="400">
        <f>IF(V134="SIM",1,IF(V136="SIM",1,IF(V138="SIM",1,0)))</f>
        <v>0</v>
      </c>
    </row>
    <row r="135" spans="20:33" ht="15" customHeight="1" x14ac:dyDescent="0.25">
      <c r="T135" s="1699"/>
      <c r="V135" s="20"/>
      <c r="W135" s="10" t="str">
        <f>IF(V134="SIM","1","0")</f>
        <v>0</v>
      </c>
      <c r="X135" s="10"/>
      <c r="Z135" s="140">
        <f>Z130</f>
        <v>20</v>
      </c>
      <c r="AA135" s="22"/>
      <c r="AB135" s="34"/>
      <c r="AC135" s="186"/>
      <c r="AE135" s="184"/>
      <c r="AF135" s="184"/>
    </row>
    <row r="136" spans="20:33" ht="15" customHeight="1" x14ac:dyDescent="0.25">
      <c r="T136" s="1699"/>
      <c r="U136">
        <f>U134+1</f>
        <v>54</v>
      </c>
      <c r="V136" s="767" t="str">
        <f>MODELAGEM!K130</f>
        <v>NÃO</v>
      </c>
      <c r="W136" s="1657" t="s">
        <v>712</v>
      </c>
      <c r="X136" s="1657"/>
      <c r="Y136" s="1655" t="str">
        <f>MODELAGEM!M130</f>
        <v>Entretela</v>
      </c>
      <c r="Z136" s="1655"/>
      <c r="AA136" s="778">
        <f>MODELAGEM!N130</f>
        <v>16</v>
      </c>
      <c r="AB136" s="750">
        <f>IF(V136="NÃO",0,((Z137*MODELAGEM!P130/(MODELAGEM!R130/MODELAGEM!L130))/100))</f>
        <v>0</v>
      </c>
      <c r="AC136" s="779">
        <f t="shared" ref="AC136" si="66">AC134</f>
        <v>2.5</v>
      </c>
      <c r="AD136" s="779"/>
      <c r="AE136" s="769">
        <f>IF(V136="NÃO",0,((Z137/(MODELAGEM!R130))*(AC136*2/100)+AB136)*W137)</f>
        <v>0</v>
      </c>
      <c r="AF136" s="770">
        <f>AE136*AA136</f>
        <v>0</v>
      </c>
    </row>
    <row r="137" spans="20:33" ht="15" customHeight="1" x14ac:dyDescent="0.25">
      <c r="T137" s="1699"/>
      <c r="V137" s="20"/>
      <c r="W137" s="10" t="str">
        <f>IF(V136="SIM","1","0")</f>
        <v>0</v>
      </c>
      <c r="X137" s="10"/>
      <c r="Z137" s="140">
        <f>Z135</f>
        <v>20</v>
      </c>
      <c r="AA137" s="22"/>
      <c r="AB137" s="34"/>
      <c r="AC137" s="186"/>
      <c r="AD137" s="186"/>
      <c r="AE137" s="184"/>
      <c r="AF137" s="184"/>
    </row>
    <row r="138" spans="20:33" ht="15" customHeight="1" x14ac:dyDescent="0.25">
      <c r="T138" s="1699"/>
      <c r="U138">
        <f>U136+1</f>
        <v>55</v>
      </c>
      <c r="V138" s="767" t="str">
        <f>MODELAGEM!K132</f>
        <v>NÃO</v>
      </c>
      <c r="W138" s="1657" t="s">
        <v>712</v>
      </c>
      <c r="X138" s="1657"/>
      <c r="Y138" s="1655" t="str">
        <f>MODELAGEM!M132</f>
        <v>Forro</v>
      </c>
      <c r="Z138" s="1655"/>
      <c r="AA138" s="778">
        <f>MODELAGEM!N132</f>
        <v>19.899999999999999</v>
      </c>
      <c r="AB138" s="750">
        <f>IF(V138="NÃO",0,((Z139*MODELAGEM!P132/(MODELAGEM!R132/MODELAGEM!L132))/100))</f>
        <v>0</v>
      </c>
      <c r="AC138" s="779">
        <f t="shared" ref="AC138" si="67">AC136</f>
        <v>2.5</v>
      </c>
      <c r="AD138" s="779"/>
      <c r="AE138" s="769">
        <f>IF(V138="NÃO",0,((Z139/(MODELAGEM!R132))*(AC138*2/100)+AB138)*W139)</f>
        <v>0</v>
      </c>
      <c r="AF138" s="770">
        <f>AE138*AA138</f>
        <v>0</v>
      </c>
    </row>
    <row r="139" spans="20:33" ht="15" customHeight="1" x14ac:dyDescent="0.25">
      <c r="T139" s="1699"/>
      <c r="V139" s="20"/>
      <c r="W139" s="10" t="str">
        <f>IF(V138="SIM","1","0")</f>
        <v>0</v>
      </c>
      <c r="X139" s="10"/>
      <c r="Z139" s="140">
        <f>Z137</f>
        <v>20</v>
      </c>
      <c r="AA139" s="22"/>
      <c r="AB139" s="34"/>
      <c r="AC139" s="186"/>
      <c r="AE139" s="184"/>
      <c r="AF139" s="184"/>
    </row>
    <row r="140" spans="20:33" ht="15" customHeight="1" x14ac:dyDescent="0.25">
      <c r="T140" s="1699"/>
      <c r="U140">
        <f>U138+1</f>
        <v>56</v>
      </c>
      <c r="V140" s="767" t="str">
        <f>MODELAGEM!K134</f>
        <v>NÃO</v>
      </c>
      <c r="W140" s="1657" t="s">
        <v>712</v>
      </c>
      <c r="X140" s="1657"/>
      <c r="Y140" s="1655" t="str">
        <f>MODELAGEM!M134</f>
        <v>Forro</v>
      </c>
      <c r="Z140" s="1655"/>
      <c r="AA140" s="780">
        <f>MODELAGEM!N134</f>
        <v>19.899999999999999</v>
      </c>
      <c r="AB140" s="781">
        <f>IF(V140="NÃO",0,((Z141*MODELAGEM!P134/(MODELAGEM!R134/MODELAGEM!L134))/100))</f>
        <v>0</v>
      </c>
      <c r="AC140" s="779">
        <f t="shared" ref="AC140" si="68">AC138</f>
        <v>2.5</v>
      </c>
      <c r="AD140" s="779"/>
      <c r="AE140" s="769">
        <f>IF(V140="NÃO",0,((Z141/(MODELAGEM!R134))*(AC140*2/100)+AB140)*W141)</f>
        <v>0</v>
      </c>
      <c r="AF140" s="770">
        <f>AE140*AA140</f>
        <v>0</v>
      </c>
    </row>
    <row r="141" spans="20:33" ht="15" customHeight="1" x14ac:dyDescent="0.25">
      <c r="T141" s="1699"/>
      <c r="V141" s="20"/>
      <c r="W141" s="10" t="str">
        <f>IF(V140="SIM","1","0")</f>
        <v>0</v>
      </c>
      <c r="X141" s="10"/>
      <c r="Z141" s="140">
        <f>Z139</f>
        <v>20</v>
      </c>
      <c r="AA141" s="22"/>
      <c r="AB141" s="34"/>
      <c r="AC141" s="186"/>
      <c r="AD141" s="186"/>
      <c r="AE141" s="184"/>
      <c r="AF141" s="184"/>
    </row>
    <row r="142" spans="20:33" ht="15" customHeight="1" x14ac:dyDescent="0.25">
      <c r="T142" s="1699"/>
      <c r="U142" s="262"/>
      <c r="V142" s="764"/>
      <c r="W142" s="765"/>
      <c r="X142" s="765"/>
      <c r="Y142" s="765"/>
      <c r="Z142" s="765"/>
      <c r="AA142" s="765"/>
      <c r="AB142" s="765"/>
      <c r="AC142" s="783"/>
      <c r="AD142" s="765"/>
      <c r="AE142" s="765"/>
      <c r="AF142" s="763"/>
    </row>
    <row r="143" spans="20:33" ht="15" customHeight="1" x14ac:dyDescent="0.25">
      <c r="T143" s="1700" t="str">
        <f>MODELAGEM!H137</f>
        <v>MOLDE 15</v>
      </c>
      <c r="U143" s="761">
        <f>U140+1</f>
        <v>57</v>
      </c>
      <c r="V143" s="767" t="str">
        <f>MODELAGEM!K137</f>
        <v>NÃO</v>
      </c>
      <c r="W143" s="1657" t="str">
        <f>MODELAGEM!H138</f>
        <v>NOME</v>
      </c>
      <c r="X143" s="1657"/>
      <c r="Y143" s="1655" t="str">
        <f>MODELAGEM!M137</f>
        <v>Tec. Externo</v>
      </c>
      <c r="Z143" s="1655"/>
      <c r="AA143" s="778">
        <f>MODELAGEM!N137</f>
        <v>49.9</v>
      </c>
      <c r="AB143" s="750">
        <f>IF(V143="NÃO",0,((Z144*MODELAGEM!P137/(MODELAGEM!R137/MODELAGEM!L137))/100))</f>
        <v>0</v>
      </c>
      <c r="AC143" s="779">
        <f t="shared" ref="AC143" si="69">AC140</f>
        <v>2.5</v>
      </c>
      <c r="AD143" s="779"/>
      <c r="AE143" s="769">
        <f>IF(V143="NÃO",0,((Z144/(MODELAGEM!R137))*(AC143*2/100)+AB143)*W144)</f>
        <v>0</v>
      </c>
      <c r="AF143" s="770">
        <f>AE143*AA143</f>
        <v>0</v>
      </c>
      <c r="AG143" s="400">
        <f>IF(V143="SIM",1,IF(V145="SIM",1,IF(V147="SIM",1,0)))</f>
        <v>0</v>
      </c>
    </row>
    <row r="144" spans="20:33" ht="15" customHeight="1" x14ac:dyDescent="0.25">
      <c r="T144" s="1700"/>
      <c r="V144" s="20"/>
      <c r="W144" s="10" t="str">
        <f>IF(V143="SIM","1","0")</f>
        <v>0</v>
      </c>
      <c r="X144" s="10"/>
      <c r="Z144" s="140">
        <f>Z139</f>
        <v>20</v>
      </c>
      <c r="AA144" s="22"/>
      <c r="AB144" s="34"/>
      <c r="AC144" s="186"/>
      <c r="AE144" s="184"/>
      <c r="AF144" s="184"/>
    </row>
    <row r="145" spans="20:33" ht="15" customHeight="1" x14ac:dyDescent="0.25">
      <c r="T145" s="1700"/>
      <c r="U145">
        <f>U143+1</f>
        <v>58</v>
      </c>
      <c r="V145" s="767" t="str">
        <f>MODELAGEM!K139</f>
        <v>NÃO</v>
      </c>
      <c r="W145" s="1657" t="s">
        <v>712</v>
      </c>
      <c r="X145" s="1657"/>
      <c r="Y145" s="1655" t="str">
        <f>MODELAGEM!M139</f>
        <v>Entretela</v>
      </c>
      <c r="Z145" s="1655"/>
      <c r="AA145" s="778">
        <f>MODELAGEM!N139</f>
        <v>16</v>
      </c>
      <c r="AB145" s="750">
        <f>IF(V145="NÃO",0,((Z146*MODELAGEM!P139/(MODELAGEM!R139/MODELAGEM!L139))/100))</f>
        <v>0</v>
      </c>
      <c r="AC145" s="779">
        <f t="shared" si="62"/>
        <v>2.5</v>
      </c>
      <c r="AD145" s="779"/>
      <c r="AE145" s="769">
        <f>IF(V145="NÃO",0,((Z146/(MODELAGEM!R139))*(AC145*2/100)+AB145)*W146)</f>
        <v>0</v>
      </c>
      <c r="AF145" s="770">
        <f>AE145*AA145</f>
        <v>0</v>
      </c>
    </row>
    <row r="146" spans="20:33" ht="15" customHeight="1" x14ac:dyDescent="0.25">
      <c r="T146" s="1700"/>
      <c r="V146" s="20"/>
      <c r="W146" s="10" t="str">
        <f>IF(V145="SIM","1","0")</f>
        <v>0</v>
      </c>
      <c r="X146" s="10"/>
      <c r="Z146" s="140">
        <f>Z144</f>
        <v>20</v>
      </c>
      <c r="AA146" s="22"/>
      <c r="AB146" s="34"/>
      <c r="AC146" s="186"/>
      <c r="AD146" s="186"/>
      <c r="AE146" s="184"/>
      <c r="AF146" s="184"/>
    </row>
    <row r="147" spans="20:33" ht="15" customHeight="1" x14ac:dyDescent="0.25">
      <c r="T147" s="1700"/>
      <c r="U147">
        <f>U145+1</f>
        <v>59</v>
      </c>
      <c r="V147" s="767" t="str">
        <f>MODELAGEM!K141</f>
        <v>NÃO</v>
      </c>
      <c r="W147" s="1657" t="s">
        <v>712</v>
      </c>
      <c r="X147" s="1657"/>
      <c r="Y147" s="1655" t="str">
        <f>MODELAGEM!M141</f>
        <v>Forro</v>
      </c>
      <c r="Z147" s="1655"/>
      <c r="AA147" s="778">
        <f>MODELAGEM!N141</f>
        <v>19.899999999999999</v>
      </c>
      <c r="AB147" s="750">
        <f>IF(V147="NÃO",0,((Z148*MODELAGEM!P141/(MODELAGEM!R141/MODELAGEM!L141))/100))</f>
        <v>0</v>
      </c>
      <c r="AC147" s="779">
        <f t="shared" si="63"/>
        <v>2.5</v>
      </c>
      <c r="AD147" s="779"/>
      <c r="AE147" s="769">
        <f>IF(V147="NÃO",0,((Z148/(MODELAGEM!R141))*(AC147*2/100)+AB147)*W148)</f>
        <v>0</v>
      </c>
      <c r="AF147" s="770">
        <f>AE147*AA147</f>
        <v>0</v>
      </c>
    </row>
    <row r="148" spans="20:33" ht="15" customHeight="1" x14ac:dyDescent="0.25">
      <c r="T148" s="1700"/>
      <c r="V148" s="20"/>
      <c r="W148" s="10" t="str">
        <f>IF(V147="SIM","1","0")</f>
        <v>0</v>
      </c>
      <c r="X148" s="10"/>
      <c r="Z148" s="140">
        <f>Z146</f>
        <v>20</v>
      </c>
      <c r="AA148" s="22"/>
      <c r="AB148" s="34"/>
      <c r="AC148" s="186"/>
      <c r="AE148" s="184"/>
      <c r="AF148" s="184"/>
    </row>
    <row r="149" spans="20:33" ht="15" customHeight="1" x14ac:dyDescent="0.25">
      <c r="T149" s="1700"/>
      <c r="U149">
        <f>U147+1</f>
        <v>60</v>
      </c>
      <c r="V149" s="767" t="str">
        <f>MODELAGEM!K143</f>
        <v>NÃO</v>
      </c>
      <c r="W149" s="1657" t="s">
        <v>712</v>
      </c>
      <c r="X149" s="1657"/>
      <c r="Y149" s="1655" t="str">
        <f>MODELAGEM!M143</f>
        <v>Forro</v>
      </c>
      <c r="Z149" s="1655"/>
      <c r="AA149" s="780">
        <f>MODELAGEM!N143</f>
        <v>19.899999999999999</v>
      </c>
      <c r="AB149" s="781">
        <f>IF(V149="NÃO",0,((Z150*MODELAGEM!P143/(MODELAGEM!R143/MODELAGEM!L143))/100))</f>
        <v>0</v>
      </c>
      <c r="AC149" s="779">
        <f t="shared" si="64"/>
        <v>2.5</v>
      </c>
      <c r="AD149" s="779"/>
      <c r="AE149" s="769">
        <f>IF(V149="NÃO",0,((Z150/(MODELAGEM!R143))*(AC149*2/100)+AB149)*W150)</f>
        <v>0</v>
      </c>
      <c r="AF149" s="770">
        <f>AE149*AA149</f>
        <v>0</v>
      </c>
    </row>
    <row r="150" spans="20:33" ht="15" customHeight="1" x14ac:dyDescent="0.25">
      <c r="T150" s="1700"/>
      <c r="V150" s="20"/>
      <c r="W150" s="10" t="str">
        <f>IF(V149="SIM","1","0")</f>
        <v>0</v>
      </c>
      <c r="X150" s="10"/>
      <c r="Z150" s="140">
        <f>Z148</f>
        <v>20</v>
      </c>
      <c r="AA150" s="22"/>
      <c r="AB150" s="34"/>
      <c r="AC150" s="186"/>
      <c r="AD150" s="186"/>
      <c r="AE150" s="184"/>
      <c r="AF150" s="184"/>
    </row>
    <row r="151" spans="20:33" ht="15" customHeight="1" x14ac:dyDescent="0.25">
      <c r="T151" s="1700"/>
      <c r="U151" s="262"/>
      <c r="V151" s="764"/>
      <c r="W151" s="765"/>
      <c r="X151" s="765"/>
      <c r="Y151" s="765"/>
      <c r="Z151" s="765"/>
      <c r="AA151" s="765"/>
      <c r="AB151" s="765"/>
      <c r="AC151" s="783"/>
      <c r="AD151" s="765"/>
      <c r="AE151" s="765"/>
      <c r="AF151" s="763"/>
    </row>
    <row r="152" spans="20:33" ht="15" customHeight="1" x14ac:dyDescent="0.25">
      <c r="T152" s="1699" t="str">
        <f>MODELAGEM!H146</f>
        <v>MOLDE 16</v>
      </c>
      <c r="U152" s="761">
        <f>U149+1</f>
        <v>61</v>
      </c>
      <c r="V152" s="767" t="str">
        <f>MODELAGEM!K146</f>
        <v>NÃO</v>
      </c>
      <c r="W152" s="1657" t="str">
        <f>MODELAGEM!H147</f>
        <v>NOME</v>
      </c>
      <c r="X152" s="1657"/>
      <c r="Y152" s="1655" t="str">
        <f>MODELAGEM!M146</f>
        <v>Tec. Externo</v>
      </c>
      <c r="Z152" s="1655"/>
      <c r="AA152" s="778">
        <f>MODELAGEM!N146</f>
        <v>49.9</v>
      </c>
      <c r="AB152" s="750">
        <f>IF(V152="NÃO",0,((Z153*MODELAGEM!P146/(MODELAGEM!R146/MODELAGEM!L146))/100))</f>
        <v>0</v>
      </c>
      <c r="AC152" s="796">
        <f t="shared" ref="AC152" si="70">AC149</f>
        <v>2.5</v>
      </c>
      <c r="AD152" s="779"/>
      <c r="AE152" s="769">
        <f>IF(V152="NÃO",0,((Z153/(MODELAGEM!R146))*(AC152*2/100)+AB152)*W153)</f>
        <v>0</v>
      </c>
      <c r="AF152" s="770">
        <f>AE152*AA152</f>
        <v>0</v>
      </c>
      <c r="AG152" s="400">
        <f>IF(V152="SIM",1,IF(V154="SIM",1,IF(V156="SIM",1,0)))</f>
        <v>0</v>
      </c>
    </row>
    <row r="153" spans="20:33" ht="15" customHeight="1" x14ac:dyDescent="0.25">
      <c r="T153" s="1699"/>
      <c r="V153" s="20"/>
      <c r="W153" s="10" t="str">
        <f>IF(V152="SIM","1","0")</f>
        <v>0</v>
      </c>
      <c r="X153" s="10"/>
      <c r="Z153" s="140">
        <f>Z148</f>
        <v>20</v>
      </c>
      <c r="AA153" s="22"/>
      <c r="AB153" s="34"/>
      <c r="AC153" s="186"/>
      <c r="AE153" s="184"/>
      <c r="AF153" s="184"/>
    </row>
    <row r="154" spans="20:33" ht="15" customHeight="1" x14ac:dyDescent="0.25">
      <c r="T154" s="1699"/>
      <c r="U154">
        <f>U152+1</f>
        <v>62</v>
      </c>
      <c r="V154" s="767" t="str">
        <f>MODELAGEM!K148</f>
        <v>NÃO</v>
      </c>
      <c r="W154" s="1657" t="s">
        <v>712</v>
      </c>
      <c r="X154" s="1657"/>
      <c r="Y154" s="1655" t="str">
        <f>MODELAGEM!M148</f>
        <v>Forro</v>
      </c>
      <c r="Z154" s="1655"/>
      <c r="AA154" s="778">
        <f>MODELAGEM!N148</f>
        <v>19.899999999999999</v>
      </c>
      <c r="AB154" s="750">
        <f>IF(V154="NÃO",0,((Z155*MODELAGEM!P148/(MODELAGEM!R148/MODELAGEM!L148))/100))</f>
        <v>0</v>
      </c>
      <c r="AC154" s="779">
        <f t="shared" ref="AC154" si="71">AC152</f>
        <v>2.5</v>
      </c>
      <c r="AD154" s="779"/>
      <c r="AE154" s="769">
        <f>IF(V154="NÃO",0,((Z155/(MODELAGEM!R148))*(AC154*2/100)+AB154)*W155)</f>
        <v>0</v>
      </c>
      <c r="AF154" s="770">
        <f>AE154*AA154</f>
        <v>0</v>
      </c>
    </row>
    <row r="155" spans="20:33" ht="15" customHeight="1" x14ac:dyDescent="0.25">
      <c r="T155" s="1699"/>
      <c r="V155" s="20"/>
      <c r="W155" s="10" t="str">
        <f>IF(V154="SIM","1","0")</f>
        <v>0</v>
      </c>
      <c r="X155" s="10"/>
      <c r="Z155" s="140">
        <f>Z153</f>
        <v>20</v>
      </c>
      <c r="AA155" s="22"/>
      <c r="AB155" s="34"/>
      <c r="AC155" s="186"/>
      <c r="AD155" s="186"/>
      <c r="AE155" s="184"/>
      <c r="AF155" s="184"/>
    </row>
    <row r="156" spans="20:33" ht="15" customHeight="1" x14ac:dyDescent="0.25">
      <c r="T156" s="1699"/>
      <c r="U156">
        <f>U154+1</f>
        <v>63</v>
      </c>
      <c r="V156" s="767" t="str">
        <f>MODELAGEM!K150</f>
        <v>NÃO</v>
      </c>
      <c r="W156" s="1657" t="s">
        <v>712</v>
      </c>
      <c r="X156" s="1657"/>
      <c r="Y156" s="1655" t="str">
        <f>MODELAGEM!M150</f>
        <v>Forro</v>
      </c>
      <c r="Z156" s="1655"/>
      <c r="AA156" s="778">
        <f>MODELAGEM!N150</f>
        <v>19.899999999999999</v>
      </c>
      <c r="AB156" s="750">
        <f>IF(V156="NÃO",0,((Z157*MODELAGEM!P150/(MODELAGEM!R150/MODELAGEM!L150))/100))</f>
        <v>0</v>
      </c>
      <c r="AC156" s="779">
        <f t="shared" ref="AC156" si="72">AC154</f>
        <v>2.5</v>
      </c>
      <c r="AD156" s="779"/>
      <c r="AE156" s="769">
        <f>IF(V156="NÃO",0,((Z157/(MODELAGEM!R150))*(AC156*2/100)+AB156)*W157)</f>
        <v>0</v>
      </c>
      <c r="AF156" s="770">
        <f>AE156*AA156</f>
        <v>0</v>
      </c>
    </row>
    <row r="157" spans="20:33" ht="15" customHeight="1" x14ac:dyDescent="0.25">
      <c r="T157" s="1699"/>
      <c r="V157" s="20"/>
      <c r="W157" s="10" t="str">
        <f>IF(V156="SIM","1","0")</f>
        <v>0</v>
      </c>
      <c r="X157" s="10"/>
      <c r="Z157" s="140">
        <f>Z155</f>
        <v>20</v>
      </c>
      <c r="AA157" s="22"/>
      <c r="AB157" s="34"/>
      <c r="AC157" s="186"/>
      <c r="AE157" s="184"/>
      <c r="AF157" s="184"/>
    </row>
    <row r="158" spans="20:33" ht="15" customHeight="1" x14ac:dyDescent="0.25">
      <c r="T158" s="1699"/>
      <c r="U158">
        <f>U156+1</f>
        <v>64</v>
      </c>
      <c r="V158" s="767" t="str">
        <f>MODELAGEM!K152</f>
        <v>NÃO</v>
      </c>
      <c r="W158" s="1657" t="s">
        <v>712</v>
      </c>
      <c r="X158" s="1657"/>
      <c r="Y158" s="1655" t="str">
        <f>MODELAGEM!M152</f>
        <v>Forro</v>
      </c>
      <c r="Z158" s="1655"/>
      <c r="AA158" s="780">
        <f>MODELAGEM!N152</f>
        <v>19.899999999999999</v>
      </c>
      <c r="AB158" s="781">
        <f>IF(V158="NÃO",0,((Z159*MODELAGEM!P152/(MODELAGEM!R152/MODELAGEM!L152))/100))</f>
        <v>0</v>
      </c>
      <c r="AC158" s="779">
        <f t="shared" ref="AC158" si="73">AC156</f>
        <v>2.5</v>
      </c>
      <c r="AD158" s="779"/>
      <c r="AE158" s="769">
        <f>IF(V158="NÃO",0,((Z159/(MODELAGEM!R152))*(AC158*2/100)+AB158)*W159)</f>
        <v>0</v>
      </c>
      <c r="AF158" s="770">
        <f>AE158*AA158</f>
        <v>0</v>
      </c>
    </row>
    <row r="159" spans="20:33" ht="15" customHeight="1" x14ac:dyDescent="0.25">
      <c r="T159" s="1699"/>
      <c r="V159" s="20"/>
      <c r="W159" s="10" t="str">
        <f>IF(V158="SIM","1","0")</f>
        <v>0</v>
      </c>
      <c r="X159" s="10"/>
      <c r="Z159" s="140">
        <f>Z157</f>
        <v>20</v>
      </c>
      <c r="AA159" s="22"/>
      <c r="AB159" s="34"/>
      <c r="AC159" s="186"/>
      <c r="AD159" s="186"/>
      <c r="AE159" s="184"/>
      <c r="AF159" s="184"/>
    </row>
    <row r="160" spans="20:33" ht="15" customHeight="1" x14ac:dyDescent="0.25">
      <c r="T160" s="1699"/>
      <c r="U160" s="262"/>
      <c r="V160" s="764"/>
      <c r="W160" s="765"/>
      <c r="X160" s="765"/>
      <c r="Y160" s="765"/>
      <c r="Z160" s="765"/>
      <c r="AA160" s="765"/>
      <c r="AB160" s="765"/>
      <c r="AC160" s="783"/>
      <c r="AD160" s="765"/>
      <c r="AE160" s="765"/>
      <c r="AF160" s="763"/>
    </row>
    <row r="161" spans="20:33" ht="15" customHeight="1" x14ac:dyDescent="0.25">
      <c r="T161" s="1700" t="str">
        <f>MODELAGEM!H155</f>
        <v>MOLDE 17</v>
      </c>
      <c r="U161" s="761">
        <f>U158+1</f>
        <v>65</v>
      </c>
      <c r="V161" s="767" t="str">
        <f>MODELAGEM!K155</f>
        <v>NÃO</v>
      </c>
      <c r="W161" s="1657" t="str">
        <f>MODELAGEM!H156</f>
        <v>NOME</v>
      </c>
      <c r="X161" s="1657"/>
      <c r="Y161" s="1655" t="str">
        <f>MODELAGEM!M155</f>
        <v>Forro</v>
      </c>
      <c r="Z161" s="1655"/>
      <c r="AA161" s="778">
        <f>MODELAGEM!N155</f>
        <v>19.899999999999999</v>
      </c>
      <c r="AB161" s="750">
        <f>IF(V161="NÃO",0,((Z162*MODELAGEM!P155/(MODELAGEM!R155/MODELAGEM!L155))/100))</f>
        <v>0</v>
      </c>
      <c r="AC161" s="779">
        <f t="shared" ref="AC161" si="74">AC158</f>
        <v>2.5</v>
      </c>
      <c r="AD161" s="779"/>
      <c r="AE161" s="769">
        <f>IF(V161="NÃO",0,((Z162/(MODELAGEM!R155))*(AC161*2/100)+AB161)*W162)</f>
        <v>0</v>
      </c>
      <c r="AF161" s="770">
        <f>AE161*AA161</f>
        <v>0</v>
      </c>
      <c r="AG161" s="400">
        <f>IF(V161="SIM",1,IF(V163="SIM",1,IF(V165="SIM",1,0)))</f>
        <v>0</v>
      </c>
    </row>
    <row r="162" spans="20:33" ht="15" customHeight="1" x14ac:dyDescent="0.25">
      <c r="T162" s="1700"/>
      <c r="V162" s="20"/>
      <c r="W162" s="10" t="str">
        <f>IF(V161="SIM","1","0")</f>
        <v>0</v>
      </c>
      <c r="X162" s="10"/>
      <c r="Z162" s="140">
        <f>Z157</f>
        <v>20</v>
      </c>
      <c r="AA162" s="22"/>
      <c r="AB162" s="34"/>
      <c r="AC162" s="186"/>
      <c r="AE162" s="184"/>
      <c r="AF162" s="184"/>
    </row>
    <row r="163" spans="20:33" ht="15" customHeight="1" x14ac:dyDescent="0.25">
      <c r="T163" s="1700"/>
      <c r="U163">
        <f>U161+1</f>
        <v>66</v>
      </c>
      <c r="V163" s="767" t="str">
        <f>MODELAGEM!K157</f>
        <v>NÃO</v>
      </c>
      <c r="W163" s="1657" t="s">
        <v>712</v>
      </c>
      <c r="X163" s="1657"/>
      <c r="Y163" s="1655" t="str">
        <f>MODELAGEM!M157</f>
        <v>Entretela</v>
      </c>
      <c r="Z163" s="1655"/>
      <c r="AA163" s="778">
        <f>MODELAGEM!N157</f>
        <v>16</v>
      </c>
      <c r="AB163" s="750">
        <f>IF(V163="NÃO",0,((Z164*MODELAGEM!P157/(MODELAGEM!R157/MODELAGEM!L157))/100))</f>
        <v>0</v>
      </c>
      <c r="AC163" s="779">
        <f t="shared" si="62"/>
        <v>2.5</v>
      </c>
      <c r="AD163" s="779"/>
      <c r="AE163" s="769">
        <f>IF(V163="NÃO",0,((Z164/(MODELAGEM!R157))*(AC163*2/100)+AB163)*W164)</f>
        <v>0</v>
      </c>
      <c r="AF163" s="770">
        <f>AE163*AA163</f>
        <v>0</v>
      </c>
    </row>
    <row r="164" spans="20:33" ht="15" customHeight="1" x14ac:dyDescent="0.25">
      <c r="T164" s="1700"/>
      <c r="V164" s="20"/>
      <c r="W164" s="10" t="str">
        <f>IF(V163="SIM","1","0")</f>
        <v>0</v>
      </c>
      <c r="X164" s="10"/>
      <c r="Z164" s="140">
        <f>Z162</f>
        <v>20</v>
      </c>
      <c r="AA164" s="22"/>
      <c r="AB164" s="34"/>
      <c r="AC164" s="186"/>
      <c r="AD164" s="186"/>
      <c r="AE164" s="184"/>
      <c r="AF164" s="184"/>
    </row>
    <row r="165" spans="20:33" ht="15" customHeight="1" x14ac:dyDescent="0.25">
      <c r="T165" s="1700"/>
      <c r="U165">
        <f>U163+1</f>
        <v>67</v>
      </c>
      <c r="V165" s="767" t="str">
        <f>MODELAGEM!K159</f>
        <v>NÃO</v>
      </c>
      <c r="W165" s="1657" t="s">
        <v>712</v>
      </c>
      <c r="X165" s="1657"/>
      <c r="Y165" s="1655" t="str">
        <f>MODELAGEM!M159</f>
        <v>Forro</v>
      </c>
      <c r="Z165" s="1655"/>
      <c r="AA165" s="778">
        <f>MODELAGEM!N159</f>
        <v>19.899999999999999</v>
      </c>
      <c r="AB165" s="750">
        <f>IF(V165="NÃO",0,((Z166*MODELAGEM!P159/(MODELAGEM!R159/MODELAGEM!L159))/100))</f>
        <v>0</v>
      </c>
      <c r="AC165" s="779">
        <f t="shared" si="63"/>
        <v>2.5</v>
      </c>
      <c r="AD165" s="779"/>
      <c r="AE165" s="769">
        <f>IF(V165="NÃO",0,((Z166/(MODELAGEM!R159))*(AC165*2/100)+AB165)*W166)</f>
        <v>0</v>
      </c>
      <c r="AF165" s="770">
        <f>AE165*AA165</f>
        <v>0</v>
      </c>
    </row>
    <row r="166" spans="20:33" ht="15" customHeight="1" x14ac:dyDescent="0.25">
      <c r="T166" s="1700"/>
      <c r="V166" s="20"/>
      <c r="W166" s="10" t="str">
        <f>IF(V165="SIM","1","0")</f>
        <v>0</v>
      </c>
      <c r="X166" s="10"/>
      <c r="Z166" s="140">
        <f>Z164</f>
        <v>20</v>
      </c>
      <c r="AA166" s="22"/>
      <c r="AB166" s="34"/>
      <c r="AC166" s="186"/>
      <c r="AE166" s="184"/>
      <c r="AF166" s="184"/>
    </row>
    <row r="167" spans="20:33" ht="15" customHeight="1" x14ac:dyDescent="0.25">
      <c r="T167" s="1700"/>
      <c r="U167">
        <f>U165+1</f>
        <v>68</v>
      </c>
      <c r="V167" s="767" t="str">
        <f>MODELAGEM!K161</f>
        <v>NÃO</v>
      </c>
      <c r="W167" s="1657" t="s">
        <v>712</v>
      </c>
      <c r="X167" s="1657"/>
      <c r="Y167" s="1655" t="str">
        <f>MODELAGEM!M161</f>
        <v>Forro</v>
      </c>
      <c r="Z167" s="1655"/>
      <c r="AA167" s="780">
        <f>MODELAGEM!N161</f>
        <v>19.899999999999999</v>
      </c>
      <c r="AB167" s="781">
        <f>IF(V167="NÃO",0,((Z168*MODELAGEM!P161/(MODELAGEM!R161/MODELAGEM!L161))/100))</f>
        <v>0</v>
      </c>
      <c r="AC167" s="779">
        <f t="shared" si="64"/>
        <v>2.5</v>
      </c>
      <c r="AD167" s="779"/>
      <c r="AE167" s="769">
        <f>IF(V167="NÃO",0,((Z168/(MODELAGEM!R161))*(AC167*2/100)+AB167)*W168)</f>
        <v>0</v>
      </c>
      <c r="AF167" s="770">
        <f>AE167*AA167</f>
        <v>0</v>
      </c>
    </row>
    <row r="168" spans="20:33" ht="15" customHeight="1" x14ac:dyDescent="0.25">
      <c r="T168" s="1700"/>
      <c r="V168" s="20"/>
      <c r="W168" s="10" t="str">
        <f>IF(V167="SIM","1","0")</f>
        <v>0</v>
      </c>
      <c r="X168" s="10"/>
      <c r="Z168" s="140">
        <f>Z166</f>
        <v>20</v>
      </c>
      <c r="AA168" s="22"/>
      <c r="AB168" s="34"/>
      <c r="AC168" s="186"/>
      <c r="AD168" s="186"/>
      <c r="AE168" s="184"/>
      <c r="AF168" s="184"/>
    </row>
    <row r="169" spans="20:33" ht="15" customHeight="1" x14ac:dyDescent="0.25">
      <c r="T169" s="1700"/>
      <c r="U169" s="262"/>
      <c r="V169" s="775"/>
      <c r="W169" s="776"/>
      <c r="X169" s="776"/>
      <c r="Y169" s="776"/>
      <c r="Z169" s="776"/>
      <c r="AA169" s="776"/>
      <c r="AB169" s="776"/>
      <c r="AC169" s="783"/>
      <c r="AD169" s="776"/>
      <c r="AE169" s="776"/>
      <c r="AF169" s="777"/>
    </row>
    <row r="170" spans="20:33" ht="15" customHeight="1" x14ac:dyDescent="0.25">
      <c r="T170" s="1699" t="str">
        <f>MODELAGEM!H164</f>
        <v>MOLDE 18</v>
      </c>
      <c r="U170" s="761">
        <f>U167+1</f>
        <v>69</v>
      </c>
      <c r="V170" s="767" t="str">
        <f>MODELAGEM!K164</f>
        <v>NÃO</v>
      </c>
      <c r="W170" s="1657" t="str">
        <f>MODELAGEM!H165</f>
        <v>NOME</v>
      </c>
      <c r="X170" s="1657"/>
      <c r="Y170" s="1655" t="str">
        <f>MODELAGEM!M164</f>
        <v>Tec. Externo</v>
      </c>
      <c r="Z170" s="1655"/>
      <c r="AA170" s="778">
        <f>MODELAGEM!N164</f>
        <v>49.9</v>
      </c>
      <c r="AB170" s="750">
        <f>IF(V170="NÃO",0,((Z171*MODELAGEM!P164/(MODELAGEM!R164/MODELAGEM!L164))/100))</f>
        <v>0</v>
      </c>
      <c r="AC170" s="796">
        <f t="shared" ref="AC170" si="75">AC167</f>
        <v>2.5</v>
      </c>
      <c r="AD170" s="779"/>
      <c r="AE170" s="769">
        <f>IF(V170="NÃO",0,((Z171/(MODELAGEM!R164))*(AC170*2/100)+AB170)*W171)</f>
        <v>0</v>
      </c>
      <c r="AF170" s="770">
        <f>AE170*AA170</f>
        <v>0</v>
      </c>
      <c r="AG170" s="400">
        <f>IF(V170="SIM",1,IF(V172="SIM",1,IF(V174="SIM",1,0)))</f>
        <v>0</v>
      </c>
    </row>
    <row r="171" spans="20:33" ht="15" customHeight="1" x14ac:dyDescent="0.25">
      <c r="T171" s="1699"/>
      <c r="V171" s="20"/>
      <c r="W171" s="10" t="str">
        <f>IF(V170="SIM","1","0")</f>
        <v>0</v>
      </c>
      <c r="X171" s="10"/>
      <c r="Z171" s="140">
        <f>Z166</f>
        <v>20</v>
      </c>
      <c r="AA171" s="22"/>
      <c r="AB171" s="34"/>
      <c r="AC171" s="186"/>
      <c r="AE171" s="184"/>
      <c r="AF171" s="184"/>
    </row>
    <row r="172" spans="20:33" ht="15" customHeight="1" x14ac:dyDescent="0.25">
      <c r="T172" s="1699"/>
      <c r="U172">
        <f>U170+1</f>
        <v>70</v>
      </c>
      <c r="V172" s="767" t="str">
        <f>MODELAGEM!K166</f>
        <v>NÃO</v>
      </c>
      <c r="W172" s="1657" t="s">
        <v>712</v>
      </c>
      <c r="X172" s="1657"/>
      <c r="Y172" s="1655" t="str">
        <f>MODELAGEM!M166</f>
        <v>Entretela</v>
      </c>
      <c r="Z172" s="1655"/>
      <c r="AA172" s="778">
        <f>MODELAGEM!N166</f>
        <v>16</v>
      </c>
      <c r="AB172" s="750">
        <f>IF(V172="NÃO",0,((Z173*MODELAGEM!P166/(MODELAGEM!R166/MODELAGEM!L166))/100))</f>
        <v>0</v>
      </c>
      <c r="AC172" s="779">
        <f t="shared" ref="AC172" si="76">AC170</f>
        <v>2.5</v>
      </c>
      <c r="AD172" s="779"/>
      <c r="AE172" s="769">
        <f>IF(V172="NÃO",0,((Z173/(MODELAGEM!R166))*(AC172*2/100)+AB172)*W173)</f>
        <v>0</v>
      </c>
      <c r="AF172" s="770">
        <f>AE172*AA172</f>
        <v>0</v>
      </c>
    </row>
    <row r="173" spans="20:33" ht="15" customHeight="1" x14ac:dyDescent="0.25">
      <c r="T173" s="1699"/>
      <c r="V173" s="20"/>
      <c r="W173" s="10" t="str">
        <f>IF(V172="SIM","1","0")</f>
        <v>0</v>
      </c>
      <c r="X173" s="10"/>
      <c r="Z173" s="140">
        <f>Z171</f>
        <v>20</v>
      </c>
      <c r="AA173" s="22"/>
      <c r="AB173" s="34"/>
      <c r="AC173" s="186"/>
      <c r="AD173" s="186"/>
      <c r="AE173" s="184"/>
      <c r="AF173" s="184"/>
    </row>
    <row r="174" spans="20:33" ht="15" customHeight="1" x14ac:dyDescent="0.25">
      <c r="T174" s="1699"/>
      <c r="U174">
        <f>U172+1</f>
        <v>71</v>
      </c>
      <c r="V174" s="767" t="str">
        <f>MODELAGEM!K168</f>
        <v>NÃO</v>
      </c>
      <c r="W174" s="1657" t="s">
        <v>712</v>
      </c>
      <c r="X174" s="1657"/>
      <c r="Y174" s="1655" t="str">
        <f>MODELAGEM!M168</f>
        <v>Tec. Externo</v>
      </c>
      <c r="Z174" s="1655"/>
      <c r="AA174" s="778">
        <f>MODELAGEM!N168</f>
        <v>49.9</v>
      </c>
      <c r="AB174" s="750">
        <f>IF(V174="NÃO",0,((Z175*MODELAGEM!P168/(MODELAGEM!R168/MODELAGEM!L168))/100))</f>
        <v>0</v>
      </c>
      <c r="AC174" s="779">
        <f t="shared" ref="AC174" si="77">AC172</f>
        <v>2.5</v>
      </c>
      <c r="AD174" s="779"/>
      <c r="AE174" s="769">
        <f>IF(V174="NÃO",0,((Z175/(MODELAGEM!R168))*(AC174*2/100)+AB174)*W175)</f>
        <v>0</v>
      </c>
      <c r="AF174" s="770">
        <f>AE174*AA174</f>
        <v>0</v>
      </c>
    </row>
    <row r="175" spans="20:33" ht="15" customHeight="1" x14ac:dyDescent="0.25">
      <c r="T175" s="1699"/>
      <c r="V175" s="20"/>
      <c r="W175" s="10" t="str">
        <f>IF(V174="SIM","1","0")</f>
        <v>0</v>
      </c>
      <c r="X175" s="10"/>
      <c r="Z175" s="140">
        <f>Z173</f>
        <v>20</v>
      </c>
      <c r="AA175" s="22"/>
      <c r="AB175" s="34"/>
      <c r="AC175" s="186"/>
      <c r="AE175" s="184"/>
      <c r="AF175" s="184"/>
    </row>
    <row r="176" spans="20:33" ht="15" customHeight="1" x14ac:dyDescent="0.25">
      <c r="T176" s="1699"/>
      <c r="U176">
        <f>U174+1</f>
        <v>72</v>
      </c>
      <c r="V176" s="767" t="str">
        <f>MODELAGEM!K170</f>
        <v>NÃO</v>
      </c>
      <c r="W176" s="1657" t="s">
        <v>712</v>
      </c>
      <c r="X176" s="1657"/>
      <c r="Y176" s="1655" t="str">
        <f>MODELAGEM!M170</f>
        <v>Forro</v>
      </c>
      <c r="Z176" s="1655"/>
      <c r="AA176" s="780">
        <f>MODELAGEM!N170</f>
        <v>19.899999999999999</v>
      </c>
      <c r="AB176" s="781">
        <f>IF(V176="NÃO",0,((Z177*MODELAGEM!P170/(MODELAGEM!R170/MODELAGEM!L170))/100))</f>
        <v>0</v>
      </c>
      <c r="AC176" s="779">
        <f t="shared" ref="AC176" si="78">AC174</f>
        <v>2.5</v>
      </c>
      <c r="AD176" s="779"/>
      <c r="AE176" s="769">
        <f>IF(V176="NÃO",0,((Z177/(MODELAGEM!R170))*(AC176*2/100)+AB176)*W177)</f>
        <v>0</v>
      </c>
      <c r="AF176" s="770">
        <f>AE176*AA176</f>
        <v>0</v>
      </c>
    </row>
    <row r="177" spans="20:33" ht="15" customHeight="1" x14ac:dyDescent="0.25">
      <c r="T177" s="1699"/>
      <c r="V177" s="20"/>
      <c r="W177" s="10" t="str">
        <f>IF(V176="SIM","1","0")</f>
        <v>0</v>
      </c>
      <c r="X177" s="10"/>
      <c r="Z177" s="140">
        <f>Z175</f>
        <v>20</v>
      </c>
      <c r="AA177" s="22"/>
      <c r="AB177" s="34"/>
      <c r="AC177" s="186"/>
      <c r="AD177" s="186"/>
      <c r="AE177" s="184"/>
      <c r="AF177" s="184"/>
    </row>
    <row r="178" spans="20:33" ht="15" customHeight="1" x14ac:dyDescent="0.25">
      <c r="T178" s="1699"/>
      <c r="U178" s="262"/>
      <c r="V178" s="775"/>
      <c r="W178" s="776"/>
      <c r="X178" s="776"/>
      <c r="Y178" s="776"/>
      <c r="Z178" s="776"/>
      <c r="AA178" s="776"/>
      <c r="AB178" s="776"/>
      <c r="AC178" s="783"/>
      <c r="AD178" s="776"/>
      <c r="AE178" s="776"/>
      <c r="AF178" s="777"/>
    </row>
    <row r="179" spans="20:33" ht="15" customHeight="1" x14ac:dyDescent="0.25">
      <c r="T179" s="1700" t="str">
        <f>MODELAGEM!H173</f>
        <v>MOLDE 19</v>
      </c>
      <c r="U179" s="761">
        <f>U176+1</f>
        <v>73</v>
      </c>
      <c r="V179" s="767" t="str">
        <f>MODELAGEM!K173</f>
        <v>NÃO</v>
      </c>
      <c r="W179" s="1657" t="str">
        <f>MODELAGEM!H174</f>
        <v>NOME</v>
      </c>
      <c r="X179" s="1657"/>
      <c r="Y179" s="1655" t="str">
        <f>MODELAGEM!M173</f>
        <v>Forro</v>
      </c>
      <c r="Z179" s="1655"/>
      <c r="AA179" s="778">
        <f>MODELAGEM!N173</f>
        <v>19.899999999999999</v>
      </c>
      <c r="AB179" s="750">
        <f>IF(V179="NÃO",0,((Z180*MODELAGEM!P173/(MODELAGEM!R173/MODELAGEM!L173))/100))</f>
        <v>0</v>
      </c>
      <c r="AC179" s="779">
        <f t="shared" ref="AC179" si="79">AC176</f>
        <v>2.5</v>
      </c>
      <c r="AD179" s="779"/>
      <c r="AE179" s="769">
        <f>IF(V179="NÃO",0,((Z180/(MODELAGEM!R173))*(AC179*2/100)+AB179)*W180)</f>
        <v>0</v>
      </c>
      <c r="AF179" s="770">
        <f>AE179*AA179</f>
        <v>0</v>
      </c>
      <c r="AG179" s="400">
        <f>IF(V179="SIM",1,IF(V181="SIM",1,IF(V183="SIM",1,0)))</f>
        <v>0</v>
      </c>
    </row>
    <row r="180" spans="20:33" ht="15" customHeight="1" x14ac:dyDescent="0.25">
      <c r="T180" s="1700"/>
      <c r="V180" s="20"/>
      <c r="W180" s="10" t="str">
        <f>IF(V179="SIM","1","0")</f>
        <v>0</v>
      </c>
      <c r="X180" s="10"/>
      <c r="Z180" s="140">
        <f>Z175</f>
        <v>20</v>
      </c>
      <c r="AA180" s="22"/>
      <c r="AB180" s="34"/>
      <c r="AC180" s="186"/>
      <c r="AE180" s="184"/>
      <c r="AF180" s="184"/>
    </row>
    <row r="181" spans="20:33" ht="15" customHeight="1" x14ac:dyDescent="0.25">
      <c r="T181" s="1700"/>
      <c r="U181">
        <f>U179+1</f>
        <v>74</v>
      </c>
      <c r="V181" s="767" t="str">
        <f>MODELAGEM!K175</f>
        <v>NÃO</v>
      </c>
      <c r="W181" s="1657" t="s">
        <v>712</v>
      </c>
      <c r="X181" s="1657"/>
      <c r="Y181" s="1655" t="str">
        <f>MODELAGEM!M175</f>
        <v>Entretela</v>
      </c>
      <c r="Z181" s="1655"/>
      <c r="AA181" s="778">
        <f>MODELAGEM!N175</f>
        <v>16</v>
      </c>
      <c r="AB181" s="750">
        <f>IF(V181="NÃO",0,((Z182*MODELAGEM!P175/(MODELAGEM!R175/MODELAGEM!L175))/100))</f>
        <v>0</v>
      </c>
      <c r="AC181" s="779">
        <f t="shared" si="62"/>
        <v>2.5</v>
      </c>
      <c r="AD181" s="779"/>
      <c r="AE181" s="769">
        <f>IF(V181="NÃO",0,((Z182/(MODELAGEM!R175))*(AC181*2/100)+AB181)*W182)</f>
        <v>0</v>
      </c>
      <c r="AF181" s="770">
        <f>AE181*AA181</f>
        <v>0</v>
      </c>
    </row>
    <row r="182" spans="20:33" ht="15" customHeight="1" x14ac:dyDescent="0.25">
      <c r="T182" s="1700"/>
      <c r="V182" s="20"/>
      <c r="W182" s="10" t="str">
        <f>IF(V181="SIM","1","0")</f>
        <v>0</v>
      </c>
      <c r="X182" s="10"/>
      <c r="Z182" s="140">
        <f>Z180</f>
        <v>20</v>
      </c>
      <c r="AA182" s="22"/>
      <c r="AB182" s="34"/>
      <c r="AC182" s="186"/>
      <c r="AD182" s="186"/>
      <c r="AE182" s="184"/>
      <c r="AF182" s="184"/>
    </row>
    <row r="183" spans="20:33" ht="15" customHeight="1" x14ac:dyDescent="0.25">
      <c r="T183" s="1700"/>
      <c r="U183">
        <f>U181+1</f>
        <v>75</v>
      </c>
      <c r="V183" s="767" t="str">
        <f>MODELAGEM!K177</f>
        <v>NÃO</v>
      </c>
      <c r="W183" s="1657" t="s">
        <v>712</v>
      </c>
      <c r="X183" s="1657"/>
      <c r="Y183" s="1655" t="str">
        <f>MODELAGEM!M177</f>
        <v>Entretela</v>
      </c>
      <c r="Z183" s="1655"/>
      <c r="AA183" s="778">
        <f>MODELAGEM!N177</f>
        <v>16</v>
      </c>
      <c r="AB183" s="750">
        <f>IF(V183="NÃO",0,((Z184*MODELAGEM!P177/(MODELAGEM!R177/MODELAGEM!L177))/100))</f>
        <v>0</v>
      </c>
      <c r="AC183" s="779">
        <f t="shared" si="63"/>
        <v>2.5</v>
      </c>
      <c r="AD183" s="779"/>
      <c r="AE183" s="769">
        <f>IF(V183="NÃO",0,((Z184/(MODELAGEM!R177))*(AC183*2/100)+AB183)*W184)</f>
        <v>0</v>
      </c>
      <c r="AF183" s="770">
        <f>AE183*AA183</f>
        <v>0</v>
      </c>
    </row>
    <row r="184" spans="20:33" ht="15" customHeight="1" x14ac:dyDescent="0.25">
      <c r="T184" s="1700"/>
      <c r="V184" s="20"/>
      <c r="W184" s="10" t="str">
        <f>IF(V183="SIM","1","0")</f>
        <v>0</v>
      </c>
      <c r="X184" s="10"/>
      <c r="Z184" s="140">
        <f>Z182</f>
        <v>20</v>
      </c>
      <c r="AA184" s="22"/>
      <c r="AB184" s="34"/>
      <c r="AC184" s="186"/>
      <c r="AE184" s="184"/>
      <c r="AF184" s="184"/>
    </row>
    <row r="185" spans="20:33" ht="15" customHeight="1" x14ac:dyDescent="0.25">
      <c r="T185" s="1700"/>
      <c r="U185">
        <f>U183+1</f>
        <v>76</v>
      </c>
      <c r="V185" s="767" t="str">
        <f>MODELAGEM!K179</f>
        <v>NÃO</v>
      </c>
      <c r="W185" s="1657" t="s">
        <v>712</v>
      </c>
      <c r="X185" s="1657"/>
      <c r="Y185" s="1655" t="str">
        <f>MODELAGEM!M179</f>
        <v>Forro</v>
      </c>
      <c r="Z185" s="1655"/>
      <c r="AA185" s="780">
        <f>MODELAGEM!N179</f>
        <v>19.899999999999999</v>
      </c>
      <c r="AB185" s="781">
        <f>IF(V185="NÃO",0,((Z186*MODELAGEM!P179/(MODELAGEM!R179/MODELAGEM!L179))/100))</f>
        <v>0</v>
      </c>
      <c r="AC185" s="779">
        <f t="shared" si="64"/>
        <v>2.5</v>
      </c>
      <c r="AD185" s="779"/>
      <c r="AE185" s="769">
        <f>IF(V185="NÃO",0,((Z186/(MODELAGEM!R179))*(AC185*2/100)+AB185)*W186)</f>
        <v>0</v>
      </c>
      <c r="AF185" s="770">
        <f>AE185*AA185</f>
        <v>0</v>
      </c>
    </row>
    <row r="186" spans="20:33" ht="15" customHeight="1" x14ac:dyDescent="0.25">
      <c r="T186" s="1700"/>
      <c r="V186" s="20"/>
      <c r="W186" s="10" t="str">
        <f>IF(V185="SIM","1","0")</f>
        <v>0</v>
      </c>
      <c r="X186" s="10"/>
      <c r="Z186" s="140">
        <f>Z184</f>
        <v>20</v>
      </c>
      <c r="AA186" s="22"/>
      <c r="AB186" s="34"/>
      <c r="AC186" s="186"/>
      <c r="AD186" s="186"/>
      <c r="AE186" s="184"/>
      <c r="AF186" s="184"/>
    </row>
    <row r="187" spans="20:33" ht="15" customHeight="1" x14ac:dyDescent="0.25">
      <c r="T187" s="1700"/>
      <c r="U187" s="262"/>
      <c r="V187" s="775"/>
      <c r="W187" s="776"/>
      <c r="X187" s="776"/>
      <c r="Y187" s="776"/>
      <c r="Z187" s="776"/>
      <c r="AA187" s="776"/>
      <c r="AB187" s="776"/>
      <c r="AC187" s="783"/>
      <c r="AD187" s="776"/>
      <c r="AE187" s="776"/>
      <c r="AF187" s="777"/>
    </row>
    <row r="188" spans="20:33" ht="15" customHeight="1" x14ac:dyDescent="0.25">
      <c r="T188" s="1699" t="str">
        <f>MODELAGEM!H182</f>
        <v>MOLDE 20</v>
      </c>
      <c r="U188" s="761">
        <f>U185+1</f>
        <v>77</v>
      </c>
      <c r="V188" s="767" t="str">
        <f>MODELAGEM!K182</f>
        <v>NÃO</v>
      </c>
      <c r="W188" s="1657" t="str">
        <f>MODELAGEM!H183</f>
        <v>NOME</v>
      </c>
      <c r="X188" s="1657"/>
      <c r="Y188" s="1655" t="str">
        <f>MODELAGEM!M182</f>
        <v>Forro</v>
      </c>
      <c r="Z188" s="1655"/>
      <c r="AA188" s="778">
        <f>MODELAGEM!N182</f>
        <v>19.899999999999999</v>
      </c>
      <c r="AB188" s="750">
        <f>IF(V188="NÃO",0,((Z189*MODELAGEM!P182/(MODELAGEM!R182/MODELAGEM!L182))/100))</f>
        <v>0</v>
      </c>
      <c r="AC188" s="796">
        <f t="shared" ref="AC188" si="80">AC185</f>
        <v>2.5</v>
      </c>
      <c r="AD188" s="779"/>
      <c r="AE188" s="769">
        <f>IF(V188="NÃO",0,((Z189/(MODELAGEM!R182))*(AC188*2/100)+AB188)*W189)</f>
        <v>0</v>
      </c>
      <c r="AF188" s="770">
        <f>AE188*AA188</f>
        <v>0</v>
      </c>
      <c r="AG188" s="400">
        <f>IF(V188="SIM",1,IF(V190="SIM",1,IF(V192="SIM",1,0)))</f>
        <v>0</v>
      </c>
    </row>
    <row r="189" spans="20:33" ht="15" customHeight="1" x14ac:dyDescent="0.25">
      <c r="T189" s="1699"/>
      <c r="V189" s="20"/>
      <c r="W189" s="10" t="str">
        <f>IF(V188="SIM","1","0")</f>
        <v>0</v>
      </c>
      <c r="X189" s="10"/>
      <c r="Z189" s="140">
        <f>Z184</f>
        <v>20</v>
      </c>
      <c r="AA189" s="22"/>
      <c r="AB189" s="34"/>
      <c r="AC189" s="186"/>
      <c r="AE189" s="184"/>
      <c r="AF189" s="184"/>
    </row>
    <row r="190" spans="20:33" ht="15" customHeight="1" x14ac:dyDescent="0.25">
      <c r="T190" s="1699"/>
      <c r="U190">
        <f>U188+1</f>
        <v>78</v>
      </c>
      <c r="V190" s="767" t="str">
        <f>MODELAGEM!K184</f>
        <v>NÃO</v>
      </c>
      <c r="W190" s="1657" t="s">
        <v>712</v>
      </c>
      <c r="X190" s="1657"/>
      <c r="Y190" s="1655" t="str">
        <f>MODELAGEM!M184</f>
        <v>Tec. Externo</v>
      </c>
      <c r="Z190" s="1655"/>
      <c r="AA190" s="778">
        <f>MODELAGEM!N184</f>
        <v>49.9</v>
      </c>
      <c r="AB190" s="750">
        <f>IF(V190="NÃO",0,((Z191*MODELAGEM!P184/(MODELAGEM!R184/MODELAGEM!L184))/100))</f>
        <v>0</v>
      </c>
      <c r="AC190" s="779">
        <f t="shared" ref="AC190" si="81">AC188</f>
        <v>2.5</v>
      </c>
      <c r="AD190" s="779"/>
      <c r="AE190" s="769">
        <f>IF(V190="NÃO",0,((Z191/(MODELAGEM!R184))*(AC190*2/100)+AB190)*W191)</f>
        <v>0</v>
      </c>
      <c r="AF190" s="770">
        <f>AE190*AA190</f>
        <v>0</v>
      </c>
    </row>
    <row r="191" spans="20:33" ht="15" customHeight="1" x14ac:dyDescent="0.25">
      <c r="T191" s="1699"/>
      <c r="V191" s="20"/>
      <c r="W191" s="10" t="str">
        <f>IF(V190="SIM","1","0")</f>
        <v>0</v>
      </c>
      <c r="X191" s="10"/>
      <c r="Z191" s="140">
        <f>Z189</f>
        <v>20</v>
      </c>
      <c r="AA191" s="22"/>
      <c r="AB191" s="34"/>
      <c r="AC191" s="186"/>
      <c r="AD191" s="186"/>
      <c r="AE191" s="184"/>
      <c r="AF191" s="184"/>
    </row>
    <row r="192" spans="20:33" ht="15" customHeight="1" x14ac:dyDescent="0.25">
      <c r="T192" s="1699"/>
      <c r="U192">
        <f>U190+1</f>
        <v>79</v>
      </c>
      <c r="V192" s="767" t="str">
        <f>MODELAGEM!K186</f>
        <v>NÃO</v>
      </c>
      <c r="W192" s="1657" t="s">
        <v>712</v>
      </c>
      <c r="X192" s="1657"/>
      <c r="Y192" s="1655" t="str">
        <f>MODELAGEM!M186</f>
        <v>Forro</v>
      </c>
      <c r="Z192" s="1655"/>
      <c r="AA192" s="778">
        <f>MODELAGEM!N186</f>
        <v>19.899999999999999</v>
      </c>
      <c r="AB192" s="750">
        <f>IF(V192="NÃO",0,((Z193*MODELAGEM!P186/(MODELAGEM!R186/MODELAGEM!L186))/100))</f>
        <v>0</v>
      </c>
      <c r="AC192" s="779">
        <f t="shared" ref="AC192" si="82">AC190</f>
        <v>2.5</v>
      </c>
      <c r="AD192" s="779"/>
      <c r="AE192" s="769">
        <f>IF(V192="NÃO",0,((Z193/(MODELAGEM!R186))*(AC192*2/100)+AB192)*W193)</f>
        <v>0</v>
      </c>
      <c r="AF192" s="770">
        <f>AE192*AA192</f>
        <v>0</v>
      </c>
    </row>
    <row r="193" spans="20:33" ht="15" customHeight="1" x14ac:dyDescent="0.25">
      <c r="T193" s="1699"/>
      <c r="V193" s="20"/>
      <c r="W193" s="10" t="str">
        <f>IF(V192="SIM","1","0")</f>
        <v>0</v>
      </c>
      <c r="X193" s="10"/>
      <c r="Z193" s="140">
        <f>Z191</f>
        <v>20</v>
      </c>
      <c r="AA193" s="22"/>
      <c r="AB193" s="34"/>
      <c r="AC193" s="186"/>
      <c r="AE193" s="184"/>
      <c r="AF193" s="184"/>
    </row>
    <row r="194" spans="20:33" ht="15" customHeight="1" x14ac:dyDescent="0.25">
      <c r="T194" s="1699"/>
      <c r="U194">
        <f>U192+1</f>
        <v>80</v>
      </c>
      <c r="V194" s="767" t="str">
        <f>MODELAGEM!K188</f>
        <v>NÃO</v>
      </c>
      <c r="W194" s="1657" t="s">
        <v>712</v>
      </c>
      <c r="X194" s="1657"/>
      <c r="Y194" s="1655" t="str">
        <f>MODELAGEM!M188</f>
        <v>Forro</v>
      </c>
      <c r="Z194" s="1655"/>
      <c r="AA194" s="780">
        <f>MODELAGEM!N188</f>
        <v>19.899999999999999</v>
      </c>
      <c r="AB194" s="781">
        <f>IF(V194="NÃO",0,((Z195*MODELAGEM!P188/(MODELAGEM!R188/MODELAGEM!L188))/100))</f>
        <v>0</v>
      </c>
      <c r="AC194" s="779">
        <f t="shared" ref="AC194" si="83">AC192</f>
        <v>2.5</v>
      </c>
      <c r="AD194" s="779"/>
      <c r="AE194" s="769">
        <f>IF(V194="NÃO",0,((Z195/(MODELAGEM!R188))*(AC194*2/100)+AB194)*W195)</f>
        <v>0</v>
      </c>
      <c r="AF194" s="770">
        <f>AE194*AA194</f>
        <v>0</v>
      </c>
    </row>
    <row r="195" spans="20:33" ht="15" customHeight="1" x14ac:dyDescent="0.25">
      <c r="T195" s="1699"/>
      <c r="V195" s="20"/>
      <c r="W195" s="10" t="str">
        <f>IF(V194="SIM","1","0")</f>
        <v>0</v>
      </c>
      <c r="X195" s="10"/>
      <c r="Z195" s="140">
        <f>Z193</f>
        <v>20</v>
      </c>
      <c r="AA195" s="22"/>
      <c r="AB195" s="34"/>
      <c r="AC195" s="186"/>
      <c r="AD195" s="186"/>
      <c r="AE195" s="184"/>
      <c r="AF195" s="184"/>
    </row>
    <row r="196" spans="20:33" ht="15" customHeight="1" x14ac:dyDescent="0.25">
      <c r="T196" s="1699"/>
      <c r="U196" s="262"/>
      <c r="V196" s="775"/>
      <c r="W196" s="776"/>
      <c r="X196" s="776"/>
      <c r="Y196" s="776"/>
      <c r="Z196" s="776"/>
      <c r="AA196" s="776"/>
      <c r="AB196" s="776"/>
      <c r="AC196" s="783"/>
      <c r="AD196" s="776"/>
      <c r="AE196" s="776"/>
      <c r="AF196" s="777"/>
    </row>
    <row r="197" spans="20:33" ht="15" customHeight="1" x14ac:dyDescent="0.25">
      <c r="T197" s="1700" t="str">
        <f>MODELAGEM!H191</f>
        <v>MOLDE 21</v>
      </c>
      <c r="U197" s="761">
        <f>U194+1</f>
        <v>81</v>
      </c>
      <c r="V197" s="767" t="str">
        <f>MODELAGEM!K191</f>
        <v>NÃO</v>
      </c>
      <c r="W197" s="1657" t="str">
        <f>MODELAGEM!H192</f>
        <v>NOME</v>
      </c>
      <c r="X197" s="1657"/>
      <c r="Y197" s="1655" t="str">
        <f>MODELAGEM!M191</f>
        <v>Tec. Externo</v>
      </c>
      <c r="Z197" s="1655"/>
      <c r="AA197" s="778">
        <f>MODELAGEM!N191</f>
        <v>49.9</v>
      </c>
      <c r="AB197" s="750">
        <f>IF(V197="NÃO",0,((Z198*MODELAGEM!P191/(MODELAGEM!R191/MODELAGEM!L191))/100))</f>
        <v>0</v>
      </c>
      <c r="AC197" s="779">
        <f t="shared" ref="AC197" si="84">AC194</f>
        <v>2.5</v>
      </c>
      <c r="AD197" s="779"/>
      <c r="AE197" s="769">
        <f>IF(V197="NÃO",0,((Z198/(MODELAGEM!R191))*(AC197*2/100)+AB197)*W198)</f>
        <v>0</v>
      </c>
      <c r="AF197" s="770">
        <f>AE197*AA197</f>
        <v>0</v>
      </c>
      <c r="AG197" s="400">
        <f>IF(V197="SIM",1,IF(V199="SIM",1,IF(V201="SIM",1,0)))</f>
        <v>0</v>
      </c>
    </row>
    <row r="198" spans="20:33" ht="15" customHeight="1" x14ac:dyDescent="0.25">
      <c r="T198" s="1700"/>
      <c r="V198" s="20"/>
      <c r="W198" s="10" t="str">
        <f>IF(V197="SIM","1","0")</f>
        <v>0</v>
      </c>
      <c r="X198" s="10"/>
      <c r="Z198" s="140">
        <f>Z193</f>
        <v>20</v>
      </c>
      <c r="AA198" s="22"/>
      <c r="AB198" s="34"/>
      <c r="AC198" s="186"/>
      <c r="AE198" s="184"/>
      <c r="AF198" s="184"/>
    </row>
    <row r="199" spans="20:33" ht="15" customHeight="1" x14ac:dyDescent="0.25">
      <c r="T199" s="1700"/>
      <c r="U199">
        <f>U197+1</f>
        <v>82</v>
      </c>
      <c r="V199" s="767" t="str">
        <f>MODELAGEM!K193</f>
        <v>NÃO</v>
      </c>
      <c r="W199" s="1657" t="s">
        <v>712</v>
      </c>
      <c r="X199" s="1657"/>
      <c r="Y199" s="1655" t="str">
        <f>MODELAGEM!M193</f>
        <v>Entretela</v>
      </c>
      <c r="Z199" s="1655"/>
      <c r="AA199" s="778">
        <f>MODELAGEM!N193</f>
        <v>16</v>
      </c>
      <c r="AB199" s="750">
        <f>IF(V199="NÃO",0,((Z200*MODELAGEM!P193/(MODELAGEM!R193/MODELAGEM!L193))/100))</f>
        <v>0</v>
      </c>
      <c r="AC199" s="779">
        <f t="shared" ref="AC199:AC235" si="85">AC197</f>
        <v>2.5</v>
      </c>
      <c r="AD199" s="779"/>
      <c r="AE199" s="769">
        <f>IF(V199="NÃO",0,((Z200/(MODELAGEM!R193))*(AC199*2/100)+AB199)*W200)</f>
        <v>0</v>
      </c>
      <c r="AF199" s="770">
        <f>AE199*AA199</f>
        <v>0</v>
      </c>
    </row>
    <row r="200" spans="20:33" ht="15" customHeight="1" x14ac:dyDescent="0.25">
      <c r="T200" s="1700"/>
      <c r="V200" s="20"/>
      <c r="W200" s="10" t="str">
        <f>IF(V199="SIM","1","0")</f>
        <v>0</v>
      </c>
      <c r="X200" s="10"/>
      <c r="Z200" s="140">
        <f>Z198</f>
        <v>20</v>
      </c>
      <c r="AA200" s="22"/>
      <c r="AB200" s="34"/>
      <c r="AC200" s="186"/>
      <c r="AD200" s="186"/>
      <c r="AE200" s="184"/>
      <c r="AF200" s="184"/>
    </row>
    <row r="201" spans="20:33" ht="15" customHeight="1" x14ac:dyDescent="0.25">
      <c r="T201" s="1700"/>
      <c r="U201">
        <f>U199+1</f>
        <v>83</v>
      </c>
      <c r="V201" s="767" t="str">
        <f>MODELAGEM!K195</f>
        <v>NÃO</v>
      </c>
      <c r="W201" s="1657" t="s">
        <v>712</v>
      </c>
      <c r="X201" s="1657"/>
      <c r="Y201" s="1655" t="str">
        <f>MODELAGEM!M195</f>
        <v>Tec. Externo</v>
      </c>
      <c r="Z201" s="1655"/>
      <c r="AA201" s="778">
        <f>MODELAGEM!N195</f>
        <v>49.9</v>
      </c>
      <c r="AB201" s="750">
        <f>IF(V201="NÃO",0,((Z202*MODELAGEM!P195/(MODELAGEM!R195/MODELAGEM!L195))/100))</f>
        <v>0</v>
      </c>
      <c r="AC201" s="779">
        <f t="shared" ref="AC201:AC237" si="86">AC199</f>
        <v>2.5</v>
      </c>
      <c r="AD201" s="779"/>
      <c r="AE201" s="769">
        <f>IF(V201="NÃO",0,((Z202/(MODELAGEM!R195))*(AC201*2/100)+AB201)*W202)</f>
        <v>0</v>
      </c>
      <c r="AF201" s="770">
        <f>AE201*AA201</f>
        <v>0</v>
      </c>
    </row>
    <row r="202" spans="20:33" ht="15" customHeight="1" x14ac:dyDescent="0.25">
      <c r="T202" s="1700"/>
      <c r="V202" s="20"/>
      <c r="W202" s="10" t="str">
        <f>IF(V201="SIM","1","0")</f>
        <v>0</v>
      </c>
      <c r="X202" s="10"/>
      <c r="Z202" s="140">
        <f>Z200</f>
        <v>20</v>
      </c>
      <c r="AA202" s="22"/>
      <c r="AB202" s="34"/>
      <c r="AC202" s="186"/>
      <c r="AE202" s="184"/>
      <c r="AF202" s="184"/>
    </row>
    <row r="203" spans="20:33" ht="15" customHeight="1" x14ac:dyDescent="0.25">
      <c r="T203" s="1700"/>
      <c r="U203">
        <f>U201+1</f>
        <v>84</v>
      </c>
      <c r="V203" s="767" t="str">
        <f>MODELAGEM!K197</f>
        <v>NÃO</v>
      </c>
      <c r="W203" s="1657" t="s">
        <v>712</v>
      </c>
      <c r="X203" s="1657"/>
      <c r="Y203" s="1655" t="str">
        <f>MODELAGEM!M197</f>
        <v>Forro</v>
      </c>
      <c r="Z203" s="1655"/>
      <c r="AA203" s="780">
        <f>MODELAGEM!N197</f>
        <v>19.899999999999999</v>
      </c>
      <c r="AB203" s="781">
        <f>IF(V203="NÃO",0,((Z204*MODELAGEM!P197/(MODELAGEM!R197/MODELAGEM!L197))/100))</f>
        <v>0</v>
      </c>
      <c r="AC203" s="779">
        <f t="shared" ref="AC203:AC239" si="87">AC201</f>
        <v>2.5</v>
      </c>
      <c r="AD203" s="779"/>
      <c r="AE203" s="769">
        <f>IF(V203="NÃO",0,((Z204/(MODELAGEM!R197))*(AC203*2/100)+AB203)*W204)</f>
        <v>0</v>
      </c>
      <c r="AF203" s="770">
        <f>AE203*AA203</f>
        <v>0</v>
      </c>
    </row>
    <row r="204" spans="20:33" ht="15" customHeight="1" x14ac:dyDescent="0.25">
      <c r="T204" s="1700"/>
      <c r="V204" s="20"/>
      <c r="W204" s="10" t="str">
        <f>IF(V203="SIM","1","0")</f>
        <v>0</v>
      </c>
      <c r="X204" s="10"/>
      <c r="Z204" s="140">
        <f>Z202</f>
        <v>20</v>
      </c>
      <c r="AA204" s="22"/>
      <c r="AB204" s="34"/>
      <c r="AC204" s="186"/>
      <c r="AD204" s="186"/>
      <c r="AE204" s="184"/>
      <c r="AF204" s="184"/>
    </row>
    <row r="205" spans="20:33" ht="15" customHeight="1" x14ac:dyDescent="0.25">
      <c r="T205" s="1700"/>
      <c r="U205" s="262"/>
      <c r="V205" s="775"/>
      <c r="W205" s="776"/>
      <c r="X205" s="776"/>
      <c r="Y205" s="776"/>
      <c r="Z205" s="776"/>
      <c r="AA205" s="776"/>
      <c r="AB205" s="776"/>
      <c r="AC205" s="783"/>
      <c r="AD205" s="776"/>
      <c r="AE205" s="776"/>
      <c r="AF205" s="777"/>
    </row>
    <row r="206" spans="20:33" ht="15" customHeight="1" x14ac:dyDescent="0.25">
      <c r="T206" s="1699" t="str">
        <f>MODELAGEM!H200</f>
        <v>MOLDE 22</v>
      </c>
      <c r="U206" s="761">
        <f>U203+1</f>
        <v>85</v>
      </c>
      <c r="V206" s="767" t="str">
        <f>MODELAGEM!K200</f>
        <v>NÃO</v>
      </c>
      <c r="W206" s="1657" t="str">
        <f>MODELAGEM!H201</f>
        <v>NOME</v>
      </c>
      <c r="X206" s="1657"/>
      <c r="Y206" s="1655" t="str">
        <f>MODELAGEM!M200</f>
        <v>Forro</v>
      </c>
      <c r="Z206" s="1655"/>
      <c r="AA206" s="778">
        <f>MODELAGEM!N200</f>
        <v>19.899999999999999</v>
      </c>
      <c r="AB206" s="750">
        <f>IF(V206="NÃO",0,((Z207*MODELAGEM!P200/(MODELAGEM!R200/MODELAGEM!L200))/100))</f>
        <v>0</v>
      </c>
      <c r="AC206" s="796">
        <f t="shared" ref="AC206" si="88">AC203</f>
        <v>2.5</v>
      </c>
      <c r="AD206" s="779"/>
      <c r="AE206" s="769">
        <f>IF(V206="NÃO",0,((Z207/(MODELAGEM!R200))*(AC206*2/100)+AB206)*W207)</f>
        <v>0</v>
      </c>
      <c r="AF206" s="770">
        <f>AE206*AA206</f>
        <v>0</v>
      </c>
      <c r="AG206" s="400">
        <f>IF(V206="SIM",1,IF(V208="SIM",1,IF(V210="SIM",1,0)))</f>
        <v>0</v>
      </c>
    </row>
    <row r="207" spans="20:33" ht="15" customHeight="1" x14ac:dyDescent="0.25">
      <c r="T207" s="1699"/>
      <c r="V207" s="20"/>
      <c r="W207" s="10" t="str">
        <f>IF(V206="SIM","1","0")</f>
        <v>0</v>
      </c>
      <c r="X207" s="10"/>
      <c r="Z207" s="140">
        <f>Z202</f>
        <v>20</v>
      </c>
      <c r="AA207" s="22"/>
      <c r="AB207" s="34"/>
      <c r="AC207" s="186"/>
      <c r="AE207" s="184"/>
      <c r="AF207" s="184"/>
    </row>
    <row r="208" spans="20:33" ht="15" customHeight="1" x14ac:dyDescent="0.25">
      <c r="T208" s="1699"/>
      <c r="U208">
        <f>U206+1</f>
        <v>86</v>
      </c>
      <c r="V208" s="767" t="str">
        <f>MODELAGEM!K202</f>
        <v>NÃO</v>
      </c>
      <c r="W208" s="1657" t="s">
        <v>712</v>
      </c>
      <c r="X208" s="1657"/>
      <c r="Y208" s="1655" t="str">
        <f>MODELAGEM!M202</f>
        <v>Entretela</v>
      </c>
      <c r="Z208" s="1655"/>
      <c r="AA208" s="778">
        <f>MODELAGEM!N202</f>
        <v>16</v>
      </c>
      <c r="AB208" s="750">
        <f>IF(V208="NÃO",0,((Z209*MODELAGEM!P202/(MODELAGEM!R202/MODELAGEM!L202))/100))</f>
        <v>0</v>
      </c>
      <c r="AC208" s="779">
        <f t="shared" ref="AC208" si="89">AC206</f>
        <v>2.5</v>
      </c>
      <c r="AD208" s="779"/>
      <c r="AE208" s="769">
        <f>IF(V208="NÃO",0,((Z209/(MODELAGEM!R202))*(AC208*2/100)+AB208)*W209)</f>
        <v>0</v>
      </c>
      <c r="AF208" s="770">
        <f>AE208*AA208</f>
        <v>0</v>
      </c>
    </row>
    <row r="209" spans="20:33" ht="15" customHeight="1" x14ac:dyDescent="0.25">
      <c r="T209" s="1699"/>
      <c r="V209" s="20"/>
      <c r="W209" s="10" t="str">
        <f>IF(V208="SIM","1","0")</f>
        <v>0</v>
      </c>
      <c r="X209" s="10"/>
      <c r="Z209" s="140">
        <f>Z207</f>
        <v>20</v>
      </c>
      <c r="AA209" s="22"/>
      <c r="AB209" s="34"/>
      <c r="AC209" s="186"/>
      <c r="AD209" s="186"/>
      <c r="AE209" s="184"/>
      <c r="AF209" s="184"/>
    </row>
    <row r="210" spans="20:33" ht="15" customHeight="1" x14ac:dyDescent="0.25">
      <c r="T210" s="1699"/>
      <c r="U210">
        <f>U208+1</f>
        <v>87</v>
      </c>
      <c r="V210" s="767" t="str">
        <f>MODELAGEM!K204</f>
        <v>NÃO</v>
      </c>
      <c r="W210" s="1657" t="s">
        <v>712</v>
      </c>
      <c r="X210" s="1657"/>
      <c r="Y210" s="1655" t="str">
        <f>MODELAGEM!M204</f>
        <v>Tec. Externo</v>
      </c>
      <c r="Z210" s="1655"/>
      <c r="AA210" s="778">
        <f>MODELAGEM!N204</f>
        <v>49.9</v>
      </c>
      <c r="AB210" s="750">
        <f>IF(V210="NÃO",0,((Z211*MODELAGEM!P204/(MODELAGEM!R204/MODELAGEM!L204))/100))</f>
        <v>0</v>
      </c>
      <c r="AC210" s="779">
        <f t="shared" ref="AC210" si="90">AC208</f>
        <v>2.5</v>
      </c>
      <c r="AD210" s="779"/>
      <c r="AE210" s="769">
        <f>IF(V210="NÃO",0,((Z211/(MODELAGEM!R204))*(AC210*2/100)+AB210)*W211)</f>
        <v>0</v>
      </c>
      <c r="AF210" s="770">
        <f>AE210*AA210</f>
        <v>0</v>
      </c>
    </row>
    <row r="211" spans="20:33" ht="15" customHeight="1" x14ac:dyDescent="0.25">
      <c r="T211" s="1699"/>
      <c r="V211" s="20"/>
      <c r="W211" s="10" t="str">
        <f>IF(V210="SIM","1","0")</f>
        <v>0</v>
      </c>
      <c r="X211" s="10"/>
      <c r="Z211" s="140">
        <f>Z209</f>
        <v>20</v>
      </c>
      <c r="AA211" s="22"/>
      <c r="AB211" s="34"/>
      <c r="AC211" s="186"/>
      <c r="AE211" s="184"/>
      <c r="AF211" s="184"/>
    </row>
    <row r="212" spans="20:33" ht="15" customHeight="1" x14ac:dyDescent="0.25">
      <c r="T212" s="1699"/>
      <c r="U212">
        <f>U210+1</f>
        <v>88</v>
      </c>
      <c r="V212" s="767" t="str">
        <f>MODELAGEM!K206</f>
        <v>NÃO</v>
      </c>
      <c r="W212" s="1657" t="s">
        <v>712</v>
      </c>
      <c r="X212" s="1657"/>
      <c r="Y212" s="1655" t="str">
        <f>MODELAGEM!M206</f>
        <v>Forro</v>
      </c>
      <c r="Z212" s="1655"/>
      <c r="AA212" s="780">
        <f>MODELAGEM!N206</f>
        <v>19.899999999999999</v>
      </c>
      <c r="AB212" s="781">
        <f>IF(V212="NÃO",0,((Z213*MODELAGEM!P206/(MODELAGEM!R206/MODELAGEM!L206))/100))</f>
        <v>0</v>
      </c>
      <c r="AC212" s="779">
        <f t="shared" ref="AC212" si="91">AC210</f>
        <v>2.5</v>
      </c>
      <c r="AD212" s="779"/>
      <c r="AE212" s="769">
        <f>IF(V212="NÃO",0,((Z213/(MODELAGEM!R206))*(AC212*2/100)+AB212)*W213)</f>
        <v>0</v>
      </c>
      <c r="AF212" s="770">
        <f>AE212*AA212</f>
        <v>0</v>
      </c>
    </row>
    <row r="213" spans="20:33" ht="15" customHeight="1" x14ac:dyDescent="0.25">
      <c r="T213" s="1699"/>
      <c r="V213" s="20"/>
      <c r="W213" s="10" t="str">
        <f>IF(V212="SIM","1","0")</f>
        <v>0</v>
      </c>
      <c r="X213" s="10"/>
      <c r="Z213" s="140">
        <f>Z211</f>
        <v>20</v>
      </c>
      <c r="AA213" s="22"/>
      <c r="AB213" s="34"/>
      <c r="AC213" s="186"/>
      <c r="AD213" s="186"/>
      <c r="AE213" s="184"/>
      <c r="AF213" s="184"/>
    </row>
    <row r="214" spans="20:33" ht="15" customHeight="1" x14ac:dyDescent="0.25">
      <c r="T214" s="1699"/>
      <c r="U214" s="262"/>
      <c r="V214" s="775"/>
      <c r="W214" s="776"/>
      <c r="X214" s="776"/>
      <c r="Y214" s="776"/>
      <c r="Z214" s="776"/>
      <c r="AA214" s="776"/>
      <c r="AB214" s="776"/>
      <c r="AC214" s="783"/>
      <c r="AD214" s="776"/>
      <c r="AE214" s="776"/>
      <c r="AF214" s="777"/>
    </row>
    <row r="215" spans="20:33" ht="15" customHeight="1" x14ac:dyDescent="0.25">
      <c r="T215" s="1700" t="str">
        <f>MODELAGEM!H209</f>
        <v>MOLDE 23</v>
      </c>
      <c r="U215" s="761">
        <f>U212+1</f>
        <v>89</v>
      </c>
      <c r="V215" s="767" t="str">
        <f>MODELAGEM!K209</f>
        <v>NÃO</v>
      </c>
      <c r="W215" s="1657" t="str">
        <f>MODELAGEM!H210</f>
        <v>NOME</v>
      </c>
      <c r="X215" s="1657"/>
      <c r="Y215" s="1655" t="str">
        <f>MODELAGEM!M209</f>
        <v>Forro</v>
      </c>
      <c r="Z215" s="1655"/>
      <c r="AA215" s="778">
        <f>MODELAGEM!N209</f>
        <v>19.899999999999999</v>
      </c>
      <c r="AB215" s="750">
        <f>IF(V215="NÃO",0,((Z216*MODELAGEM!P209/(MODELAGEM!R209/MODELAGEM!L209))/100))</f>
        <v>0</v>
      </c>
      <c r="AC215" s="779">
        <f t="shared" ref="AC215" si="92">AC212</f>
        <v>2.5</v>
      </c>
      <c r="AD215" s="779"/>
      <c r="AE215" s="769">
        <f>IF(V215="NÃO",0,((Z216/(MODELAGEM!R209))*(AC215*2/100)+AB215)*W216)</f>
        <v>0</v>
      </c>
      <c r="AF215" s="770">
        <f>AE215*AA215</f>
        <v>0</v>
      </c>
      <c r="AG215" s="400">
        <f>IF(V215="SIM",1,IF(V217="SIM",1,IF(V219="SIM",1,0)))</f>
        <v>0</v>
      </c>
    </row>
    <row r="216" spans="20:33" ht="15" customHeight="1" x14ac:dyDescent="0.25">
      <c r="T216" s="1700"/>
      <c r="V216" s="20"/>
      <c r="W216" s="10" t="str">
        <f>IF(V215="SIM","1","0")</f>
        <v>0</v>
      </c>
      <c r="X216" s="10"/>
      <c r="Z216" s="140">
        <f>Z211</f>
        <v>20</v>
      </c>
      <c r="AA216" s="22"/>
      <c r="AB216" s="34"/>
      <c r="AC216" s="186"/>
      <c r="AE216" s="184"/>
      <c r="AF216" s="184"/>
    </row>
    <row r="217" spans="20:33" ht="15" customHeight="1" x14ac:dyDescent="0.25">
      <c r="T217" s="1700"/>
      <c r="U217">
        <f>U215+1</f>
        <v>90</v>
      </c>
      <c r="V217" s="767" t="str">
        <f>MODELAGEM!K211</f>
        <v>NÃO</v>
      </c>
      <c r="W217" s="1657" t="s">
        <v>712</v>
      </c>
      <c r="X217" s="1657"/>
      <c r="Y217" s="1655" t="str">
        <f>MODELAGEM!M211</f>
        <v>Tec. Externo</v>
      </c>
      <c r="Z217" s="1655"/>
      <c r="AA217" s="778">
        <f>MODELAGEM!N211</f>
        <v>49.9</v>
      </c>
      <c r="AB217" s="750">
        <f>IF(V217="NÃO",0,((Z218*MODELAGEM!P211/(MODELAGEM!R211/MODELAGEM!L211))/100))</f>
        <v>0</v>
      </c>
      <c r="AC217" s="779">
        <f t="shared" si="85"/>
        <v>2.5</v>
      </c>
      <c r="AD217" s="779"/>
      <c r="AE217" s="769">
        <f>IF(V217="NÃO",0,((Z218/(MODELAGEM!R211))*(AC217*2/100)+AB217)*W218)</f>
        <v>0</v>
      </c>
      <c r="AF217" s="770">
        <f>AE217*AA217</f>
        <v>0</v>
      </c>
    </row>
    <row r="218" spans="20:33" ht="15" customHeight="1" x14ac:dyDescent="0.25">
      <c r="T218" s="1700"/>
      <c r="V218" s="20"/>
      <c r="W218" s="10" t="str">
        <f>IF(V217="SIM","1","0")</f>
        <v>0</v>
      </c>
      <c r="X218" s="10"/>
      <c r="Z218" s="140">
        <f>Z216</f>
        <v>20</v>
      </c>
      <c r="AA218" s="22"/>
      <c r="AB218" s="34"/>
      <c r="AC218" s="186"/>
      <c r="AD218" s="186"/>
      <c r="AE218" s="184"/>
      <c r="AF218" s="184"/>
    </row>
    <row r="219" spans="20:33" ht="15" customHeight="1" x14ac:dyDescent="0.25">
      <c r="T219" s="1700"/>
      <c r="U219">
        <f>U217+1</f>
        <v>91</v>
      </c>
      <c r="V219" s="767" t="str">
        <f>MODELAGEM!K213</f>
        <v>NÃO</v>
      </c>
      <c r="W219" s="1657" t="s">
        <v>712</v>
      </c>
      <c r="X219" s="1657"/>
      <c r="Y219" s="1655" t="str">
        <f>MODELAGEM!M213</f>
        <v>Tec. Externo</v>
      </c>
      <c r="Z219" s="1655"/>
      <c r="AA219" s="778">
        <f>MODELAGEM!N213</f>
        <v>49.9</v>
      </c>
      <c r="AB219" s="750">
        <f>IF(V219="NÃO",0,((Z220*MODELAGEM!P213/(MODELAGEM!R213/MODELAGEM!L213))/100))</f>
        <v>0</v>
      </c>
      <c r="AC219" s="779">
        <f t="shared" si="86"/>
        <v>2.5</v>
      </c>
      <c r="AD219" s="779"/>
      <c r="AE219" s="769">
        <f>IF(V219="NÃO",0,((Z220/(MODELAGEM!R213))*(AC219*2/100)+AB219)*W220)</f>
        <v>0</v>
      </c>
      <c r="AF219" s="770">
        <f>AE219*AA219</f>
        <v>0</v>
      </c>
    </row>
    <row r="220" spans="20:33" ht="15" customHeight="1" x14ac:dyDescent="0.25">
      <c r="T220" s="1700"/>
      <c r="V220" s="20"/>
      <c r="W220" s="10" t="str">
        <f>IF(V219="SIM","1","0")</f>
        <v>0</v>
      </c>
      <c r="X220" s="10"/>
      <c r="Z220" s="140">
        <f>Z218</f>
        <v>20</v>
      </c>
      <c r="AA220" s="22"/>
      <c r="AB220" s="34"/>
      <c r="AC220" s="186"/>
      <c r="AE220" s="184"/>
      <c r="AF220" s="184"/>
    </row>
    <row r="221" spans="20:33" ht="15" customHeight="1" x14ac:dyDescent="0.25">
      <c r="T221" s="1700"/>
      <c r="U221">
        <f>U219+1</f>
        <v>92</v>
      </c>
      <c r="V221" s="767" t="str">
        <f>MODELAGEM!K215</f>
        <v>NÃO</v>
      </c>
      <c r="W221" s="1657" t="s">
        <v>712</v>
      </c>
      <c r="X221" s="1657"/>
      <c r="Y221" s="1655" t="str">
        <f>MODELAGEM!M215</f>
        <v>Forro</v>
      </c>
      <c r="Z221" s="1655"/>
      <c r="AA221" s="780">
        <f>MODELAGEM!N215</f>
        <v>19.899999999999999</v>
      </c>
      <c r="AB221" s="781">
        <f>IF(V221="NÃO",0,((Z222*MODELAGEM!P215/(MODELAGEM!R215/MODELAGEM!L215))/100))</f>
        <v>0</v>
      </c>
      <c r="AC221" s="779">
        <f t="shared" si="87"/>
        <v>2.5</v>
      </c>
      <c r="AD221" s="779"/>
      <c r="AE221" s="769">
        <f>IF(V221="NÃO",0,((Z222/(MODELAGEM!R215))*(AC221*2/100)+AB221)*W222)</f>
        <v>0</v>
      </c>
      <c r="AF221" s="770">
        <f>AE221*AA221</f>
        <v>0</v>
      </c>
    </row>
    <row r="222" spans="20:33" ht="15" customHeight="1" x14ac:dyDescent="0.25">
      <c r="T222" s="1700"/>
      <c r="V222" s="20"/>
      <c r="W222" s="10" t="str">
        <f>IF(V221="SIM","1","0")</f>
        <v>0</v>
      </c>
      <c r="X222" s="10"/>
      <c r="Z222" s="140">
        <f>Z220</f>
        <v>20</v>
      </c>
      <c r="AA222" s="22"/>
      <c r="AB222" s="34"/>
      <c r="AC222" s="186"/>
      <c r="AD222" s="186"/>
      <c r="AE222" s="184"/>
      <c r="AF222" s="184"/>
    </row>
    <row r="223" spans="20:33" ht="15" customHeight="1" x14ac:dyDescent="0.25">
      <c r="T223" s="1700"/>
      <c r="U223" s="262"/>
      <c r="V223" s="775"/>
      <c r="W223" s="776"/>
      <c r="X223" s="776"/>
      <c r="Y223" s="776"/>
      <c r="Z223" s="776"/>
      <c r="AA223" s="776"/>
      <c r="AB223" s="776"/>
      <c r="AC223" s="783"/>
      <c r="AD223" s="776"/>
      <c r="AE223" s="776"/>
      <c r="AF223" s="777"/>
    </row>
    <row r="224" spans="20:33" ht="15" customHeight="1" x14ac:dyDescent="0.25">
      <c r="T224" s="1699" t="str">
        <f>MODELAGEM!H218</f>
        <v>MOLDE 24</v>
      </c>
      <c r="U224" s="761">
        <f>U221+1</f>
        <v>93</v>
      </c>
      <c r="V224" s="767" t="str">
        <f>MODELAGEM!K218</f>
        <v>NÃO</v>
      </c>
      <c r="W224" s="1657" t="str">
        <f>MODELAGEM!H219</f>
        <v>NOME</v>
      </c>
      <c r="X224" s="1657"/>
      <c r="Y224" s="1655" t="str">
        <f>MODELAGEM!M218</f>
        <v>Forro</v>
      </c>
      <c r="Z224" s="1655"/>
      <c r="AA224" s="778">
        <f>MODELAGEM!N218</f>
        <v>19.899999999999999</v>
      </c>
      <c r="AB224" s="750">
        <f>IF(V224="NÃO",0,((Z225*MODELAGEM!P218/(MODELAGEM!R218/MODELAGEM!L218))/100))</f>
        <v>0</v>
      </c>
      <c r="AC224" s="796">
        <f t="shared" ref="AC224" si="93">AC221</f>
        <v>2.5</v>
      </c>
      <c r="AD224" s="779"/>
      <c r="AE224" s="769">
        <f>IF(V224="NÃO",0,((Z225/(MODELAGEM!R218))*(AC224*2/100)+AB224)*W225)</f>
        <v>0</v>
      </c>
      <c r="AF224" s="770">
        <f>AE224*AA224</f>
        <v>0</v>
      </c>
      <c r="AG224" s="400">
        <f>IF(V224="SIM",1,IF(V226="SIM",1,IF(V228="SIM",1,0)))</f>
        <v>0</v>
      </c>
    </row>
    <row r="225" spans="20:33" ht="15" customHeight="1" x14ac:dyDescent="0.25">
      <c r="T225" s="1699"/>
      <c r="V225" s="20"/>
      <c r="W225" s="10" t="str">
        <f>IF(V224="SIM","1","0")</f>
        <v>0</v>
      </c>
      <c r="X225" s="10"/>
      <c r="Z225" s="759">
        <f>Z121</f>
        <v>20</v>
      </c>
      <c r="AA225" s="22"/>
      <c r="AB225" s="34"/>
      <c r="AC225" s="186"/>
      <c r="AE225" s="184"/>
      <c r="AF225" s="184"/>
    </row>
    <row r="226" spans="20:33" ht="15" customHeight="1" x14ac:dyDescent="0.25">
      <c r="T226" s="1699"/>
      <c r="U226">
        <f>U224+1</f>
        <v>94</v>
      </c>
      <c r="V226" s="767" t="str">
        <f>MODELAGEM!K220</f>
        <v>NÃO</v>
      </c>
      <c r="W226" s="1657" t="s">
        <v>712</v>
      </c>
      <c r="X226" s="1657"/>
      <c r="Y226" s="1655" t="str">
        <f>MODELAGEM!M220</f>
        <v>Tec. Externo</v>
      </c>
      <c r="Z226" s="1655"/>
      <c r="AA226" s="778">
        <f>MODELAGEM!N220</f>
        <v>49.9</v>
      </c>
      <c r="AB226" s="750">
        <f>IF(V226="NÃO",0,((Z227*MODELAGEM!P220/(MODELAGEM!R220/MODELAGEM!L220))/100))</f>
        <v>0</v>
      </c>
      <c r="AC226" s="779">
        <f t="shared" ref="AC226" si="94">AC224</f>
        <v>2.5</v>
      </c>
      <c r="AD226" s="779"/>
      <c r="AE226" s="769">
        <f>IF(V226="NÃO",0,((Z227/(MODELAGEM!R220))*(AC226*2/100)+AB226)*W227)</f>
        <v>0</v>
      </c>
      <c r="AF226" s="770">
        <f>AE226*AA226</f>
        <v>0</v>
      </c>
    </row>
    <row r="227" spans="20:33" ht="15" customHeight="1" x14ac:dyDescent="0.25">
      <c r="T227" s="1699"/>
      <c r="V227" s="20"/>
      <c r="W227" s="10" t="str">
        <f>IF(V226="SIM","1","0")</f>
        <v>0</v>
      </c>
      <c r="X227" s="10"/>
      <c r="Z227" s="759">
        <f>Z225</f>
        <v>20</v>
      </c>
      <c r="AA227" s="22"/>
      <c r="AB227" s="34"/>
      <c r="AC227" s="186"/>
      <c r="AD227" s="186"/>
      <c r="AE227" s="184"/>
      <c r="AF227" s="184"/>
    </row>
    <row r="228" spans="20:33" ht="15" customHeight="1" x14ac:dyDescent="0.25">
      <c r="T228" s="1699"/>
      <c r="U228">
        <f>U226+1</f>
        <v>95</v>
      </c>
      <c r="V228" s="767" t="str">
        <f>MODELAGEM!K222</f>
        <v>NÃO</v>
      </c>
      <c r="W228" s="1657" t="s">
        <v>712</v>
      </c>
      <c r="X228" s="1657"/>
      <c r="Y228" s="1655" t="str">
        <f>MODELAGEM!M222</f>
        <v>Tec. Externo</v>
      </c>
      <c r="Z228" s="1655"/>
      <c r="AA228" s="778">
        <f>MODELAGEM!N222</f>
        <v>49.9</v>
      </c>
      <c r="AB228" s="750">
        <f>IF(V228="NÃO",0,((Z229*MODELAGEM!P222/(MODELAGEM!R222/MODELAGEM!L222))/100))</f>
        <v>0</v>
      </c>
      <c r="AC228" s="779">
        <f t="shared" ref="AC228" si="95">AC226</f>
        <v>2.5</v>
      </c>
      <c r="AD228" s="779"/>
      <c r="AE228" s="769">
        <f>IF(V228="NÃO",0,((Z229/(MODELAGEM!R222))*(AC228*2/100)+AB228)*W229)</f>
        <v>0</v>
      </c>
      <c r="AF228" s="770">
        <f>AE228*AA228</f>
        <v>0</v>
      </c>
    </row>
    <row r="229" spans="20:33" ht="15" customHeight="1" x14ac:dyDescent="0.25">
      <c r="T229" s="1699"/>
      <c r="V229" s="20"/>
      <c r="W229" s="10" t="str">
        <f>IF(V228="SIM","1","0")</f>
        <v>0</v>
      </c>
      <c r="X229" s="10"/>
      <c r="Z229" s="759">
        <f>Z227</f>
        <v>20</v>
      </c>
      <c r="AA229" s="22"/>
      <c r="AB229" s="34"/>
      <c r="AC229" s="186"/>
      <c r="AE229" s="184"/>
      <c r="AF229" s="184"/>
    </row>
    <row r="230" spans="20:33" ht="15" customHeight="1" x14ac:dyDescent="0.25">
      <c r="T230" s="1699"/>
      <c r="U230">
        <f>U228+1</f>
        <v>96</v>
      </c>
      <c r="V230" s="767" t="str">
        <f>MODELAGEM!K224</f>
        <v>NÃO</v>
      </c>
      <c r="W230" s="1657" t="s">
        <v>712</v>
      </c>
      <c r="X230" s="1657"/>
      <c r="Y230" s="1655" t="str">
        <f>MODELAGEM!M224</f>
        <v>Forro</v>
      </c>
      <c r="Z230" s="1655"/>
      <c r="AA230" s="780">
        <f>MODELAGEM!N224</f>
        <v>19.899999999999999</v>
      </c>
      <c r="AB230" s="781">
        <f>IF(V230="NÃO",0,((Z231*MODELAGEM!P224/(MODELAGEM!R224/MODELAGEM!L224))/100))</f>
        <v>0</v>
      </c>
      <c r="AC230" s="779">
        <f t="shared" ref="AC230" si="96">AC228</f>
        <v>2.5</v>
      </c>
      <c r="AD230" s="779"/>
      <c r="AE230" s="769">
        <f>IF(V230="NÃO",0,((Z231/(MODELAGEM!R224))*(AC230*2/100)+AB230)*W231)</f>
        <v>0</v>
      </c>
      <c r="AF230" s="770">
        <f>AE230*AA230</f>
        <v>0</v>
      </c>
    </row>
    <row r="231" spans="20:33" ht="15" customHeight="1" x14ac:dyDescent="0.25">
      <c r="T231" s="1699"/>
      <c r="V231" s="20"/>
      <c r="W231" s="10" t="str">
        <f>IF(V230="SIM","1","0")</f>
        <v>0</v>
      </c>
      <c r="X231" s="10"/>
      <c r="Z231" s="759">
        <f>Z229</f>
        <v>20</v>
      </c>
      <c r="AA231" s="22"/>
      <c r="AB231" s="34"/>
      <c r="AC231" s="186"/>
      <c r="AD231" s="186"/>
      <c r="AE231" s="184"/>
      <c r="AF231" s="184"/>
    </row>
    <row r="232" spans="20:33" ht="15" customHeight="1" x14ac:dyDescent="0.25">
      <c r="T232" s="1699"/>
      <c r="U232" s="262"/>
      <c r="V232" s="775"/>
      <c r="W232" s="776"/>
      <c r="X232" s="776"/>
      <c r="Y232" s="776"/>
      <c r="Z232" s="776"/>
      <c r="AA232" s="776"/>
      <c r="AB232" s="776"/>
      <c r="AC232" s="783"/>
      <c r="AD232" s="776"/>
      <c r="AE232" s="776"/>
      <c r="AF232" s="777"/>
    </row>
    <row r="233" spans="20:33" ht="15" customHeight="1" x14ac:dyDescent="0.25">
      <c r="T233" s="1700" t="str">
        <f>MODELAGEM!H227</f>
        <v>MOLDE 25</v>
      </c>
      <c r="U233" s="761">
        <f>U230+1</f>
        <v>97</v>
      </c>
      <c r="V233" s="767" t="str">
        <f>MODELAGEM!K227</f>
        <v>NÃO</v>
      </c>
      <c r="W233" s="1657" t="str">
        <f>MODELAGEM!H228</f>
        <v>NOME</v>
      </c>
      <c r="X233" s="1657"/>
      <c r="Y233" s="1655" t="str">
        <f>MODELAGEM!M227</f>
        <v>Entretela</v>
      </c>
      <c r="Z233" s="1655"/>
      <c r="AA233" s="778">
        <f>MODELAGEM!N227</f>
        <v>16</v>
      </c>
      <c r="AB233" s="750">
        <f>IF(V233="NÃO",0,((Z234*MODELAGEM!P227/(MODELAGEM!R227/MODELAGEM!L227))/100))</f>
        <v>0</v>
      </c>
      <c r="AC233" s="779">
        <f t="shared" ref="AC233" si="97">AC230</f>
        <v>2.5</v>
      </c>
      <c r="AD233" s="779"/>
      <c r="AE233" s="769">
        <f>IF(V233="NÃO",0,((Z234/(MODELAGEM!R227))*(AC233*2/100)+AB233)*W234)</f>
        <v>0</v>
      </c>
      <c r="AF233" s="770">
        <f>AE233*AA233</f>
        <v>0</v>
      </c>
      <c r="AG233" s="400">
        <f>IF(V233="SIM",1,IF(V235="SIM",1,IF(V237="SIM",1,0)))</f>
        <v>0</v>
      </c>
    </row>
    <row r="234" spans="20:33" ht="15" customHeight="1" x14ac:dyDescent="0.25">
      <c r="T234" s="1700"/>
      <c r="V234" s="20"/>
      <c r="W234" s="10" t="str">
        <f>IF(V233="SIM","1","0")</f>
        <v>0</v>
      </c>
      <c r="X234" s="10"/>
      <c r="Z234" s="759">
        <f>Z229</f>
        <v>20</v>
      </c>
      <c r="AA234" s="22"/>
      <c r="AB234" s="34"/>
      <c r="AC234" s="186"/>
      <c r="AE234" s="184"/>
      <c r="AF234" s="184"/>
    </row>
    <row r="235" spans="20:33" ht="15" customHeight="1" x14ac:dyDescent="0.25">
      <c r="T235" s="1700"/>
      <c r="U235">
        <f>U233+1</f>
        <v>98</v>
      </c>
      <c r="V235" s="767" t="str">
        <f>MODELAGEM!K229</f>
        <v>NÃO</v>
      </c>
      <c r="W235" s="1657" t="s">
        <v>712</v>
      </c>
      <c r="X235" s="1657"/>
      <c r="Y235" s="1655" t="str">
        <f>MODELAGEM!M229</f>
        <v>Tec. Externo</v>
      </c>
      <c r="Z235" s="1655"/>
      <c r="AA235" s="778">
        <f>MODELAGEM!N229</f>
        <v>49.9</v>
      </c>
      <c r="AB235" s="750">
        <f>IF(V235="NÃO",0,((Z236*MODELAGEM!P229/(MODELAGEM!R229/MODELAGEM!L229))/100))</f>
        <v>0</v>
      </c>
      <c r="AC235" s="779">
        <f t="shared" si="85"/>
        <v>2.5</v>
      </c>
      <c r="AD235" s="779"/>
      <c r="AE235" s="769">
        <f>IF(V235="NÃO",0,((Z236/(MODELAGEM!R229))*(AC235*2/100)+AB235)*W236)</f>
        <v>0</v>
      </c>
      <c r="AF235" s="770">
        <f>AE235*AA235</f>
        <v>0</v>
      </c>
    </row>
    <row r="236" spans="20:33" ht="15" customHeight="1" x14ac:dyDescent="0.25">
      <c r="T236" s="1700"/>
      <c r="V236" s="20"/>
      <c r="W236" s="10" t="str">
        <f>IF(V235="SIM","1","0")</f>
        <v>0</v>
      </c>
      <c r="X236" s="10"/>
      <c r="Z236" s="759">
        <f>Z234</f>
        <v>20</v>
      </c>
      <c r="AA236" s="22"/>
      <c r="AB236" s="34"/>
      <c r="AC236" s="186"/>
      <c r="AD236" s="186"/>
      <c r="AE236" s="184"/>
      <c r="AF236" s="184"/>
    </row>
    <row r="237" spans="20:33" ht="15" customHeight="1" x14ac:dyDescent="0.25">
      <c r="T237" s="1700"/>
      <c r="U237">
        <f>U235+1</f>
        <v>99</v>
      </c>
      <c r="V237" s="767" t="str">
        <f>MODELAGEM!K231</f>
        <v>NÃO</v>
      </c>
      <c r="W237" s="1657" t="s">
        <v>712</v>
      </c>
      <c r="X237" s="1657"/>
      <c r="Y237" s="1655" t="str">
        <f>MODELAGEM!M231</f>
        <v>Tec. Externo</v>
      </c>
      <c r="Z237" s="1655"/>
      <c r="AA237" s="778">
        <f>MODELAGEM!N231</f>
        <v>49.9</v>
      </c>
      <c r="AB237" s="750">
        <f>IF(V237="NÃO",0,((Z238*MODELAGEM!P231/(MODELAGEM!R231/MODELAGEM!L231))/100))</f>
        <v>0</v>
      </c>
      <c r="AC237" s="779">
        <f t="shared" si="86"/>
        <v>2.5</v>
      </c>
      <c r="AD237" s="779"/>
      <c r="AE237" s="769">
        <f>IF(V237="NÃO",0,((Z238/(MODELAGEM!R231))*(AC237*2/100)+AB237)*W238)</f>
        <v>0</v>
      </c>
      <c r="AF237" s="770">
        <f>AE237*AA237</f>
        <v>0</v>
      </c>
    </row>
    <row r="238" spans="20:33" ht="15" customHeight="1" x14ac:dyDescent="0.25">
      <c r="T238" s="1700"/>
      <c r="V238" s="20"/>
      <c r="W238" s="10" t="str">
        <f>IF(V237="SIM","1","0")</f>
        <v>0</v>
      </c>
      <c r="X238" s="10"/>
      <c r="Z238" s="759">
        <f>Z236</f>
        <v>20</v>
      </c>
      <c r="AA238" s="22"/>
      <c r="AB238" s="34"/>
      <c r="AC238" s="186"/>
      <c r="AE238" s="184"/>
      <c r="AF238" s="184"/>
    </row>
    <row r="239" spans="20:33" ht="15" customHeight="1" x14ac:dyDescent="0.25">
      <c r="T239" s="1700"/>
      <c r="U239">
        <f>U237+1</f>
        <v>100</v>
      </c>
      <c r="V239" s="767" t="str">
        <f>MODELAGEM!K233</f>
        <v>NÃO</v>
      </c>
      <c r="W239" s="1657" t="s">
        <v>712</v>
      </c>
      <c r="X239" s="1657"/>
      <c r="Y239" s="1655" t="str">
        <f>MODELAGEM!M233</f>
        <v>Forro</v>
      </c>
      <c r="Z239" s="1655"/>
      <c r="AA239" s="780">
        <f>MODELAGEM!N233</f>
        <v>19.899999999999999</v>
      </c>
      <c r="AB239" s="781">
        <f>IF(V239="NÃO",0,((Z240*MODELAGEM!P233/(MODELAGEM!R233/MODELAGEM!L233))/100))</f>
        <v>0</v>
      </c>
      <c r="AC239" s="779">
        <f t="shared" si="87"/>
        <v>2.5</v>
      </c>
      <c r="AD239" s="779"/>
      <c r="AE239" s="769">
        <f>IF(V239="NÃO",0,((Z240/(MODELAGEM!R233))*(AC239*2/100)+AB239)*W240)</f>
        <v>0</v>
      </c>
      <c r="AF239" s="770">
        <f>AE239*AA239</f>
        <v>0</v>
      </c>
    </row>
    <row r="240" spans="20:33" ht="15" customHeight="1" x14ac:dyDescent="0.25">
      <c r="T240" s="1700"/>
      <c r="V240" s="20"/>
      <c r="W240" s="10" t="str">
        <f>IF(V239="SIM","1","0")</f>
        <v>0</v>
      </c>
      <c r="X240" s="10"/>
      <c r="Z240" s="759">
        <f>Z238</f>
        <v>20</v>
      </c>
      <c r="AA240" s="22"/>
      <c r="AB240" s="34"/>
      <c r="AC240" s="186"/>
      <c r="AD240" s="186"/>
      <c r="AE240" s="184"/>
      <c r="AF240" s="184"/>
    </row>
    <row r="241" spans="20:85" ht="15" customHeight="1" x14ac:dyDescent="0.25">
      <c r="T241" s="1700"/>
      <c r="U241" s="262"/>
      <c r="V241" s="775"/>
      <c r="W241" s="776"/>
      <c r="X241" s="776"/>
      <c r="Y241" s="776"/>
      <c r="Z241" s="776"/>
      <c r="AA241" s="776"/>
      <c r="AB241" s="776"/>
      <c r="AC241" s="783"/>
      <c r="AD241" s="776"/>
      <c r="AE241" s="776"/>
      <c r="AF241" s="777"/>
    </row>
    <row r="242" spans="20:85" ht="15" customHeight="1" x14ac:dyDescent="0.25">
      <c r="T242" s="1699" t="str">
        <f>MODELAGEM!H236</f>
        <v>MOLDE 26</v>
      </c>
      <c r="U242" s="761">
        <f>U239+1</f>
        <v>101</v>
      </c>
      <c r="V242" s="767" t="str">
        <f>MODELAGEM!K236</f>
        <v>NÃO</v>
      </c>
      <c r="W242" s="1657" t="str">
        <f>MODELAGEM!H237</f>
        <v>NOME</v>
      </c>
      <c r="X242" s="1657"/>
      <c r="Y242" s="1655" t="str">
        <f>MODELAGEM!M236</f>
        <v>Tec. Externo</v>
      </c>
      <c r="Z242" s="1655"/>
      <c r="AA242" s="778">
        <f>MODELAGEM!N236</f>
        <v>49.9</v>
      </c>
      <c r="AB242" s="750">
        <f>IF(V242="NÃO",0,((Z243*MODELAGEM!P236/(MODELAGEM!R236/MODELAGEM!L236))/100))</f>
        <v>0</v>
      </c>
      <c r="AC242" s="796">
        <f t="shared" ref="AC242" si="98">AC239</f>
        <v>2.5</v>
      </c>
      <c r="AD242" s="779"/>
      <c r="AE242" s="769">
        <f>IF(V242="NÃO",0,((Z243/(MODELAGEM!R236))*(AC242*2/100)+AB242)*W243)</f>
        <v>0</v>
      </c>
      <c r="AF242" s="770">
        <f>AE242*AA242</f>
        <v>0</v>
      </c>
      <c r="AG242" s="400">
        <f>IF(V242="SIM",1,IF(V244="SIM",1,IF(V246="SIM",1,0)))</f>
        <v>0</v>
      </c>
    </row>
    <row r="243" spans="20:85" ht="15" customHeight="1" x14ac:dyDescent="0.25">
      <c r="T243" s="1699"/>
      <c r="V243" s="20"/>
      <c r="W243" s="10" t="str">
        <f>IF(V242="SIM","1","0")</f>
        <v>0</v>
      </c>
      <c r="X243" s="10"/>
      <c r="Z243" s="759">
        <f>Z238</f>
        <v>20</v>
      </c>
      <c r="AA243" s="22"/>
      <c r="AB243" s="34"/>
      <c r="AC243" s="186"/>
      <c r="AE243" s="184"/>
      <c r="AF243" s="184"/>
    </row>
    <row r="244" spans="20:85" ht="15" customHeight="1" x14ac:dyDescent="0.25">
      <c r="T244" s="1699"/>
      <c r="U244">
        <f>U242+1</f>
        <v>102</v>
      </c>
      <c r="V244" s="767" t="str">
        <f>MODELAGEM!K238</f>
        <v>NÃO</v>
      </c>
      <c r="W244" s="1657" t="s">
        <v>712</v>
      </c>
      <c r="X244" s="1657"/>
      <c r="Y244" s="1655" t="str">
        <f>MODELAGEM!M238</f>
        <v>Entretela</v>
      </c>
      <c r="Z244" s="1655"/>
      <c r="AA244" s="778">
        <f>MODELAGEM!N238</f>
        <v>16</v>
      </c>
      <c r="AB244" s="750">
        <f>IF(V244="NÃO",0,((Z245*MODELAGEM!P238/(MODELAGEM!R238/MODELAGEM!L238))/100))</f>
        <v>0</v>
      </c>
      <c r="AC244" s="779">
        <f t="shared" ref="AC244" si="99">AC242</f>
        <v>2.5</v>
      </c>
      <c r="AD244" s="779"/>
      <c r="AE244" s="769">
        <f>IF(V244="NÃO",0,((Z245/(MODELAGEM!R238))*(AC244*2/100)+AB244)*W245)</f>
        <v>0</v>
      </c>
      <c r="AF244" s="770">
        <f>AE244*AA244</f>
        <v>0</v>
      </c>
    </row>
    <row r="245" spans="20:85" ht="15" customHeight="1" x14ac:dyDescent="0.25">
      <c r="T245" s="1699"/>
      <c r="V245" s="20"/>
      <c r="W245" s="10" t="str">
        <f>IF(V244="SIM","1","0")</f>
        <v>0</v>
      </c>
      <c r="X245" s="10"/>
      <c r="Z245" s="759">
        <f>Z243</f>
        <v>20</v>
      </c>
      <c r="AA245" s="22"/>
      <c r="AB245" s="34"/>
      <c r="AC245" s="186"/>
      <c r="AD245" s="186"/>
      <c r="AE245" s="184"/>
      <c r="AF245" s="184"/>
    </row>
    <row r="246" spans="20:85" ht="15" customHeight="1" x14ac:dyDescent="0.25">
      <c r="T246" s="1699"/>
      <c r="U246">
        <f>U244+1</f>
        <v>103</v>
      </c>
      <c r="V246" s="767" t="str">
        <f>MODELAGEM!K240</f>
        <v>NÃO</v>
      </c>
      <c r="W246" s="1657" t="s">
        <v>712</v>
      </c>
      <c r="X246" s="1657"/>
      <c r="Y246" s="1655" t="str">
        <f>MODELAGEM!M240</f>
        <v>Entretela</v>
      </c>
      <c r="Z246" s="1655"/>
      <c r="AA246" s="778">
        <f>MODELAGEM!N240</f>
        <v>16</v>
      </c>
      <c r="AB246" s="750">
        <f>IF(V246="NÃO",0,((Z247*MODELAGEM!P240/(MODELAGEM!R240/MODELAGEM!L240))/100))</f>
        <v>0</v>
      </c>
      <c r="AC246" s="779">
        <f t="shared" ref="AC246" si="100">AC244</f>
        <v>2.5</v>
      </c>
      <c r="AD246" s="779"/>
      <c r="AE246" s="769">
        <f>IF(V246="NÃO",0,((Z247/(MODELAGEM!R240))*(AC246*2/100)+AB246)*W247)</f>
        <v>0</v>
      </c>
      <c r="AF246" s="770">
        <f>AE246*AA246</f>
        <v>0</v>
      </c>
    </row>
    <row r="247" spans="20:85" ht="15" customHeight="1" x14ac:dyDescent="0.25">
      <c r="T247" s="1699"/>
      <c r="V247" s="20"/>
      <c r="W247" s="10" t="str">
        <f>IF(V246="SIM","1","0")</f>
        <v>0</v>
      </c>
      <c r="X247" s="10"/>
      <c r="Z247" s="759">
        <f>Z245</f>
        <v>20</v>
      </c>
      <c r="AA247" s="22"/>
      <c r="AB247" s="34"/>
      <c r="AC247" s="186"/>
      <c r="AE247" s="184"/>
      <c r="AF247" s="184"/>
    </row>
    <row r="248" spans="20:85" ht="15" customHeight="1" x14ac:dyDescent="0.25">
      <c r="T248" s="1699"/>
      <c r="U248">
        <f>U246+1</f>
        <v>104</v>
      </c>
      <c r="V248" s="767" t="str">
        <f>MODELAGEM!K242</f>
        <v>NÃO</v>
      </c>
      <c r="W248" s="1657" t="s">
        <v>712</v>
      </c>
      <c r="X248" s="1657"/>
      <c r="Y248" s="1655" t="str">
        <f>MODELAGEM!M242</f>
        <v>Forro</v>
      </c>
      <c r="Z248" s="1655"/>
      <c r="AA248" s="780">
        <f>MODELAGEM!N242</f>
        <v>19.899999999999999</v>
      </c>
      <c r="AB248" s="781">
        <f>IF(V248="NÃO",0,((Z249*MODELAGEM!P242/(MODELAGEM!R242/MODELAGEM!L242))/100))</f>
        <v>0</v>
      </c>
      <c r="AC248" s="779">
        <f t="shared" ref="AC248" si="101">AC246</f>
        <v>2.5</v>
      </c>
      <c r="AD248" s="779"/>
      <c r="AE248" s="769">
        <f>IF(V248="NÃO",0,((Z249/(MODELAGEM!R242))*(AC248*2/100)+AB248)*W249)</f>
        <v>0</v>
      </c>
      <c r="AF248" s="770">
        <f>AE248*AA248</f>
        <v>0</v>
      </c>
    </row>
    <row r="249" spans="20:85" ht="15" customHeight="1" x14ac:dyDescent="0.25">
      <c r="T249" s="1699"/>
      <c r="V249" s="20"/>
      <c r="W249" s="10" t="str">
        <f>IF(V248="SIM","1","0")</f>
        <v>0</v>
      </c>
      <c r="X249" s="10"/>
      <c r="Z249" s="759">
        <f>Z247</f>
        <v>20</v>
      </c>
      <c r="AA249" s="22"/>
      <c r="AB249" s="34"/>
      <c r="AC249" s="186"/>
      <c r="AD249" s="186"/>
      <c r="AE249" s="184"/>
      <c r="AF249" s="184"/>
    </row>
    <row r="250" spans="20:85" ht="15" customHeight="1" x14ac:dyDescent="0.25">
      <c r="T250" s="1699"/>
      <c r="U250" s="262"/>
      <c r="V250" s="775"/>
      <c r="W250" s="776"/>
      <c r="X250" s="776"/>
      <c r="Y250" s="776"/>
      <c r="Z250" s="776"/>
      <c r="AA250" s="776"/>
      <c r="AB250" s="776"/>
      <c r="AC250" s="783"/>
      <c r="AD250" s="776"/>
      <c r="AE250" s="776"/>
      <c r="AF250" s="777"/>
    </row>
    <row r="251" spans="20:85" ht="15" customHeight="1" x14ac:dyDescent="0.25">
      <c r="T251" s="1766" t="s">
        <v>411</v>
      </c>
      <c r="U251">
        <f>U248+1</f>
        <v>105</v>
      </c>
      <c r="V251" s="192" t="str">
        <f>IF(MODELAGEM!Z40="NÃO","NÃO",MODELAGEM!H259)</f>
        <v>SIM</v>
      </c>
      <c r="W251" s="1653" t="str">
        <f>MODELAGEM!I259</f>
        <v>TECIDO</v>
      </c>
      <c r="X251" s="1653"/>
      <c r="Y251" s="1656" t="str">
        <f>IF(MODELAGEM!I255="SIM",MODELAGEM!K259,MODELAGEM!M259)</f>
        <v>Tec. Externo</v>
      </c>
      <c r="Z251" s="1656"/>
      <c r="AA251" s="778">
        <f>MODELAGEM!N259</f>
        <v>49.9</v>
      </c>
      <c r="AB251" s="750">
        <f>IF(V251="NÃO",0,MODELAGEM!U261)</f>
        <v>0.14588235294117646</v>
      </c>
      <c r="AC251" s="779">
        <f>AC248</f>
        <v>2.5</v>
      </c>
      <c r="AD251" s="779"/>
      <c r="AE251" s="769">
        <f>IF(V251="NÃO",0,IF(AB251&gt;0,((Z253/(MODELAGEM!U259))*(AC251*2/100)+AB251)*W253,0))</f>
        <v>0.20470588235294118</v>
      </c>
      <c r="AF251" s="770">
        <f>AE251*AA251</f>
        <v>10.214823529411765</v>
      </c>
      <c r="AG251" s="791" t="str">
        <f>IF(MODELAGEM!I255="SIM","³"," ")</f>
        <v xml:space="preserve"> </v>
      </c>
    </row>
    <row r="252" spans="20:85" ht="15" customHeight="1" x14ac:dyDescent="0.25">
      <c r="T252" s="1766"/>
      <c r="V252" s="882" t="str">
        <f>IF(SUM(MODELAGEM!V260:V263)&gt;0,"SIM","NÃO")</f>
        <v>SIM</v>
      </c>
      <c r="W252" s="1653" t="s">
        <v>914</v>
      </c>
      <c r="X252" s="1653"/>
      <c r="Y252" s="1654" t="str">
        <f>IF(V252="SIM",MODELAGEM!P259,CONCATENATE("SEM ",MODELAGEM!P256))</f>
        <v>Entretela</v>
      </c>
      <c r="Z252" s="1654"/>
      <c r="AA252" s="778">
        <f>MODELAGEM!Q259</f>
        <v>16</v>
      </c>
      <c r="AB252" s="750">
        <f>MODELAGEM!T262</f>
        <v>0.27555555555555555</v>
      </c>
      <c r="AC252" s="779">
        <f>AC251</f>
        <v>2.5</v>
      </c>
      <c r="AD252" s="779"/>
      <c r="AE252" s="769">
        <f>IF(V251="NÃO",0,IF(AB252&gt;0,((Z253/(MODELAGEM!T260))*(AC252*2/100)+AB252)*W253,0))</f>
        <v>0.38666666666666666</v>
      </c>
      <c r="AF252" s="770">
        <f>AE252*AA252</f>
        <v>6.1866666666666665</v>
      </c>
      <c r="AG252" s="464"/>
    </row>
    <row r="253" spans="20:85" ht="15" customHeight="1" x14ac:dyDescent="0.25">
      <c r="T253" s="1766"/>
      <c r="V253" s="20"/>
      <c r="W253" s="10" t="str">
        <f>IF(V251="SIM","1","0")</f>
        <v>1</v>
      </c>
      <c r="X253" s="10"/>
      <c r="Z253" s="140">
        <f>Z74</f>
        <v>20</v>
      </c>
      <c r="AA253" s="22"/>
      <c r="AB253" s="34"/>
      <c r="AC253" s="186"/>
      <c r="AD253" s="186"/>
      <c r="AF253" s="184"/>
      <c r="AG253" s="186"/>
    </row>
    <row r="254" spans="20:85" ht="15" customHeight="1" x14ac:dyDescent="0.25">
      <c r="T254" s="1766"/>
      <c r="U254">
        <f t="shared" ref="U254" si="102">U251+1</f>
        <v>106</v>
      </c>
      <c r="V254" s="192" t="str">
        <f>IF(MODELAGEM!Z40="NÃO","NÃO",MODELAGEM!H266)</f>
        <v>SIM</v>
      </c>
      <c r="W254" s="1653" t="str">
        <f>MODELAGEM!I266</f>
        <v>TECIDO</v>
      </c>
      <c r="X254" s="1653"/>
      <c r="Y254" s="1656" t="str">
        <f>IF(MODELAGEM!I255="SIM",MODELAGEM!K266,MODELAGEM!M266)</f>
        <v>Tec. Externo</v>
      </c>
      <c r="Z254" s="1656"/>
      <c r="AA254" s="778">
        <f>MODELAGEM!N266</f>
        <v>49.9</v>
      </c>
      <c r="AB254" s="750">
        <f>IF(V254="NÃO",0,MODELAGEM!U268)</f>
        <v>0</v>
      </c>
      <c r="AC254" s="779">
        <f>AC252</f>
        <v>2.5</v>
      </c>
      <c r="AD254" s="779"/>
      <c r="AE254" s="769">
        <f>IF(V254="NÃO",0,IF(AB254&gt;0,((Z256/(MODELAGEM!U266))*(AC254*2/100)+AB254)*W256,0))</f>
        <v>0</v>
      </c>
      <c r="AF254" s="770">
        <f>AE254*AA254</f>
        <v>0</v>
      </c>
      <c r="AG254" s="791" t="str">
        <f>IF(MODELAGEM!I255="SIM","³"," ")</f>
        <v xml:space="preserve"> </v>
      </c>
    </row>
    <row r="255" spans="20:85" ht="15" customHeight="1" x14ac:dyDescent="0.25">
      <c r="T255" s="1766"/>
      <c r="V255" s="882" t="str">
        <f>IF(SUM(MODELAGEM!V260:V263)&gt;0,"SIM","NÃO")</f>
        <v>SIM</v>
      </c>
      <c r="W255" s="1653" t="s">
        <v>914</v>
      </c>
      <c r="X255" s="1653"/>
      <c r="Y255" s="1654" t="str">
        <f>IF(V255="SIM",MODELAGEM!P266,CONCATENATE("SEM ",MODELAGEM!P266))</f>
        <v>Entretela</v>
      </c>
      <c r="Z255" s="1654"/>
      <c r="AA255" s="778">
        <f>MODELAGEM!Q266</f>
        <v>16</v>
      </c>
      <c r="AB255" s="750">
        <f>MODELAGEM!T269</f>
        <v>0.18333333333333332</v>
      </c>
      <c r="AC255" s="779">
        <f>AC254</f>
        <v>2.5</v>
      </c>
      <c r="AD255" s="779"/>
      <c r="AE255" s="769">
        <f>IF(V254="NÃO",0,IF(AB255&gt;0,((Z256/(MODELAGEM!T267))*(AC255*2/100)+AB255)*W256,0))</f>
        <v>0.23888888888888887</v>
      </c>
      <c r="AF255" s="770">
        <f>AE255*AA255</f>
        <v>3.822222222222222</v>
      </c>
      <c r="AG255" s="464"/>
    </row>
    <row r="256" spans="20:85" ht="15" customHeight="1" x14ac:dyDescent="0.25">
      <c r="T256" s="1766"/>
      <c r="V256" s="20"/>
      <c r="W256" s="10" t="str">
        <f>IF(V254="SIM","1","0")</f>
        <v>1</v>
      </c>
      <c r="X256" s="10"/>
      <c r="Z256" s="140">
        <f>Z253</f>
        <v>20</v>
      </c>
      <c r="AA256" s="22"/>
      <c r="AB256" s="34"/>
      <c r="AC256" s="186"/>
      <c r="AD256" s="186"/>
      <c r="AF256" s="184"/>
      <c r="AG256" s="186"/>
      <c r="AW256" s="186"/>
      <c r="CG256" s="186"/>
    </row>
    <row r="257" spans="20:85" ht="15" customHeight="1" x14ac:dyDescent="0.25">
      <c r="T257" s="1766"/>
      <c r="U257">
        <f t="shared" ref="U257" si="103">U254+1</f>
        <v>107</v>
      </c>
      <c r="V257" s="192" t="str">
        <f>IF(MODELAGEM!Z40="NÃO","NÃO",MODELAGEM!H273)</f>
        <v>NÃO</v>
      </c>
      <c r="W257" s="1653" t="str">
        <f>MODELAGEM!I273</f>
        <v>TECIDO</v>
      </c>
      <c r="X257" s="1653"/>
      <c r="Y257" s="1656" t="str">
        <f>IF(MODELAGEM!I255="SIM",MODELAGEM!K273,MODELAGEM!M273)</f>
        <v>Forro</v>
      </c>
      <c r="Z257" s="1656"/>
      <c r="AA257" s="778">
        <f>MODELAGEM!N273</f>
        <v>19.899999999999999</v>
      </c>
      <c r="AB257" s="750">
        <f>IF(V257="NÃO",0,MODELAGEM!U275)</f>
        <v>0</v>
      </c>
      <c r="AC257" s="779">
        <f>AC255</f>
        <v>2.5</v>
      </c>
      <c r="AD257" s="779"/>
      <c r="AE257" s="769">
        <f>IF(V257="NÃO",0,IF(AB257&gt;0,((Z259/(MODELAGEM!U273))*(AC257*2/100)+AB257)*W259,0))</f>
        <v>0</v>
      </c>
      <c r="AF257" s="770">
        <f>AE257*AA257</f>
        <v>0</v>
      </c>
      <c r="AG257" s="791" t="str">
        <f>IF(MODELAGEM!I255="SIM","³"," ")</f>
        <v xml:space="preserve"> </v>
      </c>
      <c r="AV257" s="184"/>
      <c r="AW257" s="186"/>
      <c r="CF257" s="184"/>
      <c r="CG257" s="186"/>
    </row>
    <row r="258" spans="20:85" ht="15" customHeight="1" x14ac:dyDescent="0.25">
      <c r="T258" s="1766"/>
      <c r="V258" s="882" t="str">
        <f>IF(SUM(MODELAGEM!V260:V263)&gt;0,"SIM","NÃO")</f>
        <v>SIM</v>
      </c>
      <c r="W258" s="1653" t="s">
        <v>914</v>
      </c>
      <c r="X258" s="1653"/>
      <c r="Y258" s="1654" t="str">
        <f>IF(V258="SIM",MODELAGEM!P273,CONCATENATE("SEM ",MODELAGEM!P273))</f>
        <v>Entretela</v>
      </c>
      <c r="Z258" s="1654"/>
      <c r="AA258" s="778">
        <f>MODELAGEM!Q273</f>
        <v>16</v>
      </c>
      <c r="AB258" s="750">
        <f>MODELAGEM!T276</f>
        <v>0</v>
      </c>
      <c r="AC258" s="779">
        <f>AC257</f>
        <v>2.5</v>
      </c>
      <c r="AD258" s="779"/>
      <c r="AE258" s="769">
        <f>IF(V257="NÃO",0,IF(AB258&gt;0,((Z259/(MODELAGEM!T274))*(AC258*2/100)+AB258)*W259,0))</f>
        <v>0</v>
      </c>
      <c r="AF258" s="770">
        <f>AE258*AA258</f>
        <v>0</v>
      </c>
      <c r="AG258" s="464"/>
      <c r="AV258" s="184"/>
      <c r="AW258" s="186"/>
      <c r="CF258" s="184"/>
      <c r="CG258" s="186"/>
    </row>
    <row r="259" spans="20:85" ht="15" customHeight="1" x14ac:dyDescent="0.25">
      <c r="T259" s="1766"/>
      <c r="V259" s="20"/>
      <c r="W259" s="10" t="str">
        <f>IF(V257="SIM","1","0")</f>
        <v>0</v>
      </c>
      <c r="X259" s="10"/>
      <c r="Z259" s="140">
        <f>Z256</f>
        <v>20</v>
      </c>
      <c r="AA259" s="22"/>
      <c r="AB259" s="34"/>
      <c r="AC259" s="186"/>
      <c r="AD259" s="186"/>
      <c r="AF259" s="184"/>
      <c r="AG259" s="186"/>
      <c r="AV259" s="184"/>
      <c r="AW259" s="186"/>
      <c r="CF259" s="184"/>
      <c r="CG259" s="186"/>
    </row>
    <row r="260" spans="20:85" ht="15" customHeight="1" x14ac:dyDescent="0.25">
      <c r="T260" s="1766"/>
      <c r="U260">
        <f t="shared" ref="U260" si="104">U257+1</f>
        <v>108</v>
      </c>
      <c r="V260" s="192" t="str">
        <f>IF(MODELAGEM!Z40="NÃO","NÃO",MODELAGEM!H280)</f>
        <v>NÃO</v>
      </c>
      <c r="W260" s="1653" t="str">
        <f>MODELAGEM!I280</f>
        <v>TECIDO</v>
      </c>
      <c r="X260" s="1653"/>
      <c r="Y260" s="1656" t="str">
        <f>IF(MODELAGEM!I255="SIM",MODELAGEM!K280,MODELAGEM!M280)</f>
        <v>Tec. Externo</v>
      </c>
      <c r="Z260" s="1656"/>
      <c r="AA260" s="778">
        <f>MODELAGEM!N280</f>
        <v>49.9</v>
      </c>
      <c r="AB260" s="750">
        <f>IF(V260="NÃO",0,MODELAGEM!U282)</f>
        <v>0</v>
      </c>
      <c r="AC260" s="779">
        <f>AC258</f>
        <v>2.5</v>
      </c>
      <c r="AD260" s="779"/>
      <c r="AE260" s="769">
        <f>IF(V260="NÃO",0,IF(AB260&gt;0,((Z262/(MODELAGEM!U280))*(AC260*2/100)+AB260)*W262,0))</f>
        <v>0</v>
      </c>
      <c r="AF260" s="770">
        <f>AE260*AA260</f>
        <v>0</v>
      </c>
      <c r="AG260" s="791" t="str">
        <f>IF(MODELAGEM!I255="SIM","³"," ")</f>
        <v xml:space="preserve"> </v>
      </c>
      <c r="AV260" s="184"/>
      <c r="AW260" s="186"/>
      <c r="CF260" s="184"/>
      <c r="CG260" s="186"/>
    </row>
    <row r="261" spans="20:85" ht="15" customHeight="1" x14ac:dyDescent="0.25">
      <c r="T261" s="1766"/>
      <c r="V261" s="882" t="str">
        <f>IF(SUM(MODELAGEM!V260:V263)&gt;0,"SIM","NÃO")</f>
        <v>SIM</v>
      </c>
      <c r="W261" s="1653" t="s">
        <v>914</v>
      </c>
      <c r="X261" s="1653"/>
      <c r="Y261" s="1654" t="str">
        <f>IF(V261="SIM",MODELAGEM!P280,CONCATENATE("SEM ",MODELAGEM!PP280))</f>
        <v>Entretela</v>
      </c>
      <c r="Z261" s="1654"/>
      <c r="AA261" s="778">
        <f>MODELAGEM!Q280</f>
        <v>16</v>
      </c>
      <c r="AB261" s="750">
        <f>MODELAGEM!T283</f>
        <v>0</v>
      </c>
      <c r="AC261" s="779">
        <f>AC260</f>
        <v>2.5</v>
      </c>
      <c r="AD261" s="779"/>
      <c r="AE261" s="769">
        <f>IF(V260="NÃO",0,IF(AB261&gt;0,((Z262/(MODELAGEM!T281))*(AC261*2/100)+AB261)*W262,0))</f>
        <v>0</v>
      </c>
      <c r="AF261" s="770">
        <f>AE261*AA261</f>
        <v>0</v>
      </c>
      <c r="AG261" s="464"/>
      <c r="AV261" s="184"/>
      <c r="AW261" s="186"/>
      <c r="CF261" s="184"/>
      <c r="CG261" s="186"/>
    </row>
    <row r="262" spans="20:85" ht="15" customHeight="1" x14ac:dyDescent="0.25">
      <c r="T262" s="1766"/>
      <c r="V262" s="20"/>
      <c r="W262" s="10" t="str">
        <f>IF(V260="SIM","1","0")</f>
        <v>0</v>
      </c>
      <c r="X262" s="10"/>
      <c r="Z262" s="140">
        <f>Z259</f>
        <v>20</v>
      </c>
      <c r="AA262" s="22"/>
      <c r="AB262" s="34"/>
      <c r="AC262" s="186"/>
      <c r="AD262" s="186"/>
      <c r="AF262" s="184"/>
      <c r="AV262" s="184"/>
      <c r="AW262" s="186"/>
      <c r="CF262" s="184"/>
      <c r="CG262" s="186"/>
    </row>
    <row r="263" spans="20:85" ht="15" customHeight="1" x14ac:dyDescent="0.25">
      <c r="T263" s="766" t="s">
        <v>402</v>
      </c>
      <c r="U263" s="789"/>
      <c r="V263" s="192" t="str">
        <f>MODELAGEM!Z43</f>
        <v>NÃO</v>
      </c>
      <c r="W263" s="1653" t="str">
        <f>IF('NOME + Nº'!E54="NÃO","VIVO TECIDO","VIVO PRONTO")</f>
        <v>VIVO TECIDO</v>
      </c>
      <c r="X263" s="1653"/>
      <c r="Y263" s="1656" t="str">
        <f>MODELAGEM!AE33</f>
        <v>Tec. Vivo</v>
      </c>
      <c r="Z263" s="1656"/>
      <c r="AA263" s="778">
        <f>MODELAGEM!AG33</f>
        <v>49.9</v>
      </c>
      <c r="AB263" s="750">
        <f>IF(V263="SIM",MODELAGEM!AG43,0)</f>
        <v>0</v>
      </c>
      <c r="AC263" s="802" t="s">
        <v>684</v>
      </c>
      <c r="AD263" s="790"/>
      <c r="AE263" s="769">
        <f>IF(V263="NÃO",0,IF(AB263&gt;0,(MODELAGEM!AG43*W264),0))</f>
        <v>0</v>
      </c>
      <c r="AF263" s="770">
        <f>IF('NOME + Nº'!E54="NÃO",AE263*AA263,0)</f>
        <v>0</v>
      </c>
      <c r="AG263" s="792" t="str">
        <f>IF('NOME + Nº'!E54="NÃO"," ","²")</f>
        <v xml:space="preserve"> </v>
      </c>
    </row>
    <row r="264" spans="20:85" ht="15" customHeight="1" x14ac:dyDescent="0.25">
      <c r="V264" s="20"/>
      <c r="W264" s="10" t="str">
        <f>IF(V263="SIM","1","0")</f>
        <v>0</v>
      </c>
      <c r="X264" s="10"/>
      <c r="Z264" s="140">
        <f>Z262</f>
        <v>20</v>
      </c>
      <c r="AA264" s="185"/>
      <c r="AF264" s="184"/>
    </row>
    <row r="265" spans="20:85" ht="15" customHeight="1" x14ac:dyDescent="0.25">
      <c r="AB265" s="464" t="s">
        <v>683</v>
      </c>
    </row>
    <row r="266" spans="20:85" ht="15" customHeight="1" x14ac:dyDescent="0.25">
      <c r="AB266" s="464" t="str">
        <f>IF('NOME + Nº'!E54="NÃO"," ","² VIVO PRONTO não necessita de tecido")</f>
        <v xml:space="preserve"> </v>
      </c>
    </row>
    <row r="267" spans="20:85" ht="15" customHeight="1" x14ac:dyDescent="0.25">
      <c r="AB267" s="464" t="str">
        <f>IF(MODELAGEM!I255="SIM","³ ALÇA PRONTA não necessita de tecido"," ")</f>
        <v xml:space="preserve"> </v>
      </c>
    </row>
    <row r="269" spans="20:85" ht="15" customHeight="1" x14ac:dyDescent="0.25">
      <c r="U269" s="1588" t="s">
        <v>285</v>
      </c>
      <c r="V269" s="1670"/>
      <c r="W269" s="1670"/>
      <c r="X269" s="1670"/>
      <c r="Y269" s="1670"/>
      <c r="Z269" s="1670"/>
      <c r="AA269" s="1670"/>
      <c r="AB269" s="1670"/>
      <c r="AC269" s="1670"/>
      <c r="AD269" s="1670"/>
      <c r="AE269" s="1670"/>
      <c r="AF269" s="1670"/>
      <c r="AG269" s="1670"/>
      <c r="AH269" s="1670"/>
      <c r="AI269" s="1670"/>
      <c r="AJ269" s="1670"/>
      <c r="AK269" s="1589"/>
    </row>
    <row r="270" spans="20:85" ht="15" customHeight="1" x14ac:dyDescent="0.25">
      <c r="U270" s="1687" t="s">
        <v>237</v>
      </c>
      <c r="V270" s="1685" t="s">
        <v>238</v>
      </c>
      <c r="W270" s="1776" t="s">
        <v>286</v>
      </c>
      <c r="AM270" s="35"/>
      <c r="AQ270" s="1499" t="s">
        <v>248</v>
      </c>
      <c r="AR270" s="1499"/>
      <c r="AS270" s="1499"/>
      <c r="AT270" s="1499"/>
      <c r="AU270" s="1499"/>
      <c r="AV270" s="1499"/>
      <c r="AW270" s="1499"/>
      <c r="AX270" s="1499"/>
      <c r="AY270" s="1499"/>
      <c r="AZ270" s="1499"/>
      <c r="BA270" s="1499"/>
      <c r="BB270" s="1499"/>
    </row>
    <row r="271" spans="20:85" ht="15" customHeight="1" thickBot="1" x14ac:dyDescent="0.3">
      <c r="U271" s="1729"/>
      <c r="V271" s="1730"/>
      <c r="W271" s="1777"/>
      <c r="AM271" s="35"/>
    </row>
    <row r="272" spans="20:85" ht="15" customHeight="1" x14ac:dyDescent="0.25">
      <c r="T272" s="191" t="s">
        <v>234</v>
      </c>
      <c r="U272" s="32">
        <f>'NOME + Nº'!H128</f>
        <v>20</v>
      </c>
      <c r="V272" s="33">
        <f>INT(MAX(AN276,AN278,AN280,AN282,AN284,AN286))</f>
        <v>0</v>
      </c>
      <c r="W272" s="137">
        <v>3</v>
      </c>
      <c r="Z272" s="1724" t="s">
        <v>746</v>
      </c>
      <c r="AA272" s="1324" t="s">
        <v>287</v>
      </c>
      <c r="AB272" s="1311"/>
      <c r="AC272" s="1324" t="s">
        <v>288</v>
      </c>
      <c r="AD272" s="1310"/>
      <c r="AE272" s="1673" t="s">
        <v>194</v>
      </c>
      <c r="AF272" s="1674"/>
      <c r="AG272" s="1674"/>
      <c r="AH272" s="1674"/>
      <c r="AI272" s="1674"/>
      <c r="AJ272" s="1675"/>
      <c r="AK272" s="1310" t="s">
        <v>754</v>
      </c>
      <c r="AL272" s="1310"/>
      <c r="AM272" s="1311"/>
      <c r="AN272" s="35"/>
      <c r="AQ272" s="1775" t="s">
        <v>249</v>
      </c>
      <c r="AR272" s="1775"/>
      <c r="AS272" s="1775"/>
      <c r="AT272" s="1753"/>
      <c r="AU272" s="1769" t="s">
        <v>295</v>
      </c>
      <c r="AV272" s="1771" t="s">
        <v>274</v>
      </c>
      <c r="AW272" s="1767" t="s">
        <v>250</v>
      </c>
      <c r="AX272" s="1768"/>
      <c r="AY272" s="1768"/>
      <c r="AZ272" s="1768"/>
      <c r="BA272" s="1768"/>
      <c r="BB272" s="1768"/>
    </row>
    <row r="273" spans="20:54" ht="15" customHeight="1" thickBot="1" x14ac:dyDescent="0.3">
      <c r="Z273" s="1725"/>
      <c r="AA273" s="1668" t="s">
        <v>376</v>
      </c>
      <c r="AB273" s="1668" t="s">
        <v>242</v>
      </c>
      <c r="AC273" s="1662" t="s">
        <v>289</v>
      </c>
      <c r="AD273" s="1660" t="s">
        <v>199</v>
      </c>
      <c r="AE273" s="1676" t="s">
        <v>290</v>
      </c>
      <c r="AF273" s="1666" t="s">
        <v>291</v>
      </c>
      <c r="AG273" s="1678" t="s">
        <v>292</v>
      </c>
      <c r="AH273" s="1668" t="s">
        <v>280</v>
      </c>
      <c r="AI273" s="1680" t="s">
        <v>293</v>
      </c>
      <c r="AJ273" s="1671" t="s">
        <v>294</v>
      </c>
      <c r="AK273" s="1664" t="s">
        <v>747</v>
      </c>
      <c r="AL273" s="1662" t="s">
        <v>748</v>
      </c>
      <c r="AM273" s="1658" t="s">
        <v>749</v>
      </c>
      <c r="AN273" s="1773" t="s">
        <v>246</v>
      </c>
      <c r="AQ273" s="480" t="s">
        <v>239</v>
      </c>
      <c r="AR273" s="480" t="s">
        <v>195</v>
      </c>
      <c r="AS273" s="481" t="s">
        <v>376</v>
      </c>
      <c r="AT273" s="490" t="s">
        <v>244</v>
      </c>
      <c r="AU273" s="1770"/>
      <c r="AV273" s="1772"/>
      <c r="AW273" s="521">
        <v>1</v>
      </c>
      <c r="AX273" s="522">
        <v>2</v>
      </c>
      <c r="AY273" s="522">
        <v>3</v>
      </c>
      <c r="AZ273" s="522">
        <v>4</v>
      </c>
      <c r="BA273" s="522">
        <v>5</v>
      </c>
      <c r="BB273" s="522">
        <v>6</v>
      </c>
    </row>
    <row r="274" spans="20:54" ht="15" customHeight="1" x14ac:dyDescent="0.25">
      <c r="U274" s="1753" t="s">
        <v>281</v>
      </c>
      <c r="V274" s="1754"/>
      <c r="W274" s="1754"/>
      <c r="X274" s="1754"/>
      <c r="Y274" s="1755"/>
      <c r="Z274" s="1726"/>
      <c r="AA274" s="1669"/>
      <c r="AB274" s="1669"/>
      <c r="AC274" s="1663"/>
      <c r="AD274" s="1661"/>
      <c r="AE274" s="1677"/>
      <c r="AF274" s="1667"/>
      <c r="AG274" s="1679"/>
      <c r="AH274" s="1669"/>
      <c r="AI274" s="1681"/>
      <c r="AJ274" s="1672"/>
      <c r="AK274" s="1665"/>
      <c r="AL274" s="1663"/>
      <c r="AM274" s="1659"/>
      <c r="AN274" s="1774"/>
      <c r="AP274">
        <v>1</v>
      </c>
      <c r="AQ274" s="482" t="s">
        <v>202</v>
      </c>
      <c r="AR274" s="482" t="str">
        <f>'NOME + Nº'!D35</f>
        <v>Aquablock</v>
      </c>
      <c r="AS274" s="483">
        <f>'NOME + Nº'!H35</f>
        <v>49.9</v>
      </c>
      <c r="AT274" s="491">
        <f>'NOME + Nº'!J35</f>
        <v>140</v>
      </c>
      <c r="AU274" s="921">
        <f>SUM(AW274:BB274)</f>
        <v>0</v>
      </c>
      <c r="AV274" s="919">
        <f t="shared" ref="AV274:AV279" si="105">AU274*AS274</f>
        <v>0</v>
      </c>
      <c r="AW274" s="918">
        <f>IF((V275=AQ274), AL275, 0)</f>
        <v>0</v>
      </c>
      <c r="AX274" s="485">
        <f>IF((V277=AQ274), AL277, 0)</f>
        <v>0</v>
      </c>
      <c r="AY274" s="485">
        <f>IF((V279=AQ274), AL279, 0)</f>
        <v>0</v>
      </c>
      <c r="AZ274" s="485">
        <f>IF((V281=AQ274), AL281, 0)</f>
        <v>0</v>
      </c>
      <c r="BA274" s="485">
        <f>IF((V283=AQ274), AL283, 0)</f>
        <v>0</v>
      </c>
      <c r="BB274" s="486">
        <f>IF((V285=AQ274), AL285, 0)</f>
        <v>0</v>
      </c>
    </row>
    <row r="275" spans="20:54" ht="15" customHeight="1" x14ac:dyDescent="0.25">
      <c r="T275">
        <v>1</v>
      </c>
      <c r="U275" s="322" t="s">
        <v>61</v>
      </c>
      <c r="V275" s="1749" t="s">
        <v>909</v>
      </c>
      <c r="W275" s="1750"/>
      <c r="X275" s="1751" t="b">
        <f>IF((V275=AQ274),AR274,(IF((V275=AQ275),AR275,(IF((V275=AQ276),AR276,(IF((V275=AQ277),AR277,(IF((V275=AQ278),AR278,(IF((V275=AQ279),AR279,(IF((V275=AQ280),AR280)))))))))))))</f>
        <v>0</v>
      </c>
      <c r="Y275" s="1752"/>
      <c r="Z275" s="580">
        <v>1.5</v>
      </c>
      <c r="AA275" s="166" t="b">
        <f>IF((V275=AQ274),AS274,(IF((V275=AQ275),AS275,(IF((V275=AQ276),AS276,(IF((V275=AQ277),AS277,(IF((V275=AQ278),AS278,(IF((V275=AQ279),AS279,(IF((V275=AQ280),AS280)))))))))))))</f>
        <v>0</v>
      </c>
      <c r="AB275" s="167" t="b">
        <f>IF((V275=AQ274),AT274,(IF((V275=AQ275),AT275,(IF((V275=AQ276),AT276,(IF((V275=AQ277),AT277,(IF((V275=AQ278),AT278,(IF((V275=AQ279),AT279,(IF((V275=AQ280),AT280)))))))))))))</f>
        <v>0</v>
      </c>
      <c r="AC275" s="172">
        <v>60</v>
      </c>
      <c r="AD275" s="173">
        <v>100</v>
      </c>
      <c r="AE275" s="927">
        <f>W272</f>
        <v>3</v>
      </c>
      <c r="AF275" s="174">
        <f>IF(AF276&lt;(AE275*100), INT(AF276),INT(AE275*100))</f>
        <v>7</v>
      </c>
      <c r="AG275" s="174">
        <f>IF(AG276&lt;(Z276), INT(AG276),(Z276))</f>
        <v>0</v>
      </c>
      <c r="AH275" s="175">
        <v>2.5</v>
      </c>
      <c r="AI275" s="176" t="e">
        <f>IF(U275="NÃO",0,INT(AI276))</f>
        <v>#DIV/0!</v>
      </c>
      <c r="AJ275" s="928" t="e">
        <f>IF(U275="NÃO",0,(AI276-AI275)*(AF275*AG275))</f>
        <v>#DIV/0!</v>
      </c>
      <c r="AK275" s="177" t="e">
        <f>IF(U275="NÃO",0,AL275/Z276)</f>
        <v>#DIV/0!</v>
      </c>
      <c r="AL275" s="178" t="e">
        <f>IF(U275="NÃO",0,IF((Z276/(AN275))&gt;1,((Z276/(AN275))*(2*AH275/100)+(((AC275/Z275)*Z276/100)/AG275))*V276,(((AC275/Z275)*Z276/100)/AG275))*V276)</f>
        <v>#DIV/0!</v>
      </c>
      <c r="AM275" s="493" t="e">
        <f>IF(U275="NÃO",0,AL275*AA275*V276)</f>
        <v>#DIV/0!</v>
      </c>
      <c r="AN275" s="390">
        <f>IF(U275="NÃO",0,AF275*AG275)</f>
        <v>0</v>
      </c>
      <c r="AO275" s="34"/>
      <c r="AP275">
        <v>2</v>
      </c>
      <c r="AQ275" s="326" t="str">
        <f>'NOME + Nº'!B23</f>
        <v>Entretela</v>
      </c>
      <c r="AR275" s="326">
        <f>'NOME + Nº'!D36</f>
        <v>80</v>
      </c>
      <c r="AS275" s="484">
        <f>'NOME + Nº'!H36</f>
        <v>16</v>
      </c>
      <c r="AT275" s="492">
        <f>'NOME + Nº'!J36</f>
        <v>75</v>
      </c>
      <c r="AU275" s="921">
        <f>IF('NOME + Nº'!D23="SIM",SUM(AW275:BB275),0)</f>
        <v>0</v>
      </c>
      <c r="AV275" s="919">
        <f t="shared" si="105"/>
        <v>0</v>
      </c>
      <c r="AW275" s="487">
        <f>IF((V275=AQ275), AL275, 0)</f>
        <v>0</v>
      </c>
      <c r="AX275" s="487">
        <f>IF((V277=AQ275), AL277, 0)</f>
        <v>0</v>
      </c>
      <c r="AY275" s="487">
        <f>IF((V279=AQ275), AL279, 0)</f>
        <v>0</v>
      </c>
      <c r="AZ275" s="487">
        <f>IF((V281=AQ275), AL281, 0)</f>
        <v>0</v>
      </c>
      <c r="BA275" s="487">
        <f>IF((V283=AQ275), AL283, 0)</f>
        <v>0</v>
      </c>
      <c r="BB275" s="488">
        <f>IF((V285=AQ275), AL285, 0)</f>
        <v>0</v>
      </c>
    </row>
    <row r="276" spans="20:54" ht="15" customHeight="1" x14ac:dyDescent="0.3">
      <c r="U276" s="179"/>
      <c r="V276" s="10" t="str">
        <f>IF(U275="SIM","1","0")</f>
        <v>1</v>
      </c>
      <c r="W276" s="138"/>
      <c r="X276" s="138"/>
      <c r="Y276" s="138"/>
      <c r="Z276" s="10">
        <f>U272</f>
        <v>20</v>
      </c>
      <c r="AA276" s="21"/>
      <c r="AB276" s="21"/>
      <c r="AC276" s="138"/>
      <c r="AD276" s="138"/>
      <c r="AE276" s="929"/>
      <c r="AF276" s="9">
        <f>AE275/((AC275/Z275)/100)</f>
        <v>7.5</v>
      </c>
      <c r="AG276" s="9">
        <f>AB275/(AD275)</f>
        <v>0</v>
      </c>
      <c r="AH276" s="139"/>
      <c r="AI276" s="9" t="e">
        <f>IF(U275="NÃO",0,(Z276/(AF275*AG275)))</f>
        <v>#DIV/0!</v>
      </c>
      <c r="AJ276" s="930"/>
      <c r="AK276" s="139"/>
      <c r="AL276" s="139"/>
      <c r="AM276" s="139"/>
      <c r="AN276" s="131">
        <f>IF(U275="NÃO",0,AN275*V276)</f>
        <v>0</v>
      </c>
      <c r="AO276" s="34"/>
      <c r="AP276">
        <v>3</v>
      </c>
      <c r="AQ276" s="482" t="str">
        <f>'NOME + Nº'!B24</f>
        <v>Forro</v>
      </c>
      <c r="AR276" s="482" t="str">
        <f>'NOME + Nº'!D37</f>
        <v>Suede</v>
      </c>
      <c r="AS276" s="483">
        <f>'NOME + Nº'!H37</f>
        <v>19.899999999999999</v>
      </c>
      <c r="AT276" s="491">
        <f>'NOME + Nº'!J37</f>
        <v>140</v>
      </c>
      <c r="AU276" s="921">
        <f>IF('NOME + Nº'!D24="SIM",SUM(AW276:BB276),0)</f>
        <v>0</v>
      </c>
      <c r="AV276" s="919">
        <f t="shared" si="105"/>
        <v>0</v>
      </c>
      <c r="AW276" s="485">
        <f>IF((V275=AQ276), AL275, 0)</f>
        <v>0</v>
      </c>
      <c r="AX276" s="485">
        <f>IF((V277=AQ276), AL277, 0)</f>
        <v>0</v>
      </c>
      <c r="AY276" s="485">
        <f>IF((V279=AQ276), AL279, 0)</f>
        <v>0</v>
      </c>
      <c r="AZ276" s="485">
        <f>IF((V281=AQ276), AL281, 0)</f>
        <v>0</v>
      </c>
      <c r="BA276" s="485">
        <f>IF((V283=AQ276), AL283, 0)</f>
        <v>0</v>
      </c>
      <c r="BB276" s="486">
        <f>IF((V285=AQ276), AL285, 0)</f>
        <v>0</v>
      </c>
    </row>
    <row r="277" spans="20:54" ht="15" customHeight="1" x14ac:dyDescent="0.25">
      <c r="T277">
        <v>2</v>
      </c>
      <c r="U277" s="322" t="s">
        <v>189</v>
      </c>
      <c r="V277" s="1743" t="s">
        <v>188</v>
      </c>
      <c r="W277" s="1744"/>
      <c r="X277" s="1745">
        <f>IF((V277=AQ274),AR274,(IF((V277=AQ275),AR275,(IF((V277=AQ276),AR276,(IF((V277=AQ277),AR277,(IF((V277=AQ278),AR278,(IF((V277=AQ279),AR279(IF((V275=AQ280),AR280)))))))))))))</f>
        <v>80</v>
      </c>
      <c r="Y277" s="1746"/>
      <c r="Z277" s="581">
        <v>1</v>
      </c>
      <c r="AA277" s="164">
        <f>IF((V277=AQ274),AS274,(IF((V277=AQ275),AS275,(IF((V277=AQ276),AS276,(IF((V277=AQ277),AS277,(IF((V277=AQ278),AS278,(IF((V277=AQ279),AS279,(IF((V275=AQ280),AS280)))))))))))))</f>
        <v>16</v>
      </c>
      <c r="AB277" s="165">
        <f>IF((V277=AQ274),AT274,(IF((V277=AQ275),AT275,(IF((V277=AQ276),AT276,(IF((V277=AQ277),AT277,(IF((V277=AQ278),AT278,(IF((V277=AQ279),AT279,(IF((V275=AQ280),AT280)))))))))))))</f>
        <v>75</v>
      </c>
      <c r="AC277" s="169">
        <v>48</v>
      </c>
      <c r="AD277" s="170">
        <v>74</v>
      </c>
      <c r="AE277" s="931">
        <f>AE275</f>
        <v>3</v>
      </c>
      <c r="AF277" s="932">
        <f t="shared" ref="AF277" si="106">IF(AF278&lt;(AE277*100), INT(AF278),INT(AE277*100))</f>
        <v>6</v>
      </c>
      <c r="AG277" s="932">
        <f>IF(AG278&lt;(Z278), INT(AG278),(Z278))</f>
        <v>1</v>
      </c>
      <c r="AH277" s="933">
        <v>2.5</v>
      </c>
      <c r="AI277" s="934">
        <f>IF(U277="NÃO",0,INT(AI278))</f>
        <v>0</v>
      </c>
      <c r="AJ277" s="935">
        <f>IF(U277="NÃO",0,(AI278-AI277)*(AF277*AG277))</f>
        <v>0</v>
      </c>
      <c r="AK277" s="171">
        <f>IF(U277="NÃO",0,AL277/Z278)</f>
        <v>0</v>
      </c>
      <c r="AL277" s="168">
        <f>IF(U277="NÃO",0,IF((Z278/(AN277))&gt;1,((Z278/(AN277))*(2*AH277/100)+(((AC277/Z277)*Z278/100)/AG277))*V278,(((AC277/Z277)*Z278/100)/AG277))*V278)</f>
        <v>0</v>
      </c>
      <c r="AM277" s="494">
        <f>IF(U277="NÃO",0,AL277*AA277*V278)</f>
        <v>0</v>
      </c>
      <c r="AN277" s="390">
        <f>IF(U277="NÃO",0,AF277*AG277)</f>
        <v>0</v>
      </c>
      <c r="AO277" s="34"/>
      <c r="AP277">
        <v>4</v>
      </c>
      <c r="AQ277" s="326" t="str">
        <f>'NOME + Nº'!B25</f>
        <v>Couro</v>
      </c>
      <c r="AR277" s="326" t="str">
        <f>'NOME + Nº'!D38</f>
        <v>Couro Legítimo Fly</v>
      </c>
      <c r="AS277" s="484">
        <f>'NOME + Nº'!H38</f>
        <v>74.900000000000006</v>
      </c>
      <c r="AT277" s="492">
        <f>'NOME + Nº'!J38</f>
        <v>100</v>
      </c>
      <c r="AU277" s="921">
        <f>IF('NOME + Nº'!D25="SIM",SUM(AW277:BB277),0)</f>
        <v>0</v>
      </c>
      <c r="AV277" s="919">
        <f t="shared" si="105"/>
        <v>0</v>
      </c>
      <c r="AW277" s="487">
        <f>IF((V275=AQ277), AL275, 0)</f>
        <v>0</v>
      </c>
      <c r="AX277" s="487">
        <f>IF((V277=AQ277), AL277, 0)</f>
        <v>0</v>
      </c>
      <c r="AY277" s="487">
        <f>IF((V279=AQ277), AL279, 0)</f>
        <v>0</v>
      </c>
      <c r="AZ277" s="487">
        <f>IF((V281=AQ277), AL281, 0)</f>
        <v>0</v>
      </c>
      <c r="BA277" s="487">
        <f>IF((V283=AQ277), AL283, 0)</f>
        <v>0</v>
      </c>
      <c r="BB277" s="488">
        <f>IF((V285=AQ277), AL285, 0)</f>
        <v>0</v>
      </c>
    </row>
    <row r="278" spans="20:54" ht="15" customHeight="1" x14ac:dyDescent="0.3">
      <c r="U278" s="179"/>
      <c r="V278" s="10" t="str">
        <f>IF(U277="SIM","1","0")</f>
        <v>0</v>
      </c>
      <c r="W278" s="138"/>
      <c r="X278" s="138"/>
      <c r="Y278" s="138"/>
      <c r="Z278" s="10">
        <f>Z276</f>
        <v>20</v>
      </c>
      <c r="AA278" s="22"/>
      <c r="AB278" s="22"/>
      <c r="AC278" s="138"/>
      <c r="AD278" s="138"/>
      <c r="AE278" s="929"/>
      <c r="AF278" s="9">
        <f>AE277/((AC277/Z277)/100)</f>
        <v>6.25</v>
      </c>
      <c r="AG278" s="9">
        <f>AB277/(AD277)</f>
        <v>1.0135135135135136</v>
      </c>
      <c r="AH278" s="138"/>
      <c r="AI278" s="936">
        <f>IF(U277="NÃO",0,(Z278/(AF277*AG277)))</f>
        <v>0</v>
      </c>
      <c r="AJ278" s="937"/>
      <c r="AK278" s="138"/>
      <c r="AL278" s="139"/>
      <c r="AM278" s="138"/>
      <c r="AN278" s="131">
        <f>IF(U277="NÃO",0,AN277*V278)</f>
        <v>0</v>
      </c>
      <c r="AO278" s="34"/>
      <c r="AP278">
        <v>5</v>
      </c>
      <c r="AQ278" s="482" t="str">
        <f>'NOME + Nº'!B26</f>
        <v>Tec. Vivo</v>
      </c>
      <c r="AR278" s="482" t="str">
        <f>'NOME + Nº'!D39</f>
        <v>Aquablock</v>
      </c>
      <c r="AS278" s="483">
        <f>'NOME + Nº'!H39</f>
        <v>49.9</v>
      </c>
      <c r="AT278" s="491">
        <f>'NOME + Nº'!J39</f>
        <v>140</v>
      </c>
      <c r="AU278" s="921">
        <f>IF('NOME + Nº'!D26="SIM",SUM(AW278:BB278),0)</f>
        <v>0</v>
      </c>
      <c r="AV278" s="919">
        <f t="shared" si="105"/>
        <v>0</v>
      </c>
      <c r="AW278" s="485">
        <f>IF((V275=AQ278), AL275, 0)</f>
        <v>0</v>
      </c>
      <c r="AX278" s="485">
        <f>IF((V277=AQ278), AL277, 0)</f>
        <v>0</v>
      </c>
      <c r="AY278" s="485">
        <f>IF((V279=AQ278), AL279, 0)</f>
        <v>0</v>
      </c>
      <c r="AZ278" s="485">
        <f>IF((V281=AQ278), AL281, 0)</f>
        <v>0</v>
      </c>
      <c r="BA278" s="485">
        <f>IF((V283=AQ278), AL283, 0)</f>
        <v>0</v>
      </c>
      <c r="BB278" s="489">
        <f>IF((V285=AQ278), AL285, 0)</f>
        <v>0</v>
      </c>
    </row>
    <row r="279" spans="20:54" ht="15" customHeight="1" x14ac:dyDescent="0.25">
      <c r="T279">
        <v>3</v>
      </c>
      <c r="U279" s="322" t="s">
        <v>189</v>
      </c>
      <c r="V279" s="1743" t="s">
        <v>202</v>
      </c>
      <c r="W279" s="1744"/>
      <c r="X279" s="1745" t="str">
        <f>IF((V279=AQ274),AR274,(IF((V279=AQ275),AR275,(IF((V279=AQ276),AR276,(IF((V279=AQ277),AR277,(IF((V279=AQ278),AR278,(IF((V279=AQ279),AR279(IF((V275=AQ280),AR280)))))))))))))</f>
        <v>Aquablock</v>
      </c>
      <c r="Y279" s="1746"/>
      <c r="Z279" s="581">
        <v>1</v>
      </c>
      <c r="AA279" s="164">
        <f>IF((V279=AQ274),AS274,(IF((V279=AQ275),AS275,(IF((V279=AQ276),AS276,(IF((V279=AQ277),AS277,(IF((V279=AQ278),AS278,(IF((V279=AQ279),AS279,(IF((V275=AQ280),AS280)))))))))))))</f>
        <v>49.9</v>
      </c>
      <c r="AB279" s="165">
        <f>IF((V279=AQ274),AT274,(IF((V279=AQ275),AT275,(IF((V279=AQ276),AT276,(IF((V279=AQ277),AT277,(IF((V279=AQ278),AT278,(IF((V279=AQ279),AT279,(IF((V275=AQ280),AT280)))))))))))))</f>
        <v>140</v>
      </c>
      <c r="AC279" s="169">
        <v>42</v>
      </c>
      <c r="AD279" s="170">
        <v>38.5</v>
      </c>
      <c r="AE279" s="931">
        <f>AE277</f>
        <v>3</v>
      </c>
      <c r="AF279" s="932">
        <f t="shared" ref="AF279" si="107">IF(AF280&lt;(AE279*100), INT(AF280),INT(AE279*100))</f>
        <v>7</v>
      </c>
      <c r="AG279" s="932">
        <f>IF(AG280&lt;(Z280), INT(AG280),(Z280))</f>
        <v>3</v>
      </c>
      <c r="AH279" s="933">
        <v>2.5</v>
      </c>
      <c r="AI279" s="934">
        <f>IF(U279="NÃO",0,INT(AI280))</f>
        <v>0</v>
      </c>
      <c r="AJ279" s="935">
        <f>IF(U279="NÃO",0,(AI280-AI279)*(AF279*AG279))</f>
        <v>0</v>
      </c>
      <c r="AK279" s="171">
        <f>IF(U279="NÃO",0,AL279/Z280)</f>
        <v>0</v>
      </c>
      <c r="AL279" s="168">
        <f>IF(U279="NÃO",0,IF((Z280/(AN279))&gt;1,((Z280/(AN279))*(2*AH279/100)+(((AC279/Z279)*Z280/100)/AG279))*V280,(((AC279/Z279)*Z280/100)/AG279))*V280)</f>
        <v>0</v>
      </c>
      <c r="AM279" s="494">
        <f>IF(U279="NÃO",0,AL279*AA279*V280)</f>
        <v>0</v>
      </c>
      <c r="AN279" s="390">
        <f>IF(U279="NÃO",0,AF279*AG279)</f>
        <v>0</v>
      </c>
      <c r="AO279" s="34"/>
      <c r="AP279">
        <v>6</v>
      </c>
      <c r="AQ279" s="326" t="str">
        <f>'NOME + Nº'!B27</f>
        <v>Estrutura</v>
      </c>
      <c r="AR279" s="326" t="str">
        <f>'NOME + Nº'!D40</f>
        <v>Placa Plástica</v>
      </c>
      <c r="AS279" s="484">
        <f>'NOME + Nº'!H40</f>
        <v>20.12</v>
      </c>
      <c r="AT279" s="492">
        <f>'NOME + Nº'!J40</f>
        <v>28</v>
      </c>
      <c r="AU279" s="921">
        <f>IF('NOME + Nº'!D27="SIM",SUM(AW279:BB279),0)</f>
        <v>0</v>
      </c>
      <c r="AV279" s="919">
        <f t="shared" si="105"/>
        <v>0</v>
      </c>
      <c r="AW279" s="487">
        <f>IF((V275=AQ279), AL275, 0)</f>
        <v>0</v>
      </c>
      <c r="AX279" s="487">
        <f>IF((V277=AQ279), AL277, 0)</f>
        <v>0</v>
      </c>
      <c r="AY279" s="487">
        <f>IF((V279=AQ279), AL279, 0)</f>
        <v>0</v>
      </c>
      <c r="AZ279" s="487">
        <f>IF((V281=AQ279), AL281, 0)</f>
        <v>0</v>
      </c>
      <c r="BA279" s="487">
        <f>IF((V283=AQ279), AL283, 0)</f>
        <v>0</v>
      </c>
      <c r="BB279" s="488">
        <f>IF((V285=AQ279), AL285, 0)</f>
        <v>0</v>
      </c>
    </row>
    <row r="280" spans="20:54" ht="15" customHeight="1" thickBot="1" x14ac:dyDescent="0.35">
      <c r="U280" s="179"/>
      <c r="V280" s="10" t="str">
        <f>IF(U279="SIM","1","0")</f>
        <v>0</v>
      </c>
      <c r="W280" s="138"/>
      <c r="X280" s="138"/>
      <c r="Y280" s="138"/>
      <c r="Z280" s="10">
        <f>Z276</f>
        <v>20</v>
      </c>
      <c r="AA280" s="22"/>
      <c r="AB280" s="22"/>
      <c r="AC280" s="138"/>
      <c r="AD280" s="138"/>
      <c r="AE280" s="929"/>
      <c r="AF280" s="9">
        <f>AE279/((AC279/Z279)/100)</f>
        <v>7.1428571428571432</v>
      </c>
      <c r="AG280" s="9">
        <f>AB279/(AD279)</f>
        <v>3.6363636363636362</v>
      </c>
      <c r="AH280" s="138"/>
      <c r="AI280" s="936">
        <f>IF(U279="NÃO",0,(Z280/(AF279*AG279)))</f>
        <v>0</v>
      </c>
      <c r="AJ280" s="937"/>
      <c r="AK280" s="138"/>
      <c r="AL280" s="139"/>
      <c r="AM280" s="138"/>
      <c r="AN280" s="131">
        <f>IF(U279="NÃO",0,AN279*V280)</f>
        <v>0</v>
      </c>
      <c r="AO280" s="34"/>
      <c r="AP280" s="946" t="s">
        <v>910</v>
      </c>
      <c r="AQ280" s="482" t="str">
        <f>'NOME + Nº'!B28</f>
        <v>Reforço</v>
      </c>
      <c r="AR280" s="482" t="str">
        <f>'NOME + Nº'!D41</f>
        <v>TNT 120</v>
      </c>
      <c r="AS280" s="483">
        <f>'NOME + Nº'!H41</f>
        <v>7.9</v>
      </c>
      <c r="AT280" s="491">
        <f>'NOME + Nº'!J41</f>
        <v>140</v>
      </c>
      <c r="AU280" s="922">
        <f>IF('NOME + Nº'!D28="SIM",SUM(AW280:BB280),0)</f>
        <v>0</v>
      </c>
      <c r="AV280" s="920">
        <f t="shared" ref="AV280" si="108">AU280*AS280</f>
        <v>0</v>
      </c>
      <c r="AW280" s="485">
        <f>IF((V275=AQ280), AL275, 0)</f>
        <v>0</v>
      </c>
      <c r="AX280" s="485">
        <f>IF((V277=AQ280), AL277, 0)</f>
        <v>0</v>
      </c>
      <c r="AY280" s="485">
        <f>IF((V279=AQ280), AL279, 0)</f>
        <v>0</v>
      </c>
      <c r="AZ280" s="485">
        <f>IF((V281=AQ280), AL281, 0)</f>
        <v>0</v>
      </c>
      <c r="BA280" s="485">
        <f>IF((V283=AQ280), AL283, 0)</f>
        <v>0</v>
      </c>
      <c r="BB280" s="486">
        <f>IF((V285=AQ280), AL285, 0)</f>
        <v>0</v>
      </c>
    </row>
    <row r="281" spans="20:54" ht="15" customHeight="1" thickBot="1" x14ac:dyDescent="0.3">
      <c r="T281">
        <v>4</v>
      </c>
      <c r="U281" s="322" t="s">
        <v>189</v>
      </c>
      <c r="V281" s="1743" t="s">
        <v>202</v>
      </c>
      <c r="W281" s="1744"/>
      <c r="X281" s="1745" t="str">
        <f>IF((V281=AQ274),AR274,(IF((V281=AQ275),AR275,(IF((V281=AQ276),AR276,(IF((V281=AQ277),AR277,(IF((V281=AQ278),AR278,(IF((V281=AQ279),AR279(IF((V275=AQ280),AR280)))))))))))))</f>
        <v>Aquablock</v>
      </c>
      <c r="Y281" s="1746"/>
      <c r="Z281" s="581">
        <v>1</v>
      </c>
      <c r="AA281" s="164">
        <f>IF((V281=AQ274),AS274,(IF((V281=AQ275),AS275,(IF((V281=AQ276),AS276,(IF((V281=AQ277),AS277,(IF((V281=AQ278),AS278,(IF((V281=AQ279),AS279,(IF((V275=AQ280),AS280)))))))))))))</f>
        <v>49.9</v>
      </c>
      <c r="AB281" s="165">
        <f>IF((V281=AQ274),AT274,(IF((V281=AQ275),AT275,(IF((V281=AQ276),AT276,(IF((V281=AQ277),AT277,(IF((V281=AQ278),AT278,(IF((V281=AQ279),AT279,(IF((V275=AQ280),AT280)))))))))))))</f>
        <v>140</v>
      </c>
      <c r="AC281" s="169">
        <f>56.9</f>
        <v>56.9</v>
      </c>
      <c r="AD281" s="170">
        <v>6.7</v>
      </c>
      <c r="AE281" s="931">
        <f>AE279</f>
        <v>3</v>
      </c>
      <c r="AF281" s="932">
        <f>IF(AF282&lt;(AE281*100), INT(AF282),INT(AE281*100))</f>
        <v>5</v>
      </c>
      <c r="AG281" s="932">
        <f>IF(AG282&lt;(Z282), INT(AG282),(Z282))</f>
        <v>20</v>
      </c>
      <c r="AH281" s="933">
        <v>2.5</v>
      </c>
      <c r="AI281" s="934">
        <f>IF(U281="NÃO",0,INT(AI282))</f>
        <v>0</v>
      </c>
      <c r="AJ281" s="935">
        <f>IF(U281="NÃO",0,(AI282-AI281)*(AF281*AG281))</f>
        <v>0</v>
      </c>
      <c r="AK281" s="171">
        <f>IF(U281="NÃO",0,AL281/Z282)</f>
        <v>0</v>
      </c>
      <c r="AL281" s="168">
        <f>IF(U281="NÃO",0,IF((Z282/(AN281))&gt;1,((Z282/(AN281))*(2*AH281/100)+(((AC281/Z281)*Z282/100)/AG281))*V282,(((AC281/Z281)*Z282/100)/AG281))*V282)</f>
        <v>0</v>
      </c>
      <c r="AM281" s="494">
        <f>IF(U281="NÃO",0,AL281*AA281*V282)</f>
        <v>0</v>
      </c>
      <c r="AN281" s="390">
        <f>IF(U281="NÃO",0,AF281*AG281)</f>
        <v>0</v>
      </c>
      <c r="AO281" s="34"/>
      <c r="AU281" s="34"/>
      <c r="AV281" s="141"/>
    </row>
    <row r="282" spans="20:54" ht="15" customHeight="1" thickBot="1" x14ac:dyDescent="0.35">
      <c r="U282" s="179"/>
      <c r="V282" s="10" t="str">
        <f>IF(U281="SIM","1","0")</f>
        <v>0</v>
      </c>
      <c r="W282" s="138"/>
      <c r="X282" s="138"/>
      <c r="Y282" s="138"/>
      <c r="Z282" s="10">
        <f>Z276</f>
        <v>20</v>
      </c>
      <c r="AA282" s="22"/>
      <c r="AB282" s="22"/>
      <c r="AC282" s="138"/>
      <c r="AD282" s="138"/>
      <c r="AE282" s="929"/>
      <c r="AF282" s="9">
        <f>AE281/((AC281/Z281)/100)</f>
        <v>5.272407732864675</v>
      </c>
      <c r="AG282" s="9">
        <f>AB281/(AD281)</f>
        <v>20.8955223880597</v>
      </c>
      <c r="AH282" s="138"/>
      <c r="AI282" s="936">
        <f>IF(U281="NÃO",0,(Z282/(AF281*AG281)))</f>
        <v>0</v>
      </c>
      <c r="AJ282" s="937"/>
      <c r="AK282" s="138"/>
      <c r="AL282" s="139"/>
      <c r="AM282" s="138"/>
      <c r="AN282" s="131">
        <f>IF(U281="NÃO",0,AN281*V282)</f>
        <v>0</v>
      </c>
      <c r="AO282" s="34"/>
      <c r="AS282" s="1727" t="s">
        <v>256</v>
      </c>
      <c r="AT282" s="1728"/>
      <c r="AU282" s="924">
        <f>SUM(AU274:AU280)</f>
        <v>0</v>
      </c>
      <c r="AV282" s="923">
        <f>SUM(AV274:AV280)</f>
        <v>0</v>
      </c>
    </row>
    <row r="283" spans="20:54" ht="15" customHeight="1" x14ac:dyDescent="0.25">
      <c r="T283">
        <v>5</v>
      </c>
      <c r="U283" s="322" t="s">
        <v>189</v>
      </c>
      <c r="V283" s="1743" t="s">
        <v>202</v>
      </c>
      <c r="W283" s="1744"/>
      <c r="X283" s="1745" t="str">
        <f>IF((V283=AQ274),AR274,(IF((V283=AQ275),AR275,(IF((V283=AQ276),AR276,(IF((V283=AQ277),AR277,(IF((V283=AQ278),AR278,(IF((V283=AQ279),AR279(IF((V275=AQ280),AR280)))))))))))))</f>
        <v>Aquablock</v>
      </c>
      <c r="Y283" s="1746"/>
      <c r="Z283" s="581">
        <v>1</v>
      </c>
      <c r="AA283" s="164">
        <f>IF((V283=AQ274),AS274,(IF((V283=AQ275),AS275,(IF((V283=AQ276),AS276,(IF((V283=AQ277),AS277,(IF((V283=AQ278),AS278,(IF((V283=AQ279),AS279,(IF((V275=AQ280),AS280)))))))))))))</f>
        <v>49.9</v>
      </c>
      <c r="AB283" s="165">
        <f>IF((V283=AQ274),AT274,(IF((V283=AQ275),AT275,(IF((V283=AQ276),AT276,(IF((V283=AQ277),AT277,(IF((V283=AQ278),AT278,(IF((V283=AQ279),AT279,(IF((V275=AQ280),AT280)))))))))))))</f>
        <v>140</v>
      </c>
      <c r="AC283" s="169">
        <v>6.7</v>
      </c>
      <c r="AD283" s="170">
        <v>30.5</v>
      </c>
      <c r="AE283" s="931">
        <f>AE281</f>
        <v>3</v>
      </c>
      <c r="AF283" s="932">
        <f t="shared" ref="AF283" si="109">IF(AF284&lt;(AE283*100), INT(AF284),INT(AE283*100))</f>
        <v>44</v>
      </c>
      <c r="AG283" s="932">
        <f>IF(AG284&lt;(Z284), INT(AG284),(Z284))</f>
        <v>4</v>
      </c>
      <c r="AH283" s="933">
        <v>2.5</v>
      </c>
      <c r="AI283" s="934">
        <f>IF(U283="NÃO",0,INT(AI284))</f>
        <v>0</v>
      </c>
      <c r="AJ283" s="935">
        <f>IF(U283="NÃO",0,(AI284-AI283)*(AF283*AG283))</f>
        <v>0</v>
      </c>
      <c r="AK283" s="171">
        <f>IF(U283="NÃO",0,AL283/Z284)</f>
        <v>0</v>
      </c>
      <c r="AL283" s="168">
        <f>IF(U283="NÃO",0,IF((Z284/(AN283))&gt;1,((Z284/(AN283))*(2*AH283/100)+(((AC283/Z283)*Z284/100)/AG283))*V284,(((AC283/Z283)*Z284/100)/AG283))*V284)</f>
        <v>0</v>
      </c>
      <c r="AM283" s="494">
        <f>IF(U283="NÃO",0,AL283*AA283*V284)</f>
        <v>0</v>
      </c>
      <c r="AN283" s="390">
        <f>IF(U283="NÃO",0,AF283*AG283)</f>
        <v>0</v>
      </c>
    </row>
    <row r="284" spans="20:54" ht="15" customHeight="1" x14ac:dyDescent="0.3">
      <c r="U284" s="179"/>
      <c r="V284" s="10" t="str">
        <f>IF(U283="SIM","1","0")</f>
        <v>0</v>
      </c>
      <c r="W284" s="138"/>
      <c r="X284" s="138"/>
      <c r="Y284" s="138"/>
      <c r="Z284" s="10">
        <f>Z276</f>
        <v>20</v>
      </c>
      <c r="AA284" s="22"/>
      <c r="AB284" s="22"/>
      <c r="AC284" s="138"/>
      <c r="AD284" s="138"/>
      <c r="AE284" s="929"/>
      <c r="AF284" s="9">
        <f>AE283/((AC283/Z283)/100)</f>
        <v>44.776119402985074</v>
      </c>
      <c r="AG284" s="9">
        <f>AB283/(AD283)</f>
        <v>4.5901639344262293</v>
      </c>
      <c r="AH284" s="138"/>
      <c r="AI284" s="936">
        <f>IF(U283="NÃO",0,(Z284/(AF283*AG283)))</f>
        <v>0</v>
      </c>
      <c r="AJ284" s="937"/>
      <c r="AK284" s="138"/>
      <c r="AL284" s="139"/>
      <c r="AM284" s="138"/>
      <c r="AN284" s="131">
        <f>IF(U283="NÃO",0,AN283*V284)</f>
        <v>0</v>
      </c>
    </row>
    <row r="285" spans="20:54" ht="15" customHeight="1" x14ac:dyDescent="0.25">
      <c r="T285">
        <v>6</v>
      </c>
      <c r="U285" s="322" t="s">
        <v>189</v>
      </c>
      <c r="V285" s="1747" t="s">
        <v>202</v>
      </c>
      <c r="W285" s="1748"/>
      <c r="X285" s="1745" t="str">
        <f>IF((V285=AQ274),AR274,(IF((V285=AQ275),AR275,(IF((V285=AQ276),AR276,(IF((V285=AQ277),AR277,(IF((V285=AQ278),AR278,(IF((V285=AQ279),AR279(IF((V275=AQ280),AR280)))))))))))))</f>
        <v>Aquablock</v>
      </c>
      <c r="Y285" s="1746"/>
      <c r="Z285" s="581">
        <v>1</v>
      </c>
      <c r="AA285" s="164">
        <f>IF((V285=AQ274),AS274,(IF((V285=AQ275),AS275,(IF((V285=AQ276),AS276,(IF((V285=AQ277),AS277,(IF((V285=AQ278),AS278,(IF((V285=AQ279),AS279,(IF((V275=AQ280),AS280)))))))))))))</f>
        <v>49.9</v>
      </c>
      <c r="AB285" s="165">
        <f>IF((V285=AQ274),AT274,(IF((V285=AQ275),AT275,(IF((V285=AQ276),AT276,(IF((V285=AQ277),AT277,(IF((V285=AQ278),AT278,(IF((V285=AQ279),AT279,(IF((V275=AQ280),AT280)))))))))))))</f>
        <v>140</v>
      </c>
      <c r="AC285" s="169">
        <v>25</v>
      </c>
      <c r="AD285" s="170">
        <v>6</v>
      </c>
      <c r="AE285" s="931">
        <f>AE283</f>
        <v>3</v>
      </c>
      <c r="AF285" s="932">
        <f t="shared" ref="AF285" si="110">IF(AF286&lt;(AE285*100), INT(AF286),INT(AE285*100))</f>
        <v>12</v>
      </c>
      <c r="AG285" s="932">
        <f>IF(AG286&lt;(Z286), INT(AG286),(Z286))</f>
        <v>20</v>
      </c>
      <c r="AH285" s="933">
        <v>2.5</v>
      </c>
      <c r="AI285" s="934">
        <f>IF(U285="NÃO",0,INT(AI286))</f>
        <v>0</v>
      </c>
      <c r="AJ285" s="935">
        <f>IF(U285="NÃO",0,(AI286-AI285)*(AF285*AG285))</f>
        <v>0</v>
      </c>
      <c r="AK285" s="171">
        <f>IF(U285="NÃO",0,AL285/Z286)</f>
        <v>0</v>
      </c>
      <c r="AL285" s="168">
        <f>IF(U285="NÃO",0,IF((Z286/(AN285))&gt;1,((Z286/(AN285))*(2*AH285/100)+(((AC285/Z285)*Z286/100)/AG285))*V286,(((AC285/Z285)*Z286/100)/AG285))*V286)</f>
        <v>0</v>
      </c>
      <c r="AM285" s="494">
        <f>IF(U285="NÃO",0,AL285*AA285*V286)</f>
        <v>0</v>
      </c>
      <c r="AN285" s="390">
        <f>IF(U285="NÃO",0,AF285*AG285)</f>
        <v>0</v>
      </c>
    </row>
    <row r="286" spans="20:54" ht="15" customHeight="1" thickBot="1" x14ac:dyDescent="0.35">
      <c r="U286" s="179"/>
      <c r="V286" s="15" t="str">
        <f>IF(U285="SIM","1","0")</f>
        <v>0</v>
      </c>
      <c r="W286" s="138"/>
      <c r="X286" s="138"/>
      <c r="Y286" s="138"/>
      <c r="Z286" s="10">
        <f>Z278</f>
        <v>20</v>
      </c>
      <c r="AA286" s="22"/>
      <c r="AB286" s="22"/>
      <c r="AC286" s="138"/>
      <c r="AD286" s="138"/>
      <c r="AE286" s="938"/>
      <c r="AF286" s="939">
        <f>AE285/((AC285/Z285)/100)</f>
        <v>12</v>
      </c>
      <c r="AG286" s="940">
        <f>AB285/(AD285)</f>
        <v>23.333333333333332</v>
      </c>
      <c r="AH286" s="941"/>
      <c r="AI286" s="942">
        <f>IF(U285="NÃO",0,(Z286/(AF285*AG285)))</f>
        <v>0</v>
      </c>
      <c r="AJ286" s="943"/>
      <c r="AK286" s="138"/>
      <c r="AL286" s="139"/>
      <c r="AM286" s="138"/>
      <c r="AN286" s="131">
        <f>IF(U285="NÃO",0,AN285*V286)</f>
        <v>0</v>
      </c>
    </row>
    <row r="287" spans="20:54" ht="15" customHeight="1" thickBot="1" x14ac:dyDescent="0.3">
      <c r="U287" s="138"/>
      <c r="V287" s="138"/>
      <c r="W287" s="138"/>
      <c r="X287" s="138"/>
      <c r="Y287" s="138"/>
      <c r="Z287" s="138"/>
      <c r="AA287" s="138"/>
      <c r="AB287" s="138"/>
      <c r="AC287" s="138"/>
      <c r="AD287" s="138"/>
      <c r="AE287" s="138"/>
      <c r="AF287" s="138"/>
      <c r="AG287" s="138"/>
      <c r="AH287" s="138"/>
      <c r="AI287" s="138"/>
      <c r="AJ287" s="138"/>
      <c r="AK287" s="138"/>
      <c r="AL287" s="138"/>
      <c r="AM287" s="138"/>
      <c r="AN287" s="138"/>
    </row>
    <row r="288" spans="20:54" ht="15" customHeight="1" thickBot="1" x14ac:dyDescent="0.3">
      <c r="Y288" s="138"/>
      <c r="Z288" s="138"/>
      <c r="AA288" s="138"/>
      <c r="AB288" s="138"/>
      <c r="AC288" s="138"/>
      <c r="AD288" s="138"/>
      <c r="AE288" s="138"/>
      <c r="AF288" s="138"/>
      <c r="AG288" s="138"/>
      <c r="AH288" s="138"/>
      <c r="AI288" s="138"/>
      <c r="AJ288" s="1727" t="s">
        <v>256</v>
      </c>
      <c r="AK288" s="1728"/>
      <c r="AL288" s="926" t="e">
        <f>SUM(AL275:AL286)</f>
        <v>#DIV/0!</v>
      </c>
      <c r="AM288" s="925" t="e">
        <f>SUM(AM275:AM286)</f>
        <v>#DIV/0!</v>
      </c>
      <c r="AN288" s="138"/>
    </row>
    <row r="289" spans="24:40" ht="15" customHeight="1" x14ac:dyDescent="0.25">
      <c r="Y289" s="1737" t="s">
        <v>752</v>
      </c>
      <c r="Z289" s="1738"/>
      <c r="AA289" s="1738"/>
      <c r="AB289" s="1738"/>
      <c r="AC289" s="1738"/>
      <c r="AD289" s="1738"/>
      <c r="AE289" s="1738"/>
      <c r="AF289" s="1738"/>
      <c r="AG289" s="1738"/>
      <c r="AH289" s="1739"/>
      <c r="AI289" s="138"/>
      <c r="AJ289" s="138"/>
      <c r="AK289" s="138"/>
      <c r="AL289" s="138"/>
      <c r="AM289" s="138"/>
      <c r="AN289" s="138"/>
    </row>
    <row r="290" spans="24:40" ht="15" customHeight="1" thickBot="1" x14ac:dyDescent="0.3">
      <c r="Y290" s="1740"/>
      <c r="Z290" s="1741"/>
      <c r="AA290" s="1741"/>
      <c r="AB290" s="1741"/>
      <c r="AC290" s="1741"/>
      <c r="AD290" s="1741"/>
      <c r="AE290" s="1741"/>
      <c r="AF290" s="1741"/>
      <c r="AG290" s="1741"/>
      <c r="AH290" s="1742"/>
    </row>
    <row r="291" spans="24:40" ht="15" customHeight="1" x14ac:dyDescent="0.25">
      <c r="Y291" s="1731" t="s">
        <v>751</v>
      </c>
      <c r="Z291" s="1732"/>
      <c r="AA291" s="1732"/>
      <c r="AB291" s="1732"/>
      <c r="AC291" s="1732"/>
      <c r="AD291" s="1732"/>
      <c r="AE291" s="1732"/>
      <c r="AF291" s="1732"/>
      <c r="AG291" s="1732"/>
      <c r="AH291" s="1733"/>
    </row>
    <row r="292" spans="24:40" ht="15" customHeight="1" x14ac:dyDescent="0.25">
      <c r="Y292" s="1734"/>
      <c r="Z292" s="1735"/>
      <c r="AA292" s="1735"/>
      <c r="AB292" s="1735"/>
      <c r="AC292" s="1735"/>
      <c r="AD292" s="1735"/>
      <c r="AE292" s="1735"/>
      <c r="AF292" s="1735"/>
      <c r="AG292" s="1735"/>
      <c r="AH292" s="1736"/>
    </row>
    <row r="293" spans="24:40" ht="15" customHeight="1" x14ac:dyDescent="0.25">
      <c r="Y293" s="1704" t="s">
        <v>281</v>
      </c>
      <c r="Z293" s="1705"/>
      <c r="AA293" s="1718" t="s">
        <v>384</v>
      </c>
      <c r="AB293" s="1719"/>
      <c r="AC293" s="1719"/>
      <c r="AD293" s="1719"/>
      <c r="AE293" s="1719"/>
      <c r="AF293" s="1720"/>
      <c r="AG293" s="583" t="s">
        <v>158</v>
      </c>
      <c r="AH293" s="582" t="s">
        <v>750</v>
      </c>
    </row>
    <row r="294" spans="24:40" ht="15" customHeight="1" x14ac:dyDescent="0.25">
      <c r="X294">
        <v>1</v>
      </c>
      <c r="Y294" s="1702" t="s">
        <v>202</v>
      </c>
      <c r="Z294" s="1703"/>
      <c r="AA294" s="1709" t="s">
        <v>753</v>
      </c>
      <c r="AB294" s="1710"/>
      <c r="AC294" s="1710"/>
      <c r="AD294" s="1710"/>
      <c r="AE294" s="1710"/>
      <c r="AF294" s="1711"/>
      <c r="AG294" s="1721" t="s">
        <v>438</v>
      </c>
      <c r="AH294" s="1706"/>
    </row>
    <row r="295" spans="24:40" ht="15" customHeight="1" x14ac:dyDescent="0.25">
      <c r="Z295" s="179"/>
      <c r="AA295" s="1712"/>
      <c r="AB295" s="1713"/>
      <c r="AC295" s="1713"/>
      <c r="AD295" s="1713"/>
      <c r="AE295" s="1713"/>
      <c r="AF295" s="1714"/>
      <c r="AG295" s="1722"/>
      <c r="AH295" s="1707"/>
    </row>
    <row r="296" spans="24:40" ht="15" customHeight="1" x14ac:dyDescent="0.25">
      <c r="AA296" s="1715"/>
      <c r="AB296" s="1716"/>
      <c r="AC296" s="1716"/>
      <c r="AD296" s="1716"/>
      <c r="AE296" s="1716"/>
      <c r="AF296" s="1717"/>
      <c r="AG296" s="1723"/>
      <c r="AH296" s="1708"/>
    </row>
    <row r="297" spans="24:40" ht="15" customHeight="1" x14ac:dyDescent="0.25">
      <c r="X297">
        <v>2</v>
      </c>
      <c r="Y297" s="1702" t="s">
        <v>202</v>
      </c>
      <c r="Z297" s="1703"/>
      <c r="AA297" s="1709"/>
      <c r="AB297" s="1710"/>
      <c r="AC297" s="1710"/>
      <c r="AD297" s="1710"/>
      <c r="AE297" s="1710"/>
      <c r="AF297" s="1711"/>
      <c r="AG297" s="1721"/>
      <c r="AH297" s="1706"/>
    </row>
    <row r="298" spans="24:40" ht="15" customHeight="1" x14ac:dyDescent="0.25">
      <c r="Z298" s="179"/>
      <c r="AA298" s="1712"/>
      <c r="AB298" s="1713"/>
      <c r="AC298" s="1713"/>
      <c r="AD298" s="1713"/>
      <c r="AE298" s="1713"/>
      <c r="AF298" s="1714"/>
      <c r="AG298" s="1722"/>
      <c r="AH298" s="1707"/>
    </row>
    <row r="299" spans="24:40" ht="15" customHeight="1" x14ac:dyDescent="0.25">
      <c r="AA299" s="1715"/>
      <c r="AB299" s="1716"/>
      <c r="AC299" s="1716"/>
      <c r="AD299" s="1716"/>
      <c r="AE299" s="1716"/>
      <c r="AF299" s="1717"/>
      <c r="AG299" s="1723"/>
      <c r="AH299" s="1708"/>
    </row>
    <row r="300" spans="24:40" ht="15" customHeight="1" x14ac:dyDescent="0.25">
      <c r="X300">
        <v>3</v>
      </c>
      <c r="Y300" s="1702" t="s">
        <v>202</v>
      </c>
      <c r="Z300" s="1703"/>
      <c r="AA300" s="1709"/>
      <c r="AB300" s="1710"/>
      <c r="AC300" s="1710"/>
      <c r="AD300" s="1710"/>
      <c r="AE300" s="1710"/>
      <c r="AF300" s="1711"/>
      <c r="AG300" s="1721"/>
      <c r="AH300" s="1706"/>
    </row>
    <row r="301" spans="24:40" ht="15" customHeight="1" x14ac:dyDescent="0.25">
      <c r="Z301" s="179"/>
      <c r="AA301" s="1712"/>
      <c r="AB301" s="1713"/>
      <c r="AC301" s="1713"/>
      <c r="AD301" s="1713"/>
      <c r="AE301" s="1713"/>
      <c r="AF301" s="1714"/>
      <c r="AG301" s="1722"/>
      <c r="AH301" s="1707"/>
    </row>
    <row r="302" spans="24:40" ht="15" customHeight="1" x14ac:dyDescent="0.25">
      <c r="AA302" s="1715"/>
      <c r="AB302" s="1716"/>
      <c r="AC302" s="1716"/>
      <c r="AD302" s="1716"/>
      <c r="AE302" s="1716"/>
      <c r="AF302" s="1717"/>
      <c r="AG302" s="1723"/>
      <c r="AH302" s="1708"/>
    </row>
    <row r="303" spans="24:40" ht="15" customHeight="1" x14ac:dyDescent="0.25">
      <c r="X303">
        <v>4</v>
      </c>
      <c r="Y303" s="1702" t="s">
        <v>202</v>
      </c>
      <c r="Z303" s="1703"/>
      <c r="AA303" s="1709"/>
      <c r="AB303" s="1710"/>
      <c r="AC303" s="1710"/>
      <c r="AD303" s="1710"/>
      <c r="AE303" s="1710"/>
      <c r="AF303" s="1711"/>
      <c r="AG303" s="1721"/>
      <c r="AH303" s="1706"/>
    </row>
    <row r="304" spans="24:40" ht="15" customHeight="1" x14ac:dyDescent="0.25">
      <c r="Z304" s="179"/>
      <c r="AA304" s="1712"/>
      <c r="AB304" s="1713"/>
      <c r="AC304" s="1713"/>
      <c r="AD304" s="1713"/>
      <c r="AE304" s="1713"/>
      <c r="AF304" s="1714"/>
      <c r="AG304" s="1722"/>
      <c r="AH304" s="1707"/>
    </row>
    <row r="305" spans="24:34" ht="15" customHeight="1" x14ac:dyDescent="0.25">
      <c r="AA305" s="1715"/>
      <c r="AB305" s="1716"/>
      <c r="AC305" s="1716"/>
      <c r="AD305" s="1716"/>
      <c r="AE305" s="1716"/>
      <c r="AF305" s="1717"/>
      <c r="AG305" s="1723"/>
      <c r="AH305" s="1708"/>
    </row>
    <row r="306" spans="24:34" ht="15" customHeight="1" x14ac:dyDescent="0.25">
      <c r="X306">
        <v>5</v>
      </c>
      <c r="Y306" s="1702" t="s">
        <v>202</v>
      </c>
      <c r="Z306" s="1703"/>
      <c r="AA306" s="1709"/>
      <c r="AB306" s="1710"/>
      <c r="AC306" s="1710"/>
      <c r="AD306" s="1710"/>
      <c r="AE306" s="1710"/>
      <c r="AF306" s="1711"/>
      <c r="AG306" s="1721"/>
      <c r="AH306" s="1706"/>
    </row>
    <row r="307" spans="24:34" ht="15" customHeight="1" x14ac:dyDescent="0.25">
      <c r="Z307" s="179"/>
      <c r="AA307" s="1712"/>
      <c r="AB307" s="1713"/>
      <c r="AC307" s="1713"/>
      <c r="AD307" s="1713"/>
      <c r="AE307" s="1713"/>
      <c r="AF307" s="1714"/>
      <c r="AG307" s="1722"/>
      <c r="AH307" s="1707"/>
    </row>
    <row r="308" spans="24:34" ht="15" customHeight="1" x14ac:dyDescent="0.25">
      <c r="AA308" s="1715"/>
      <c r="AB308" s="1716"/>
      <c r="AC308" s="1716"/>
      <c r="AD308" s="1716"/>
      <c r="AE308" s="1716"/>
      <c r="AF308" s="1717"/>
      <c r="AG308" s="1723"/>
      <c r="AH308" s="1708"/>
    </row>
    <row r="309" spans="24:34" ht="15" customHeight="1" x14ac:dyDescent="0.25">
      <c r="X309">
        <v>6</v>
      </c>
      <c r="Y309" s="1702" t="s">
        <v>202</v>
      </c>
      <c r="Z309" s="1703"/>
      <c r="AA309" s="1709"/>
      <c r="AB309" s="1710"/>
      <c r="AC309" s="1710"/>
      <c r="AD309" s="1710"/>
      <c r="AE309" s="1710"/>
      <c r="AF309" s="1711"/>
      <c r="AG309" s="1721"/>
      <c r="AH309" s="1706"/>
    </row>
    <row r="310" spans="24:34" ht="15" customHeight="1" x14ac:dyDescent="0.25">
      <c r="Z310" s="179"/>
      <c r="AA310" s="1712"/>
      <c r="AB310" s="1713"/>
      <c r="AC310" s="1713"/>
      <c r="AD310" s="1713"/>
      <c r="AE310" s="1713"/>
      <c r="AF310" s="1714"/>
      <c r="AG310" s="1722"/>
      <c r="AH310" s="1707"/>
    </row>
    <row r="311" spans="24:34" ht="15" customHeight="1" x14ac:dyDescent="0.25">
      <c r="AA311" s="1715"/>
      <c r="AB311" s="1716"/>
      <c r="AC311" s="1716"/>
      <c r="AD311" s="1716"/>
      <c r="AE311" s="1716"/>
      <c r="AF311" s="1717"/>
      <c r="AG311" s="1723"/>
      <c r="AH311" s="1708"/>
    </row>
    <row r="312" spans="24:34" ht="15" customHeight="1" x14ac:dyDescent="0.25">
      <c r="AA312" s="1425"/>
      <c r="AB312" s="1426"/>
      <c r="AC312" s="1426"/>
      <c r="AD312" s="1426"/>
      <c r="AE312" s="1426"/>
      <c r="AF312" s="1426"/>
      <c r="AG312" s="1426"/>
      <c r="AH312" s="1427"/>
    </row>
  </sheetData>
  <sheetProtection algorithmName="SHA-512" hashValue="5H6bYnaPd6EbAWXj3VR/PkOH1gTiwt/t/7G6n2vsZscSW5w/eoHjc0kpujtSeA5ilqJWjinQJBQaFPXFTFPCtg==" saltValue="TkP1NweBZ8aSFwOIqD4wMg==" spinCount="100000" sheet="1" selectLockedCells="1"/>
  <mergeCells count="453">
    <mergeCell ref="W235:X235"/>
    <mergeCell ref="W237:X237"/>
    <mergeCell ref="W242:X242"/>
    <mergeCell ref="W212:X212"/>
    <mergeCell ref="W215:X215"/>
    <mergeCell ref="W228:X228"/>
    <mergeCell ref="W239:X239"/>
    <mergeCell ref="W188:X188"/>
    <mergeCell ref="W190:X190"/>
    <mergeCell ref="W192:X192"/>
    <mergeCell ref="W194:X194"/>
    <mergeCell ref="W197:X197"/>
    <mergeCell ref="W199:X199"/>
    <mergeCell ref="W201:X201"/>
    <mergeCell ref="W230:X230"/>
    <mergeCell ref="W233:X233"/>
    <mergeCell ref="W208:X208"/>
    <mergeCell ref="W203:X203"/>
    <mergeCell ref="Y208:Z208"/>
    <mergeCell ref="W210:X210"/>
    <mergeCell ref="Y210:Z210"/>
    <mergeCell ref="W221:X221"/>
    <mergeCell ref="W224:X224"/>
    <mergeCell ref="Y224:Z224"/>
    <mergeCell ref="W226:X226"/>
    <mergeCell ref="Y226:Z226"/>
    <mergeCell ref="AG15:AG16"/>
    <mergeCell ref="Y136:Z136"/>
    <mergeCell ref="W217:X217"/>
    <mergeCell ref="Y217:Z217"/>
    <mergeCell ref="W219:X219"/>
    <mergeCell ref="Y219:Z219"/>
    <mergeCell ref="Y183:Z183"/>
    <mergeCell ref="Y77:Z77"/>
    <mergeCell ref="W86:X86"/>
    <mergeCell ref="Y86:Z86"/>
    <mergeCell ref="W91:X91"/>
    <mergeCell ref="Y113:Z113"/>
    <mergeCell ref="W122:X122"/>
    <mergeCell ref="Y122:Z122"/>
    <mergeCell ref="W125:X125"/>
    <mergeCell ref="Y201:Z201"/>
    <mergeCell ref="AO17:DL17"/>
    <mergeCell ref="DJ18:DM18"/>
    <mergeCell ref="W82:X82"/>
    <mergeCell ref="Y82:Z82"/>
    <mergeCell ref="W84:X84"/>
    <mergeCell ref="Y84:Z84"/>
    <mergeCell ref="W89:X89"/>
    <mergeCell ref="Y89:Z89"/>
    <mergeCell ref="W44:X44"/>
    <mergeCell ref="W66:X66"/>
    <mergeCell ref="W64:X64"/>
    <mergeCell ref="W62:X62"/>
    <mergeCell ref="BF18:BI18"/>
    <mergeCell ref="BJ18:BM18"/>
    <mergeCell ref="BN18:BQ18"/>
    <mergeCell ref="BR18:BU18"/>
    <mergeCell ref="BV18:BY18"/>
    <mergeCell ref="BZ18:CC18"/>
    <mergeCell ref="W53:X53"/>
    <mergeCell ref="W57:X57"/>
    <mergeCell ref="W55:X55"/>
    <mergeCell ref="W68:X68"/>
    <mergeCell ref="Y68:Z68"/>
    <mergeCell ref="W77:X77"/>
    <mergeCell ref="AO15:EW15"/>
    <mergeCell ref="AJ18:AM18"/>
    <mergeCell ref="AE15:AF15"/>
    <mergeCell ref="W71:X71"/>
    <mergeCell ref="AX18:BA18"/>
    <mergeCell ref="B2:F2"/>
    <mergeCell ref="B3:E3"/>
    <mergeCell ref="B4:E5"/>
    <mergeCell ref="F4:F5"/>
    <mergeCell ref="B6:E6"/>
    <mergeCell ref="B7:E7"/>
    <mergeCell ref="R4:S4"/>
    <mergeCell ref="B16:F16"/>
    <mergeCell ref="B8:E8"/>
    <mergeCell ref="H4:Q4"/>
    <mergeCell ref="H8:I8"/>
    <mergeCell ref="H7:I7"/>
    <mergeCell ref="H6:I6"/>
    <mergeCell ref="H5:I5"/>
    <mergeCell ref="J6:K6"/>
    <mergeCell ref="L6:N6"/>
    <mergeCell ref="O6:Q6"/>
    <mergeCell ref="J7:K7"/>
    <mergeCell ref="L7:N7"/>
    <mergeCell ref="O7:Q7"/>
    <mergeCell ref="J5:K5"/>
    <mergeCell ref="L5:Q5"/>
    <mergeCell ref="J8:K8"/>
    <mergeCell ref="L8:N8"/>
    <mergeCell ref="B22:F27"/>
    <mergeCell ref="B29:F29"/>
    <mergeCell ref="C30:F30"/>
    <mergeCell ref="C32:F32"/>
    <mergeCell ref="O8:Q8"/>
    <mergeCell ref="I13:P13"/>
    <mergeCell ref="I11:P11"/>
    <mergeCell ref="C33:F33"/>
    <mergeCell ref="C34:F34"/>
    <mergeCell ref="B9:E9"/>
    <mergeCell ref="B10:E10"/>
    <mergeCell ref="B11:E12"/>
    <mergeCell ref="F11:F12"/>
    <mergeCell ref="B13:E14"/>
    <mergeCell ref="F13:F14"/>
    <mergeCell ref="C31:F31"/>
    <mergeCell ref="B17:E18"/>
    <mergeCell ref="B19:F21"/>
    <mergeCell ref="C35:F35"/>
    <mergeCell ref="C36:F36"/>
    <mergeCell ref="C40:F40"/>
    <mergeCell ref="C41:F41"/>
    <mergeCell ref="C42:F42"/>
    <mergeCell ref="C57:F57"/>
    <mergeCell ref="C37:F37"/>
    <mergeCell ref="C38:F38"/>
    <mergeCell ref="C58:F58"/>
    <mergeCell ref="C55:F55"/>
    <mergeCell ref="C56:F56"/>
    <mergeCell ref="C39:F39"/>
    <mergeCell ref="C43:F43"/>
    <mergeCell ref="C44:F44"/>
    <mergeCell ref="C45:F45"/>
    <mergeCell ref="C46:F46"/>
    <mergeCell ref="C47:F47"/>
    <mergeCell ref="C48:F48"/>
    <mergeCell ref="AW272:BB272"/>
    <mergeCell ref="AQ270:BB270"/>
    <mergeCell ref="AU272:AU273"/>
    <mergeCell ref="AV272:AV273"/>
    <mergeCell ref="AN273:AN274"/>
    <mergeCell ref="AS282:AT282"/>
    <mergeCell ref="AQ272:AT272"/>
    <mergeCell ref="C60:F60"/>
    <mergeCell ref="C49:F49"/>
    <mergeCell ref="C50:F50"/>
    <mergeCell ref="C51:F51"/>
    <mergeCell ref="C52:F52"/>
    <mergeCell ref="C53:F53"/>
    <mergeCell ref="C54:F54"/>
    <mergeCell ref="C59:F59"/>
    <mergeCell ref="W270:W271"/>
    <mergeCell ref="W163:X163"/>
    <mergeCell ref="Y163:Z163"/>
    <mergeCell ref="W165:X165"/>
    <mergeCell ref="Y165:Z165"/>
    <mergeCell ref="T161:T169"/>
    <mergeCell ref="T152:T160"/>
    <mergeCell ref="T143:T151"/>
    <mergeCell ref="T134:T142"/>
    <mergeCell ref="K48:M48"/>
    <mergeCell ref="W263:X263"/>
    <mergeCell ref="Y263:Z263"/>
    <mergeCell ref="W116:X116"/>
    <mergeCell ref="Y116:Z116"/>
    <mergeCell ref="W118:X118"/>
    <mergeCell ref="Y118:Z118"/>
    <mergeCell ref="W120:X120"/>
    <mergeCell ref="Y120:Z120"/>
    <mergeCell ref="T251:T262"/>
    <mergeCell ref="W75:X75"/>
    <mergeCell ref="Y75:Z75"/>
    <mergeCell ref="W80:X80"/>
    <mergeCell ref="Y80:Z80"/>
    <mergeCell ref="Y228:Z228"/>
    <mergeCell ref="W185:X185"/>
    <mergeCell ref="Y185:Z185"/>
    <mergeCell ref="W149:X149"/>
    <mergeCell ref="Y149:Z149"/>
    <mergeCell ref="W152:X152"/>
    <mergeCell ref="Y152:Z152"/>
    <mergeCell ref="W154:X154"/>
    <mergeCell ref="W161:X161"/>
    <mergeCell ref="Y161:Z161"/>
    <mergeCell ref="Y203:Z203"/>
    <mergeCell ref="W206:X206"/>
    <mergeCell ref="Y134:Z134"/>
    <mergeCell ref="Y32:Z32"/>
    <mergeCell ref="Y41:Z41"/>
    <mergeCell ref="W50:X50"/>
    <mergeCell ref="Y50:Z50"/>
    <mergeCell ref="W59:X59"/>
    <mergeCell ref="Y35:Z35"/>
    <mergeCell ref="Y125:Z125"/>
    <mergeCell ref="W127:X127"/>
    <mergeCell ref="Y127:Z127"/>
    <mergeCell ref="W46:X46"/>
    <mergeCell ref="Y91:Z91"/>
    <mergeCell ref="W111:X111"/>
    <mergeCell ref="Y98:Z98"/>
    <mergeCell ref="W98:X98"/>
    <mergeCell ref="Y59:Z59"/>
    <mergeCell ref="Y102:Z102"/>
    <mergeCell ref="W93:X93"/>
    <mergeCell ref="Y93:Z93"/>
    <mergeCell ref="W35:X35"/>
    <mergeCell ref="Y111:Z111"/>
    <mergeCell ref="W147:X147"/>
    <mergeCell ref="T125:T133"/>
    <mergeCell ref="T116:T124"/>
    <mergeCell ref="T107:T115"/>
    <mergeCell ref="T17:T25"/>
    <mergeCell ref="W10:AD10"/>
    <mergeCell ref="W129:X129"/>
    <mergeCell ref="Y129:Z129"/>
    <mergeCell ref="W95:X95"/>
    <mergeCell ref="Y95:Z95"/>
    <mergeCell ref="W104:X104"/>
    <mergeCell ref="Y104:Z104"/>
    <mergeCell ref="Y131:Z131"/>
    <mergeCell ref="Y28:Z28"/>
    <mergeCell ref="Y26:Z26"/>
    <mergeCell ref="T98:T106"/>
    <mergeCell ref="T89:T97"/>
    <mergeCell ref="T80:T88"/>
    <mergeCell ref="T71:T79"/>
    <mergeCell ref="T62:T70"/>
    <mergeCell ref="T53:T61"/>
    <mergeCell ref="T44:T52"/>
    <mergeCell ref="T35:T43"/>
    <mergeCell ref="T26:T34"/>
    <mergeCell ref="AC15:AC16"/>
    <mergeCell ref="N38:O38"/>
    <mergeCell ref="I32:P32"/>
    <mergeCell ref="I18:I19"/>
    <mergeCell ref="I37:I38"/>
    <mergeCell ref="I33:I34"/>
    <mergeCell ref="J33:O33"/>
    <mergeCell ref="J34:O34"/>
    <mergeCell ref="J38:M38"/>
    <mergeCell ref="J14:O14"/>
    <mergeCell ref="J15:O15"/>
    <mergeCell ref="I14:I15"/>
    <mergeCell ref="J19:M19"/>
    <mergeCell ref="N19:O19"/>
    <mergeCell ref="K29:M29"/>
    <mergeCell ref="AA309:AF311"/>
    <mergeCell ref="Z272:Z274"/>
    <mergeCell ref="AK272:AM272"/>
    <mergeCell ref="AG309:AG311"/>
    <mergeCell ref="AH309:AH311"/>
    <mergeCell ref="AL273:AL274"/>
    <mergeCell ref="AJ288:AK288"/>
    <mergeCell ref="U270:U271"/>
    <mergeCell ref="V270:V271"/>
    <mergeCell ref="Y291:AH292"/>
    <mergeCell ref="Y289:AH290"/>
    <mergeCell ref="V283:W283"/>
    <mergeCell ref="V281:W281"/>
    <mergeCell ref="X285:Y285"/>
    <mergeCell ref="V285:W285"/>
    <mergeCell ref="X283:Y283"/>
    <mergeCell ref="X281:Y281"/>
    <mergeCell ref="V279:W279"/>
    <mergeCell ref="V277:W277"/>
    <mergeCell ref="V275:W275"/>
    <mergeCell ref="X279:Y279"/>
    <mergeCell ref="X277:Y277"/>
    <mergeCell ref="X275:Y275"/>
    <mergeCell ref="U274:Y274"/>
    <mergeCell ref="AA312:AH312"/>
    <mergeCell ref="Y294:Z294"/>
    <mergeCell ref="Y297:Z297"/>
    <mergeCell ref="Y300:Z300"/>
    <mergeCell ref="Y303:Z303"/>
    <mergeCell ref="Y306:Z306"/>
    <mergeCell ref="Y293:Z293"/>
    <mergeCell ref="Y309:Z309"/>
    <mergeCell ref="AH294:AH296"/>
    <mergeCell ref="AA300:AF302"/>
    <mergeCell ref="AA303:AF305"/>
    <mergeCell ref="AA293:AF293"/>
    <mergeCell ref="AG294:AG296"/>
    <mergeCell ref="AA294:AF296"/>
    <mergeCell ref="AA297:AF299"/>
    <mergeCell ref="AG297:AG299"/>
    <mergeCell ref="AH297:AH299"/>
    <mergeCell ref="AG300:AG302"/>
    <mergeCell ref="AH300:AH302"/>
    <mergeCell ref="AG303:AG305"/>
    <mergeCell ref="AH303:AH305"/>
    <mergeCell ref="AA306:AF308"/>
    <mergeCell ref="AG306:AG308"/>
    <mergeCell ref="AH306:AH308"/>
    <mergeCell ref="W113:X113"/>
    <mergeCell ref="W131:X131"/>
    <mergeCell ref="W170:X170"/>
    <mergeCell ref="W172:X172"/>
    <mergeCell ref="W174:X174"/>
    <mergeCell ref="W136:X136"/>
    <mergeCell ref="W167:X167"/>
    <mergeCell ref="W134:X134"/>
    <mergeCell ref="W21:X21"/>
    <mergeCell ref="W39:X39"/>
    <mergeCell ref="W26:X26"/>
    <mergeCell ref="Y23:Z23"/>
    <mergeCell ref="Y37:Z37"/>
    <mergeCell ref="W28:X28"/>
    <mergeCell ref="W48:X48"/>
    <mergeCell ref="W102:X102"/>
    <mergeCell ref="Y100:Z100"/>
    <mergeCell ref="W100:X100"/>
    <mergeCell ref="T242:T250"/>
    <mergeCell ref="T233:T241"/>
    <mergeCell ref="T224:T232"/>
    <mergeCell ref="T215:T223"/>
    <mergeCell ref="T206:T214"/>
    <mergeCell ref="T197:T205"/>
    <mergeCell ref="T188:T196"/>
    <mergeCell ref="T179:T187"/>
    <mergeCell ref="T170:T178"/>
    <mergeCell ref="W176:X176"/>
    <mergeCell ref="W156:X156"/>
    <mergeCell ref="W158:X158"/>
    <mergeCell ref="W138:X138"/>
    <mergeCell ref="W140:X140"/>
    <mergeCell ref="W143:X143"/>
    <mergeCell ref="W145:X145"/>
    <mergeCell ref="W30:X30"/>
    <mergeCell ref="Y30:Z30"/>
    <mergeCell ref="EP18:ES18"/>
    <mergeCell ref="AK28:AM28"/>
    <mergeCell ref="EU18:EU19"/>
    <mergeCell ref="EW18:EW19"/>
    <mergeCell ref="ES28:ET28"/>
    <mergeCell ref="CD18:CG18"/>
    <mergeCell ref="CH18:CK18"/>
    <mergeCell ref="CL18:CO18"/>
    <mergeCell ref="CP18:CS18"/>
    <mergeCell ref="CT18:CW18"/>
    <mergeCell ref="CX18:DA18"/>
    <mergeCell ref="DB18:DE18"/>
    <mergeCell ref="DF18:DI18"/>
    <mergeCell ref="DN18:DQ18"/>
    <mergeCell ref="DR18:DU18"/>
    <mergeCell ref="DV18:DY18"/>
    <mergeCell ref="DZ18:EC18"/>
    <mergeCell ref="ED18:EG18"/>
    <mergeCell ref="EH18:EK18"/>
    <mergeCell ref="EL18:EO18"/>
    <mergeCell ref="AP18:AS18"/>
    <mergeCell ref="AT18:AW18"/>
    <mergeCell ref="BB18:BE18"/>
    <mergeCell ref="AN18:AO18"/>
    <mergeCell ref="V12:V13"/>
    <mergeCell ref="U12:U13"/>
    <mergeCell ref="U11:AE11"/>
    <mergeCell ref="AA272:AB272"/>
    <mergeCell ref="W17:X17"/>
    <mergeCell ref="W251:X251"/>
    <mergeCell ref="W179:X179"/>
    <mergeCell ref="Y179:Z179"/>
    <mergeCell ref="W181:X181"/>
    <mergeCell ref="Y181:Z181"/>
    <mergeCell ref="W183:X183"/>
    <mergeCell ref="Y199:Z199"/>
    <mergeCell ref="W248:X248"/>
    <mergeCell ref="Y197:Z197"/>
    <mergeCell ref="Y194:Z194"/>
    <mergeCell ref="Y192:Z192"/>
    <mergeCell ref="Y190:Z190"/>
    <mergeCell ref="Y188:Z188"/>
    <mergeCell ref="Y246:Z246"/>
    <mergeCell ref="V16:X16"/>
    <mergeCell ref="Y19:Z19"/>
    <mergeCell ref="Y46:Z46"/>
    <mergeCell ref="Y44:Z44"/>
    <mergeCell ref="AB15:AB16"/>
    <mergeCell ref="Y109:Z109"/>
    <mergeCell ref="W109:X109"/>
    <mergeCell ref="Y107:Z107"/>
    <mergeCell ref="W107:X107"/>
    <mergeCell ref="Y73:Z73"/>
    <mergeCell ref="Y71:Z71"/>
    <mergeCell ref="Y66:Z66"/>
    <mergeCell ref="Y64:Z64"/>
    <mergeCell ref="Y62:Z62"/>
    <mergeCell ref="Y57:Z57"/>
    <mergeCell ref="Y55:Z55"/>
    <mergeCell ref="Y53:Z53"/>
    <mergeCell ref="Y48:Z48"/>
    <mergeCell ref="Y39:Z39"/>
    <mergeCell ref="Y21:Z21"/>
    <mergeCell ref="W41:X41"/>
    <mergeCell ref="W32:X32"/>
    <mergeCell ref="W23:X23"/>
    <mergeCell ref="Y16:Z16"/>
    <mergeCell ref="Y17:Z17"/>
    <mergeCell ref="W19:X19"/>
    <mergeCell ref="W37:X37"/>
    <mergeCell ref="W73:X73"/>
    <mergeCell ref="AM273:AM274"/>
    <mergeCell ref="AD273:AD274"/>
    <mergeCell ref="AC273:AC274"/>
    <mergeCell ref="AK273:AK274"/>
    <mergeCell ref="AF273:AF274"/>
    <mergeCell ref="AB273:AB274"/>
    <mergeCell ref="AA273:AA274"/>
    <mergeCell ref="AC272:AD272"/>
    <mergeCell ref="Y260:Z260"/>
    <mergeCell ref="U269:AK269"/>
    <mergeCell ref="W260:X260"/>
    <mergeCell ref="AJ273:AJ274"/>
    <mergeCell ref="AE272:AJ272"/>
    <mergeCell ref="AE273:AE274"/>
    <mergeCell ref="AG273:AG274"/>
    <mergeCell ref="AH273:AH274"/>
    <mergeCell ref="AI273:AI274"/>
    <mergeCell ref="Y215:Z215"/>
    <mergeCell ref="Y212:Z212"/>
    <mergeCell ref="Y242:Z242"/>
    <mergeCell ref="Y248:Z248"/>
    <mergeCell ref="Y138:Z138"/>
    <mergeCell ref="Y158:Z158"/>
    <mergeCell ref="Y156:Z156"/>
    <mergeCell ref="Y154:Z154"/>
    <mergeCell ref="Y176:Z176"/>
    <mergeCell ref="Y174:Z174"/>
    <mergeCell ref="Y172:Z172"/>
    <mergeCell ref="Y170:Z170"/>
    <mergeCell ref="Y167:Z167"/>
    <mergeCell ref="Y237:Z237"/>
    <mergeCell ref="Y235:Z235"/>
    <mergeCell ref="Y233:Z233"/>
    <mergeCell ref="Y230:Z230"/>
    <mergeCell ref="Y221:Z221"/>
    <mergeCell ref="Y147:Z147"/>
    <mergeCell ref="Y145:Z145"/>
    <mergeCell ref="Y143:Z143"/>
    <mergeCell ref="Y140:Z140"/>
    <mergeCell ref="Y206:Z206"/>
    <mergeCell ref="Y239:Z239"/>
    <mergeCell ref="W252:X252"/>
    <mergeCell ref="Y252:Z252"/>
    <mergeCell ref="W255:X255"/>
    <mergeCell ref="Y255:Z255"/>
    <mergeCell ref="W258:X258"/>
    <mergeCell ref="Y258:Z258"/>
    <mergeCell ref="W261:X261"/>
    <mergeCell ref="Y261:Z261"/>
    <mergeCell ref="Y244:Z244"/>
    <mergeCell ref="Y257:Z257"/>
    <mergeCell ref="W257:X257"/>
    <mergeCell ref="Y254:Z254"/>
    <mergeCell ref="W254:X254"/>
    <mergeCell ref="Y251:Z251"/>
    <mergeCell ref="W244:X244"/>
    <mergeCell ref="W246:X246"/>
  </mergeCells>
  <phoneticPr fontId="20" type="noConversion"/>
  <conditionalFormatting sqref="R6:R7">
    <cfRule type="colorScale" priority="105">
      <colorScale>
        <cfvo type="min"/>
        <cfvo type="max"/>
        <color rgb="FFFCFCFF"/>
        <color rgb="FFF8696B"/>
      </colorScale>
    </cfRule>
  </conditionalFormatting>
  <conditionalFormatting sqref="S6:S7">
    <cfRule type="colorScale" priority="104">
      <colorScale>
        <cfvo type="min"/>
        <cfvo type="max"/>
        <color rgb="FFFCFCFF"/>
        <color rgb="FFF8696B"/>
      </colorScale>
    </cfRule>
  </conditionalFormatting>
  <conditionalFormatting sqref="U263:AF263">
    <cfRule type="expression" dxfId="102" priority="87">
      <formula>$V$263="NÃO"</formula>
    </cfRule>
  </conditionalFormatting>
  <conditionalFormatting sqref="V275:AN275 V276 Z276 AF276:AG276 AI276 AN276 Y294:Z294 Y297:Z297 Y300:Z300 Y303:Z303 Y306:Z306 Y309:Z309">
    <cfRule type="expression" dxfId="101" priority="86">
      <formula>$U$275="NÃO"</formula>
    </cfRule>
  </conditionalFormatting>
  <conditionalFormatting sqref="V277:AN277 V278 Z278 AF278:AG278 AI278 AN278">
    <cfRule type="expression" dxfId="100" priority="85">
      <formula>$U$277="NÃO"</formula>
    </cfRule>
  </conditionalFormatting>
  <conditionalFormatting sqref="V279:AN279 V280 Z280 AF280:AG280 AI280 AN280">
    <cfRule type="expression" dxfId="99" priority="84">
      <formula>$U$279="NÃO"</formula>
    </cfRule>
  </conditionalFormatting>
  <conditionalFormatting sqref="V281:AN281 V282 Z282 AF282:AG282 AI282 AN282">
    <cfRule type="expression" dxfId="98" priority="83">
      <formula>$U$281="NÃO"</formula>
    </cfRule>
  </conditionalFormatting>
  <conditionalFormatting sqref="V283:AN283 V284 Z284 AF284:AG284 AI284 AN284">
    <cfRule type="expression" dxfId="97" priority="82">
      <formula>$U$283="NÃO"</formula>
    </cfRule>
  </conditionalFormatting>
  <conditionalFormatting sqref="V285:AN285 V286 Z286 AF286:AG286 AI286 AN286">
    <cfRule type="expression" dxfId="96" priority="81">
      <formula>$U$285="NÃO"</formula>
    </cfRule>
  </conditionalFormatting>
  <conditionalFormatting sqref="Y289 AA293:AA294 AG293:AH294 AA297 AG297:AH297 AA300 AG300:AH300 AA303 AG303:AH303 AA306 AG306:AH306 AA309 AG309:AH309">
    <cfRule type="expression" dxfId="95" priority="80">
      <formula>$G$40="NÃO"</formula>
    </cfRule>
  </conditionalFormatting>
  <conditionalFormatting sqref="Y293">
    <cfRule type="expression" dxfId="94" priority="79">
      <formula>$G$40="NÃO"</formula>
    </cfRule>
  </conditionalFormatting>
  <conditionalFormatting sqref="AA23">
    <cfRule type="containsErrors" dxfId="93" priority="74">
      <formula>ISERROR(AA23)</formula>
    </cfRule>
  </conditionalFormatting>
  <conditionalFormatting sqref="AA32">
    <cfRule type="containsErrors" dxfId="92" priority="47">
      <formula>ISERROR(AA32)</formula>
    </cfRule>
  </conditionalFormatting>
  <conditionalFormatting sqref="AA41">
    <cfRule type="containsErrors" dxfId="91" priority="46">
      <formula>ISERROR(AA41)</formula>
    </cfRule>
  </conditionalFormatting>
  <conditionalFormatting sqref="AA50">
    <cfRule type="containsErrors" dxfId="90" priority="45">
      <formula>ISERROR(AA50)</formula>
    </cfRule>
  </conditionalFormatting>
  <conditionalFormatting sqref="AA59">
    <cfRule type="containsErrors" dxfId="89" priority="44">
      <formula>ISERROR(AA59)</formula>
    </cfRule>
  </conditionalFormatting>
  <conditionalFormatting sqref="AA68">
    <cfRule type="containsErrors" dxfId="88" priority="43">
      <formula>ISERROR(AA68)</formula>
    </cfRule>
  </conditionalFormatting>
  <conditionalFormatting sqref="AA77">
    <cfRule type="containsErrors" dxfId="87" priority="42">
      <formula>ISERROR(AA77)</formula>
    </cfRule>
  </conditionalFormatting>
  <conditionalFormatting sqref="AA80:AA82 AA84">
    <cfRule type="containsErrors" dxfId="86" priority="41">
      <formula>ISERROR(AA80)</formula>
    </cfRule>
  </conditionalFormatting>
  <conditionalFormatting sqref="AA86">
    <cfRule type="containsErrors" dxfId="85" priority="40">
      <formula>ISERROR(AA86)</formula>
    </cfRule>
  </conditionalFormatting>
  <conditionalFormatting sqref="AA89:AA91 AA93">
    <cfRule type="containsErrors" dxfId="84" priority="39">
      <formula>ISERROR(AA89)</formula>
    </cfRule>
  </conditionalFormatting>
  <conditionalFormatting sqref="AA95">
    <cfRule type="containsErrors" dxfId="83" priority="38">
      <formula>ISERROR(AA95)</formula>
    </cfRule>
  </conditionalFormatting>
  <conditionalFormatting sqref="AA98:AA100 AA102">
    <cfRule type="containsErrors" dxfId="82" priority="37">
      <formula>ISERROR(AA98)</formula>
    </cfRule>
  </conditionalFormatting>
  <conditionalFormatting sqref="AA104">
    <cfRule type="containsErrors" dxfId="81" priority="36">
      <formula>ISERROR(AA104)</formula>
    </cfRule>
  </conditionalFormatting>
  <conditionalFormatting sqref="AA107:AA109 AA111">
    <cfRule type="containsErrors" dxfId="80" priority="35">
      <formula>ISERROR(AA107)</formula>
    </cfRule>
  </conditionalFormatting>
  <conditionalFormatting sqref="AA113">
    <cfRule type="containsErrors" dxfId="79" priority="34">
      <formula>ISERROR(AA113)</formula>
    </cfRule>
  </conditionalFormatting>
  <conditionalFormatting sqref="AA116:AA118 AA120">
    <cfRule type="containsErrors" dxfId="78" priority="33">
      <formula>ISERROR(AA116)</formula>
    </cfRule>
  </conditionalFormatting>
  <conditionalFormatting sqref="AA122">
    <cfRule type="containsErrors" dxfId="77" priority="32">
      <formula>ISERROR(AA122)</formula>
    </cfRule>
  </conditionalFormatting>
  <conditionalFormatting sqref="AA125:AA127 AA129">
    <cfRule type="containsErrors" dxfId="76" priority="31">
      <formula>ISERROR(AA125)</formula>
    </cfRule>
  </conditionalFormatting>
  <conditionalFormatting sqref="AA131">
    <cfRule type="containsErrors" dxfId="75" priority="30">
      <formula>ISERROR(AA131)</formula>
    </cfRule>
  </conditionalFormatting>
  <conditionalFormatting sqref="AA134:AA136 AA138">
    <cfRule type="containsErrors" dxfId="74" priority="29">
      <formula>ISERROR(AA134)</formula>
    </cfRule>
  </conditionalFormatting>
  <conditionalFormatting sqref="AA140">
    <cfRule type="containsErrors" dxfId="73" priority="28">
      <formula>ISERROR(AA140)</formula>
    </cfRule>
  </conditionalFormatting>
  <conditionalFormatting sqref="AA143:AA145 AA147">
    <cfRule type="containsErrors" dxfId="72" priority="27">
      <formula>ISERROR(AA143)</formula>
    </cfRule>
  </conditionalFormatting>
  <conditionalFormatting sqref="AA149">
    <cfRule type="containsErrors" dxfId="71" priority="26">
      <formula>ISERROR(AA149)</formula>
    </cfRule>
  </conditionalFormatting>
  <conditionalFormatting sqref="AA152:AA154 AA156">
    <cfRule type="containsErrors" dxfId="70" priority="25">
      <formula>ISERROR(AA152)</formula>
    </cfRule>
  </conditionalFormatting>
  <conditionalFormatting sqref="AA158">
    <cfRule type="containsErrors" dxfId="69" priority="24">
      <formula>ISERROR(AA158)</formula>
    </cfRule>
  </conditionalFormatting>
  <conditionalFormatting sqref="AA161:AA163 AA165">
    <cfRule type="containsErrors" dxfId="68" priority="23">
      <formula>ISERROR(AA161)</formula>
    </cfRule>
  </conditionalFormatting>
  <conditionalFormatting sqref="AA167">
    <cfRule type="containsErrors" dxfId="67" priority="22">
      <formula>ISERROR(AA167)</formula>
    </cfRule>
  </conditionalFormatting>
  <conditionalFormatting sqref="AA170:AA172 AA174">
    <cfRule type="containsErrors" dxfId="66" priority="21">
      <formula>ISERROR(AA170)</formula>
    </cfRule>
  </conditionalFormatting>
  <conditionalFormatting sqref="AA176">
    <cfRule type="containsErrors" dxfId="65" priority="20">
      <formula>ISERROR(AA176)</formula>
    </cfRule>
  </conditionalFormatting>
  <conditionalFormatting sqref="AA179:AA181 AA183">
    <cfRule type="containsErrors" dxfId="64" priority="19">
      <formula>ISERROR(AA179)</formula>
    </cfRule>
  </conditionalFormatting>
  <conditionalFormatting sqref="AA185">
    <cfRule type="containsErrors" dxfId="63" priority="18">
      <formula>ISERROR(AA185)</formula>
    </cfRule>
  </conditionalFormatting>
  <conditionalFormatting sqref="AA188:AA190 AA192">
    <cfRule type="containsErrors" dxfId="62" priority="17">
      <formula>ISERROR(AA188)</formula>
    </cfRule>
  </conditionalFormatting>
  <conditionalFormatting sqref="AA194">
    <cfRule type="containsErrors" dxfId="61" priority="16">
      <formula>ISERROR(AA194)</formula>
    </cfRule>
  </conditionalFormatting>
  <conditionalFormatting sqref="AA197:AA199 AA201">
    <cfRule type="containsErrors" dxfId="60" priority="15">
      <formula>ISERROR(AA197)</formula>
    </cfRule>
  </conditionalFormatting>
  <conditionalFormatting sqref="AA203">
    <cfRule type="containsErrors" dxfId="59" priority="14">
      <formula>ISERROR(AA203)</formula>
    </cfRule>
  </conditionalFormatting>
  <conditionalFormatting sqref="AA206:AA208 AA210">
    <cfRule type="containsErrors" dxfId="58" priority="13">
      <formula>ISERROR(AA206)</formula>
    </cfRule>
  </conditionalFormatting>
  <conditionalFormatting sqref="AA212">
    <cfRule type="containsErrors" dxfId="57" priority="12">
      <formula>ISERROR(AA212)</formula>
    </cfRule>
  </conditionalFormatting>
  <conditionalFormatting sqref="AA215:AA217 AA219">
    <cfRule type="containsErrors" dxfId="56" priority="11">
      <formula>ISERROR(AA215)</formula>
    </cfRule>
  </conditionalFormatting>
  <conditionalFormatting sqref="AA221">
    <cfRule type="containsErrors" dxfId="55" priority="10">
      <formula>ISERROR(AA221)</formula>
    </cfRule>
  </conditionalFormatting>
  <conditionalFormatting sqref="AA224:AA226 AA228">
    <cfRule type="containsErrors" dxfId="54" priority="9">
      <formula>ISERROR(AA224)</formula>
    </cfRule>
  </conditionalFormatting>
  <conditionalFormatting sqref="AA230">
    <cfRule type="containsErrors" dxfId="53" priority="8">
      <formula>ISERROR(AA230)</formula>
    </cfRule>
  </conditionalFormatting>
  <conditionalFormatting sqref="AA233:AA235 AA237">
    <cfRule type="containsErrors" dxfId="52" priority="7">
      <formula>ISERROR(AA233)</formula>
    </cfRule>
  </conditionalFormatting>
  <conditionalFormatting sqref="AA239">
    <cfRule type="containsErrors" dxfId="51" priority="6">
      <formula>ISERROR(AA239)</formula>
    </cfRule>
  </conditionalFormatting>
  <conditionalFormatting sqref="AA242:AA244 AA246">
    <cfRule type="containsErrors" dxfId="50" priority="5">
      <formula>ISERROR(AA242)</formula>
    </cfRule>
  </conditionalFormatting>
  <conditionalFormatting sqref="AA248">
    <cfRule type="containsErrors" dxfId="49" priority="4">
      <formula>ISERROR(AA248)</formula>
    </cfRule>
  </conditionalFormatting>
  <conditionalFormatting sqref="AA251:AA252">
    <cfRule type="containsErrors" dxfId="48" priority="89">
      <formula>ISERROR(AA251)</formula>
    </cfRule>
  </conditionalFormatting>
  <conditionalFormatting sqref="AA254 AA257 AA260 AA263:AA264 AA17:AA19 AA21 AA26:AA28 AA30 AA35:AA37 AA39 AA44:AA46 AA48 AA53:AA55 AA57 AA62:AA64 AA66 AA71:AA73 AA75">
    <cfRule type="containsErrors" dxfId="47" priority="106">
      <formula>ISERROR(AA17)</formula>
    </cfRule>
  </conditionalFormatting>
  <conditionalFormatting sqref="AA255">
    <cfRule type="containsErrors" dxfId="46" priority="3">
      <formula>ISERROR(AA255)</formula>
    </cfRule>
  </conditionalFormatting>
  <conditionalFormatting sqref="AA258">
    <cfRule type="containsErrors" dxfId="45" priority="2">
      <formula>ISERROR(AA258)</formula>
    </cfRule>
  </conditionalFormatting>
  <conditionalFormatting sqref="AA261">
    <cfRule type="containsErrors" dxfId="44" priority="1">
      <formula>ISERROR(AA261)</formula>
    </cfRule>
  </conditionalFormatting>
  <conditionalFormatting sqref="AA275:AB277 AA279:AB279 AA281:AB281 AA283:AB283 AA285:AB285">
    <cfRule type="containsErrors" dxfId="43" priority="122">
      <formula>ISERROR(AA275)</formula>
    </cfRule>
  </conditionalFormatting>
  <conditionalFormatting sqref="AD275">
    <cfRule type="cellIs" dxfId="42" priority="95" operator="greaterThan">
      <formula>#REF!</formula>
    </cfRule>
  </conditionalFormatting>
  <conditionalFormatting sqref="AD277">
    <cfRule type="cellIs" dxfId="41" priority="99" operator="greaterThan">
      <formula>#REF!</formula>
    </cfRule>
  </conditionalFormatting>
  <conditionalFormatting sqref="AD279">
    <cfRule type="cellIs" dxfId="40" priority="94" operator="greaterThan">
      <formula>#REF!</formula>
    </cfRule>
  </conditionalFormatting>
  <conditionalFormatting sqref="AD281">
    <cfRule type="cellIs" dxfId="39" priority="98" operator="greaterThan">
      <formula>#REF!</formula>
    </cfRule>
  </conditionalFormatting>
  <conditionalFormatting sqref="AD283">
    <cfRule type="cellIs" dxfId="38" priority="97" operator="greaterThan">
      <formula>#REF!</formula>
    </cfRule>
  </conditionalFormatting>
  <conditionalFormatting sqref="AD285">
    <cfRule type="cellIs" dxfId="37" priority="96" operator="greaterThan">
      <formula>#REF!</formula>
    </cfRule>
  </conditionalFormatting>
  <conditionalFormatting sqref="AK275:AM275 AK277:AM277 AK279:AM279 AK281:AM281 AK283:AM283 AK285:AM285">
    <cfRule type="containsErrors" dxfId="36" priority="123">
      <formula>ISERROR(AK275)</formula>
    </cfRule>
  </conditionalFormatting>
  <conditionalFormatting sqref="EW18:EW26 EP20:ES26 EW28">
    <cfRule type="expression" dxfId="35" priority="1170">
      <formula>$Y$39="NÃO"</formula>
    </cfRule>
  </conditionalFormatting>
  <dataValidations count="4">
    <dataValidation type="list" allowBlank="1" showInputMessage="1" showErrorMessage="1" sqref="V17 V62 V66 V53 V57 V55 V44 V48 V46 V35 V39 V37 V26 V30 V28 V233 V237 V235 V21 V19 V263 V260:V261 V257:V258 V254:V255 V251:V252 V64 V71 V75 V80 V84 V89 V73 V82 V93 V91 V98 V102 V107 V100 V111 V109 V215 V219 V217 V224 V228 V226 V239 V23 V32 V41 V50 V59 V68 V77 V86 V95 V104 V113 V116 V120 V118 V122 V125 V129 V127 V131 V134 V138 V136 V140 V143 V147 V145 V149 V152 V156 V154 V158 V161 V165 V163 V167 V170 V174 V172 V176 V179 V183 V181 V185 V188 V192 V190 V194 V197 V201 V199 V203 V206 V210 V208 V212 V221 V230 V242 V246 V244 V248" xr:uid="{518D27D8-C8F2-4934-A0F0-76C3001FCF18}">
      <formula1>$F$17:$F$18</formula1>
    </dataValidation>
    <dataValidation type="list" allowBlank="1" showInputMessage="1" showErrorMessage="1" prompt="SIM ou NÃO" sqref="U285 U283 U281 U279 U277 U275 F8" xr:uid="{A5275AEE-AB70-4742-90BE-46170747230A}">
      <formula1>$F$17:$F$18</formula1>
    </dataValidation>
    <dataValidation type="list" showInputMessage="1" showErrorMessage="1" sqref="Y294:Z294 Y309:Z309 Y306:Z306 Y303:Z303 Y300:Z300 Y297:Z297" xr:uid="{3C9690D3-0F7A-4271-BC23-C22AEDC82EF7}">
      <formula1>$AQ$274:$AQ$279</formula1>
    </dataValidation>
    <dataValidation type="list" allowBlank="1" showInputMessage="1" showErrorMessage="1" sqref="V275:W275 V277:W277 V279:W279 V281:W281 V283:W283 V285:W285" xr:uid="{D159734B-5E93-4DD2-883F-CD36C18DD8C1}">
      <formula1>$AQ$274:$AQ$281</formula1>
    </dataValidation>
  </dataValidations>
  <pageMargins left="0.511811024" right="0.511811024" top="0.78740157499999996" bottom="0.78740157499999996" header="0.31496062000000002" footer="0.31496062000000002"/>
  <pageSetup paperSize="9"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expression" priority="92" id="{C264BAF1-5DD9-456A-9002-C5FFD2FE7665}">
            <xm:f>'NOME + Nº'!$C$32="NÃO"</xm:f>
            <x14:dxf>
              <font>
                <b val="0"/>
                <i val="0"/>
                <strike/>
                <color theme="1" tint="0.24994659260841701"/>
              </font>
              <fill>
                <patternFill>
                  <bgColor theme="0" tint="-0.14996795556505021"/>
                </patternFill>
              </fill>
            </x14:dxf>
          </x14:cfRule>
          <xm:sqref>J21:O27 N29:O29</xm:sqref>
        </x14:conditionalFormatting>
        <x14:conditionalFormatting xmlns:xm="http://schemas.microsoft.com/office/excel/2006/main">
          <x14:cfRule type="expression" priority="93" id="{0568AAB1-F880-4C9F-9589-175DD6B5DB35}">
            <xm:f>'NOME + Nº'!$C$33="NÃO"</xm:f>
            <x14:dxf>
              <font>
                <b val="0"/>
                <i val="0"/>
                <strike/>
                <color theme="1" tint="0.24994659260841701"/>
              </font>
              <fill>
                <patternFill>
                  <bgColor theme="0" tint="-0.14996795556505021"/>
                </patternFill>
              </fill>
            </x14:dxf>
          </x14:cfRule>
          <xm:sqref>J40:O46 N48:O48</xm:sqref>
        </x14:conditionalFormatting>
        <x14:conditionalFormatting xmlns:xm="http://schemas.microsoft.com/office/excel/2006/main">
          <x14:cfRule type="expression" priority="88" id="{AFCCCC1F-D098-4BD3-811E-8C3A2E7CC5E9}">
            <xm:f>MODELAGEM!$Z$40="NÃO"</xm:f>
            <x14:dxf>
              <font>
                <b val="0"/>
                <i val="0"/>
                <strike/>
                <color theme="1" tint="0.24994659260841701"/>
              </font>
              <fill>
                <patternFill>
                  <bgColor theme="0" tint="-0.14996795556505021"/>
                </patternFill>
              </fill>
            </x14:dxf>
          </x14:cfRule>
          <xm:sqref>U251:AB262 AD251:AF262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F6FBC-B238-41A5-9B96-804BF456C54B}">
  <sheetPr>
    <pageSetUpPr fitToPage="1"/>
  </sheetPr>
  <dimension ref="E1:Y204"/>
  <sheetViews>
    <sheetView showGridLines="0" zoomScaleNormal="100" workbookViewId="0">
      <selection activeCell="E14" sqref="E14"/>
    </sheetView>
  </sheetViews>
  <sheetFormatPr defaultRowHeight="15" x14ac:dyDescent="0.25"/>
  <cols>
    <col min="6" max="10" width="9.42578125" customWidth="1"/>
    <col min="11" max="11" width="3.85546875" customWidth="1"/>
    <col min="12" max="16" width="9.42578125" customWidth="1"/>
    <col min="17" max="17" width="3.7109375" customWidth="1"/>
    <col min="18" max="22" width="9.42578125" customWidth="1"/>
  </cols>
  <sheetData>
    <row r="1" spans="5:22" ht="15.75" thickBot="1" x14ac:dyDescent="0.3">
      <c r="E1" s="1839" t="s">
        <v>715</v>
      </c>
      <c r="F1" s="1839"/>
      <c r="G1" s="1839"/>
      <c r="H1" s="1839"/>
      <c r="I1" s="1839"/>
      <c r="J1" s="1839"/>
      <c r="K1" s="1839"/>
      <c r="L1" s="1839"/>
      <c r="M1" s="1839"/>
      <c r="N1" s="1839"/>
      <c r="O1" s="1839"/>
      <c r="P1" s="1839"/>
      <c r="Q1" s="1839"/>
      <c r="R1" s="1839"/>
      <c r="S1" s="1839"/>
      <c r="T1" s="1839"/>
      <c r="U1" s="1839"/>
      <c r="V1" s="1839"/>
    </row>
    <row r="2" spans="5:22" ht="15.75" thickBot="1" x14ac:dyDescent="0.3">
      <c r="E2">
        <v>1</v>
      </c>
      <c r="F2" s="1833" t="str">
        <f>'Programação Individual'!B21</f>
        <v>VMORDEKAI</v>
      </c>
      <c r="G2" s="1834"/>
      <c r="H2" s="1834"/>
      <c r="I2" s="1834"/>
      <c r="J2" s="1835"/>
      <c r="K2">
        <f>E2+1</f>
        <v>2</v>
      </c>
      <c r="L2" s="1833" t="str">
        <f>F2</f>
        <v>VMORDEKAI</v>
      </c>
      <c r="M2" s="1834"/>
      <c r="N2" s="1834"/>
      <c r="O2" s="1834"/>
      <c r="P2" s="1835"/>
      <c r="Q2">
        <f>K2+1</f>
        <v>3</v>
      </c>
      <c r="R2" s="1833" t="str">
        <f>L2</f>
        <v>VMORDEKAI</v>
      </c>
      <c r="S2" s="1834"/>
      <c r="T2" s="1834"/>
      <c r="U2" s="1834"/>
      <c r="V2" s="1835"/>
    </row>
    <row r="3" spans="5:22" x14ac:dyDescent="0.25">
      <c r="E3" s="814">
        <f>MODELAGEM!U11</f>
        <v>1</v>
      </c>
      <c r="F3" s="1822" t="str">
        <f>MODELAGEM!J4</f>
        <v>REF. NOME + Nº - 15H x 10B x 5L (cm)</v>
      </c>
      <c r="G3" s="1823"/>
      <c r="H3" s="1823"/>
      <c r="I3" s="1823"/>
      <c r="J3" s="1824"/>
      <c r="K3" s="814">
        <f>MODELAGEM!U20</f>
        <v>0</v>
      </c>
      <c r="L3" s="1822" t="str">
        <f>F3</f>
        <v>REF. NOME + Nº - 15H x 10B x 5L (cm)</v>
      </c>
      <c r="M3" s="1823"/>
      <c r="N3" s="1823"/>
      <c r="O3" s="1823"/>
      <c r="P3" s="1824"/>
      <c r="Q3" s="814">
        <f>MODELAGEM!U29</f>
        <v>0</v>
      </c>
      <c r="R3" s="1822" t="str">
        <f>L3</f>
        <v>REF. NOME + Nº - 15H x 10B x 5L (cm)</v>
      </c>
      <c r="S3" s="1823"/>
      <c r="T3" s="1823"/>
      <c r="U3" s="1823"/>
      <c r="V3" s="1824"/>
    </row>
    <row r="4" spans="5:22" x14ac:dyDescent="0.25">
      <c r="F4" s="533" t="s">
        <v>700</v>
      </c>
      <c r="G4" s="1814" t="str">
        <f>MODELAGEM!H12</f>
        <v>CORPO</v>
      </c>
      <c r="H4" s="1814"/>
      <c r="I4" s="1814"/>
      <c r="J4" s="1815"/>
      <c r="L4" s="533" t="s">
        <v>700</v>
      </c>
      <c r="M4" s="1814" t="str">
        <f>MODELAGEM!H21</f>
        <v>NOME</v>
      </c>
      <c r="N4" s="1814"/>
      <c r="O4" s="1814"/>
      <c r="P4" s="1815"/>
      <c r="R4" s="533" t="s">
        <v>700</v>
      </c>
      <c r="S4" s="1814" t="str">
        <f>MODELAGEM!H30</f>
        <v>NOME</v>
      </c>
      <c r="T4" s="1814"/>
      <c r="U4" s="1814"/>
      <c r="V4" s="1815"/>
    </row>
    <row r="5" spans="5:22" x14ac:dyDescent="0.25">
      <c r="F5" s="531" t="s">
        <v>701</v>
      </c>
      <c r="G5" s="541">
        <f>IF(MODELAGEM!K11="NÃO","",IF(MODELAGEM!L11&gt;0,MODELAGEM!L11,""))</f>
        <v>1</v>
      </c>
      <c r="H5" s="542" t="str">
        <f>IF(MODELAGEM!K11="NÃO","","×")</f>
        <v>×</v>
      </c>
      <c r="I5" s="1818" t="str">
        <f>IF(MODELAGEM!K11="NÃO","",MODELAGEM!M11)</f>
        <v>Tec. Externo</v>
      </c>
      <c r="J5" s="1819"/>
      <c r="L5" s="531" t="s">
        <v>701</v>
      </c>
      <c r="M5" s="541" t="str">
        <f>IF(MODELAGEM!K20="NÃO","",IF(MODELAGEM!L20&gt;0,MODELAGEM!L20,""))</f>
        <v/>
      </c>
      <c r="N5" s="542" t="str">
        <f>IF(MODELAGEM!K20="NÃO","","×")</f>
        <v/>
      </c>
      <c r="O5" s="1818" t="str">
        <f>IF(MODELAGEM!K20="NÃO","",MODELAGEM!M20)</f>
        <v/>
      </c>
      <c r="P5" s="1819"/>
      <c r="R5" s="531" t="s">
        <v>701</v>
      </c>
      <c r="S5" s="541" t="str">
        <f>IF(MODELAGEM!K29="NÃO","",IF(MODELAGEM!L29&gt;0,MODELAGEM!L29,""))</f>
        <v/>
      </c>
      <c r="T5" s="542" t="str">
        <f>IF(MODELAGEM!K29="NÃO","","×")</f>
        <v/>
      </c>
      <c r="U5" s="1818" t="str">
        <f>IF(MODELAGEM!K29="NÃO","",MODELAGEM!M29)</f>
        <v/>
      </c>
      <c r="V5" s="1819"/>
    </row>
    <row r="6" spans="5:22" x14ac:dyDescent="0.25">
      <c r="F6" s="531"/>
      <c r="G6" s="541">
        <f>IF(MODELAGEM!K13="NÃO","",IF(MODELAGEM!L13&gt;0,MODELAGEM!L13,""))</f>
        <v>1</v>
      </c>
      <c r="H6" s="542" t="str">
        <f>IF(MODELAGEM!K13="NÃO","","×")</f>
        <v>×</v>
      </c>
      <c r="I6" s="1818" t="str">
        <f>IF(MODELAGEM!K13="NÃO","",MODELAGEM!M13)</f>
        <v>Reforço</v>
      </c>
      <c r="J6" s="1819"/>
      <c r="L6" s="531"/>
      <c r="M6" s="541" t="str">
        <f>IF(MODELAGEM!K22="NÃO","",IF(MODELAGEM!L22&gt;0,MODELAGEM!L22,""))</f>
        <v/>
      </c>
      <c r="N6" s="542" t="str">
        <f>IF(MODELAGEM!K22="NÃO","","×")</f>
        <v/>
      </c>
      <c r="O6" s="1818" t="str">
        <f>IF(MODELAGEM!K22="NÃO","",MODELAGEM!M22)</f>
        <v/>
      </c>
      <c r="P6" s="1819"/>
      <c r="R6" s="531"/>
      <c r="S6" s="541" t="str">
        <f>IF(MODELAGEM!K31="NÃO","",IF(MODELAGEM!L31&gt;0,MODELAGEM!L31,""))</f>
        <v/>
      </c>
      <c r="T6" s="542" t="str">
        <f>IF(MODELAGEM!K31="NÃO","","×")</f>
        <v/>
      </c>
      <c r="U6" s="1818" t="str">
        <f>IF(MODELAGEM!K31="NÃO","",MODELAGEM!M31)</f>
        <v/>
      </c>
      <c r="V6" s="1819"/>
    </row>
    <row r="7" spans="5:22" x14ac:dyDescent="0.25">
      <c r="F7" s="531"/>
      <c r="G7" s="541">
        <f>IF(MODELAGEM!K15="NÃO","",IF(MODELAGEM!L15&gt;0,MODELAGEM!L15,""))</f>
        <v>1</v>
      </c>
      <c r="H7" s="542" t="str">
        <f>IF(MODELAGEM!K15="NÃO","","×")</f>
        <v>×</v>
      </c>
      <c r="I7" s="1818" t="str">
        <f>IF(MODELAGEM!K15="NÃO","",MODELAGEM!M15)</f>
        <v>Reforço</v>
      </c>
      <c r="J7" s="1819"/>
      <c r="L7" s="531"/>
      <c r="M7" s="541" t="str">
        <f>IF(MODELAGEM!K24="NÃO","",IF(MODELAGEM!L24&gt;0,MODELAGEM!L24,""))</f>
        <v/>
      </c>
      <c r="N7" s="542" t="str">
        <f>IF(MODELAGEM!K24="NÃO","","×")</f>
        <v/>
      </c>
      <c r="O7" s="1818" t="str">
        <f>IF(MODELAGEM!K24="NÃO","",MODELAGEM!M24)</f>
        <v/>
      </c>
      <c r="P7" s="1819"/>
      <c r="R7" s="531"/>
      <c r="S7" s="541" t="str">
        <f>IF(MODELAGEM!K33="NÃO","",IF(MODELAGEM!L33&gt;0,MODELAGEM!L33,""))</f>
        <v/>
      </c>
      <c r="T7" s="542" t="str">
        <f>IF(MODELAGEM!K33="NÃO","","×")</f>
        <v/>
      </c>
      <c r="U7" s="1818" t="str">
        <f>IF(MODELAGEM!K33="NÃO","",MODELAGEM!M33)</f>
        <v/>
      </c>
      <c r="V7" s="1819"/>
    </row>
    <row r="8" spans="5:22" x14ac:dyDescent="0.25">
      <c r="F8" s="531"/>
      <c r="G8" s="541" t="str">
        <f>IF(MODELAGEM!K17="NÃO","",IF(MODELAGEM!L17&gt;0,MODELAGEM!L17,""))</f>
        <v/>
      </c>
      <c r="H8" s="542" t="str">
        <f>IF(MODELAGEM!K17="NÃO","","×")</f>
        <v/>
      </c>
      <c r="I8" s="812" t="str">
        <f>IF(MODELAGEM!K17="NÃO","",MODELAGEM!M17)</f>
        <v/>
      </c>
      <c r="J8" s="813"/>
      <c r="L8" s="531"/>
      <c r="M8" s="541" t="str">
        <f>IF(MODELAGEM!K26="NÃO","",IF(MODELAGEM!L26&gt;0,MODELAGEM!L26,""))</f>
        <v/>
      </c>
      <c r="N8" s="542" t="str">
        <f>IF(MODELAGEM!K26="NÃO","","×")</f>
        <v/>
      </c>
      <c r="O8" s="812" t="str">
        <f>IF(MODELAGEM!K26="NÃO","",MODELAGEM!M26)</f>
        <v/>
      </c>
      <c r="P8" s="813"/>
      <c r="R8" s="531"/>
      <c r="S8" s="541" t="str">
        <f>IF(MODELAGEM!K35="NÃO","",IF(MODELAGEM!L35&gt;0,MODELAGEM!L35,""))</f>
        <v/>
      </c>
      <c r="T8" s="542" t="str">
        <f>IF(MODELAGEM!K35="NÃO","","×")</f>
        <v/>
      </c>
      <c r="U8" s="812" t="str">
        <f>IF(MODELAGEM!K35="NÃO","",MODELAGEM!M35)</f>
        <v/>
      </c>
      <c r="V8" s="813"/>
    </row>
    <row r="9" spans="5:22" x14ac:dyDescent="0.25">
      <c r="F9" s="532"/>
      <c r="G9" s="543"/>
      <c r="H9" s="544"/>
      <c r="I9" s="1853"/>
      <c r="J9" s="1854"/>
      <c r="L9" s="532"/>
      <c r="M9" s="543"/>
      <c r="N9" s="544"/>
      <c r="O9" s="1853"/>
      <c r="P9" s="1854"/>
      <c r="R9" s="532"/>
      <c r="S9" s="543"/>
      <c r="T9" s="544"/>
      <c r="U9" s="1853"/>
      <c r="V9" s="1854"/>
    </row>
    <row r="10" spans="5:22" x14ac:dyDescent="0.25">
      <c r="F10" s="533" t="s">
        <v>702</v>
      </c>
      <c r="G10" s="559">
        <f>IF(MODELAGEM!U11=0,"-",MODELAGEM!P11)</f>
        <v>34.4</v>
      </c>
      <c r="H10" s="559" t="s">
        <v>307</v>
      </c>
      <c r="I10" s="559">
        <f>IF(MODELAGEM!U11=0,"-",MODELAGEM!Q11)</f>
        <v>58.3</v>
      </c>
      <c r="J10" s="534" t="s">
        <v>325</v>
      </c>
      <c r="L10" s="533" t="s">
        <v>702</v>
      </c>
      <c r="M10" s="559" t="str">
        <f>IF(MODELAGEM!U20=0,"-",MODELAGEM!P20)</f>
        <v>-</v>
      </c>
      <c r="N10" s="559" t="s">
        <v>307</v>
      </c>
      <c r="O10" s="559" t="str">
        <f>IF(MODELAGEM!U20=0,"-",MODELAGEM!Q20)</f>
        <v>-</v>
      </c>
      <c r="P10" s="534" t="s">
        <v>325</v>
      </c>
      <c r="R10" s="533" t="s">
        <v>702</v>
      </c>
      <c r="S10" s="559" t="str">
        <f>IF(MODELAGEM!U29=0,"-",MODELAGEM!P29)</f>
        <v>-</v>
      </c>
      <c r="T10" s="559" t="s">
        <v>307</v>
      </c>
      <c r="U10" s="559" t="str">
        <f>IF(MODELAGEM!U29=0,"-",MODELAGEM!Q29)</f>
        <v>-</v>
      </c>
      <c r="V10" s="534" t="s">
        <v>325</v>
      </c>
    </row>
    <row r="11" spans="5:22" x14ac:dyDescent="0.25">
      <c r="F11" s="533" t="s">
        <v>389</v>
      </c>
      <c r="G11" s="330">
        <f>IF(MODELAGEM!U11=0,"-",MODELAGEM!U11)</f>
        <v>1</v>
      </c>
      <c r="H11" s="535" t="s">
        <v>708</v>
      </c>
      <c r="I11" s="536">
        <f>MODELAGEM!T250</f>
        <v>2</v>
      </c>
      <c r="J11" s="534"/>
      <c r="L11" s="533" t="s">
        <v>389</v>
      </c>
      <c r="M11" s="330" t="str">
        <f>IF(MODELAGEM!U20=0,"-",SUM(MODELAGEM!U11:U20))</f>
        <v>-</v>
      </c>
      <c r="N11" s="535" t="s">
        <v>708</v>
      </c>
      <c r="O11" s="536">
        <f>I11</f>
        <v>2</v>
      </c>
      <c r="P11" s="534"/>
      <c r="R11" s="533" t="s">
        <v>389</v>
      </c>
      <c r="S11" s="330" t="str">
        <f>IF(MODELAGEM!U29=0,"-",SUM(MODELAGEM!U11:U29))</f>
        <v>-</v>
      </c>
      <c r="T11" s="535" t="s">
        <v>708</v>
      </c>
      <c r="U11" s="536">
        <f>O11</f>
        <v>2</v>
      </c>
      <c r="V11" s="534"/>
    </row>
    <row r="12" spans="5:22" x14ac:dyDescent="0.25">
      <c r="F12" s="1828" t="s">
        <v>723</v>
      </c>
      <c r="G12" s="1829"/>
      <c r="H12" s="1829" t="str">
        <f>'NOME + Nº'!J4</f>
        <v>Victor Ferreira</v>
      </c>
      <c r="I12" s="1829"/>
      <c r="J12" s="1832"/>
      <c r="L12" s="1828" t="s">
        <v>723</v>
      </c>
      <c r="M12" s="1829"/>
      <c r="N12" s="1829" t="str">
        <f>H12</f>
        <v>Victor Ferreira</v>
      </c>
      <c r="O12" s="1829"/>
      <c r="P12" s="1832"/>
      <c r="R12" s="1828" t="s">
        <v>723</v>
      </c>
      <c r="S12" s="1829"/>
      <c r="T12" s="1829" t="str">
        <f>N12</f>
        <v>Victor Ferreira</v>
      </c>
      <c r="U12" s="1829"/>
      <c r="V12" s="1832"/>
    </row>
    <row r="13" spans="5:22" ht="15.75" thickBot="1" x14ac:dyDescent="0.3">
      <c r="F13" s="531" t="s">
        <v>703</v>
      </c>
      <c r="G13" s="1825">
        <f>'NOME + Nº'!L4</f>
        <v>45182</v>
      </c>
      <c r="H13" s="1826"/>
      <c r="I13" s="1826"/>
      <c r="J13" s="1827"/>
      <c r="L13" s="531" t="s">
        <v>703</v>
      </c>
      <c r="M13" s="1825">
        <f>G13</f>
        <v>45182</v>
      </c>
      <c r="N13" s="1826"/>
      <c r="O13" s="1826"/>
      <c r="P13" s="1827"/>
      <c r="R13" s="531" t="s">
        <v>703</v>
      </c>
      <c r="S13" s="1825">
        <f>G13</f>
        <v>45182</v>
      </c>
      <c r="T13" s="1826"/>
      <c r="U13" s="1826"/>
      <c r="V13" s="1827"/>
    </row>
    <row r="14" spans="5:22" ht="15.75" thickBot="1" x14ac:dyDescent="0.3">
      <c r="F14" s="558" t="s">
        <v>725</v>
      </c>
      <c r="G14" s="1812" t="str">
        <f>IF(MODELAGEM!I18=0," ",MODELAGEM!I18)</f>
        <v xml:space="preserve"> </v>
      </c>
      <c r="H14" s="1812"/>
      <c r="I14" s="1812"/>
      <c r="J14" s="1813"/>
      <c r="L14" s="558" t="s">
        <v>725</v>
      </c>
      <c r="M14" s="1812" t="str">
        <f>IF(MODELAGEM!I27=0," ",MODELAGEM!I27)</f>
        <v xml:space="preserve"> </v>
      </c>
      <c r="N14" s="1812"/>
      <c r="O14" s="1812"/>
      <c r="P14" s="1813"/>
      <c r="R14" s="558" t="s">
        <v>725</v>
      </c>
      <c r="S14" s="1812" t="str">
        <f>IF(MODELAGEM!I36=0," ",MODELAGEM!I36)</f>
        <v xml:space="preserve"> </v>
      </c>
      <c r="T14" s="1812"/>
      <c r="U14" s="1812"/>
      <c r="V14" s="1813"/>
    </row>
    <row r="15" spans="5:22" ht="15.75" thickBot="1" x14ac:dyDescent="0.3"/>
    <row r="16" spans="5:22" ht="15.75" thickBot="1" x14ac:dyDescent="0.3">
      <c r="E16">
        <f>E2+3</f>
        <v>4</v>
      </c>
      <c r="F16" s="1833" t="str">
        <f>F2</f>
        <v>VMORDEKAI</v>
      </c>
      <c r="G16" s="1834"/>
      <c r="H16" s="1834"/>
      <c r="I16" s="1834"/>
      <c r="J16" s="1835"/>
      <c r="K16">
        <f>E16+1</f>
        <v>5</v>
      </c>
      <c r="L16" s="1833" t="str">
        <f>F16</f>
        <v>VMORDEKAI</v>
      </c>
      <c r="M16" s="1834"/>
      <c r="N16" s="1834"/>
      <c r="O16" s="1834"/>
      <c r="P16" s="1835"/>
      <c r="Q16">
        <f>K16+1</f>
        <v>6</v>
      </c>
      <c r="R16" s="1833" t="str">
        <f>L16</f>
        <v>VMORDEKAI</v>
      </c>
      <c r="S16" s="1834"/>
      <c r="T16" s="1834"/>
      <c r="U16" s="1834"/>
      <c r="V16" s="1835"/>
    </row>
    <row r="17" spans="5:22" x14ac:dyDescent="0.25">
      <c r="E17" s="814">
        <f>MODELAGEM!U38</f>
        <v>0</v>
      </c>
      <c r="F17" s="1822" t="str">
        <f>F3</f>
        <v>REF. NOME + Nº - 15H x 10B x 5L (cm)</v>
      </c>
      <c r="G17" s="1823"/>
      <c r="H17" s="1823"/>
      <c r="I17" s="1823"/>
      <c r="J17" s="1824"/>
      <c r="K17" s="814">
        <f>MODELAGEM!U47</f>
        <v>0</v>
      </c>
      <c r="L17" s="1822" t="str">
        <f>F17</f>
        <v>REF. NOME + Nº - 15H x 10B x 5L (cm)</v>
      </c>
      <c r="M17" s="1823"/>
      <c r="N17" s="1823"/>
      <c r="O17" s="1823"/>
      <c r="P17" s="1824"/>
      <c r="Q17" s="814">
        <f>MODELAGEM!U56</f>
        <v>0</v>
      </c>
      <c r="R17" s="1822" t="str">
        <f>F17</f>
        <v>REF. NOME + Nº - 15H x 10B x 5L (cm)</v>
      </c>
      <c r="S17" s="1823"/>
      <c r="T17" s="1823"/>
      <c r="U17" s="1823"/>
      <c r="V17" s="1824"/>
    </row>
    <row r="18" spans="5:22" x14ac:dyDescent="0.25">
      <c r="F18" s="533" t="s">
        <v>700</v>
      </c>
      <c r="G18" s="1814" t="str">
        <f>MODELAGEM!H39</f>
        <v>NOME</v>
      </c>
      <c r="H18" s="1814"/>
      <c r="I18" s="1814"/>
      <c r="J18" s="1815"/>
      <c r="L18" s="533" t="s">
        <v>700</v>
      </c>
      <c r="M18" s="1814" t="str">
        <f>MODELAGEM!H48</f>
        <v>NOME</v>
      </c>
      <c r="N18" s="1814"/>
      <c r="O18" s="1814"/>
      <c r="P18" s="1815"/>
      <c r="R18" s="533" t="s">
        <v>700</v>
      </c>
      <c r="S18" s="1814" t="str">
        <f>MODELAGEM!H57</f>
        <v>NOME</v>
      </c>
      <c r="T18" s="1814"/>
      <c r="U18" s="1814"/>
      <c r="V18" s="1815"/>
    </row>
    <row r="19" spans="5:22" x14ac:dyDescent="0.25">
      <c r="F19" s="531" t="s">
        <v>701</v>
      </c>
      <c r="G19" s="541" t="str">
        <f>IF(MODELAGEM!K38="NÃO","",IF(MODELAGEM!L38&gt;0,MODELAGEM!L38,""))</f>
        <v/>
      </c>
      <c r="H19" s="542" t="str">
        <f>IF(MODELAGEM!K38="NÃO","","×")</f>
        <v/>
      </c>
      <c r="I19" s="1818" t="str">
        <f>IF(MODELAGEM!K38="NÃO","",MODELAGEM!M38)</f>
        <v/>
      </c>
      <c r="J19" s="1819"/>
      <c r="L19" s="531" t="s">
        <v>701</v>
      </c>
      <c r="M19" s="541" t="str">
        <f>IF(MODELAGEM!K47="NÃO","",IF(MODELAGEM!L47&gt;0,MODELAGEM!L47,""))</f>
        <v/>
      </c>
      <c r="N19" s="542" t="str">
        <f>IF(MODELAGEM!K47="NÃO","","×")</f>
        <v/>
      </c>
      <c r="O19" s="1818" t="str">
        <f>IF(MODELAGEM!K47="NÃO","",MODELAGEM!M47)</f>
        <v/>
      </c>
      <c r="P19" s="1819"/>
      <c r="R19" s="531" t="s">
        <v>701</v>
      </c>
      <c r="S19" s="541" t="str">
        <f>IF(MODELAGEM!K56="NÃO","",IF(MODELAGEM!L56&gt;0,MODELAGEM!L56,""))</f>
        <v/>
      </c>
      <c r="T19" s="542" t="str">
        <f>IF(MODELAGEM!K56="NÃO","","×")</f>
        <v/>
      </c>
      <c r="U19" s="1818" t="str">
        <f>IF(MODELAGEM!K56="NÃO","",MODELAGEM!M56)</f>
        <v/>
      </c>
      <c r="V19" s="1819"/>
    </row>
    <row r="20" spans="5:22" x14ac:dyDescent="0.25">
      <c r="F20" s="531"/>
      <c r="G20" s="541" t="str">
        <f>IF(MODELAGEM!K40="NÃO","",IF(MODELAGEM!L40&gt;0,MODELAGEM!L40,""))</f>
        <v/>
      </c>
      <c r="H20" s="542" t="str">
        <f>IF(MODELAGEM!K40="NÃO","","×")</f>
        <v/>
      </c>
      <c r="I20" s="1818" t="str">
        <f>IF(MODELAGEM!K40="NÃO","",MODELAGEM!M40)</f>
        <v/>
      </c>
      <c r="J20" s="1819"/>
      <c r="L20" s="531"/>
      <c r="M20" s="541" t="str">
        <f>IF(MODELAGEM!K49="NÃO","",IF(MODELAGEM!L49&gt;0,MODELAGEM!L49,""))</f>
        <v/>
      </c>
      <c r="N20" s="542" t="str">
        <f>IF(MODELAGEM!K49="NÃO","","×")</f>
        <v/>
      </c>
      <c r="O20" s="1818" t="str">
        <f>IF(MODELAGEM!K49="NÃO","",MODELAGEM!M49)</f>
        <v/>
      </c>
      <c r="P20" s="1819"/>
      <c r="R20" s="531"/>
      <c r="S20" s="541" t="str">
        <f>IF(MODELAGEM!K58="NÃO","",IF(MODELAGEM!L58&gt;0,MODELAGEM!L58,""))</f>
        <v/>
      </c>
      <c r="T20" s="542" t="str">
        <f>IF(MODELAGEM!K58="NÃO","","×")</f>
        <v/>
      </c>
      <c r="U20" s="1818" t="str">
        <f>IF(MODELAGEM!K58="NÃO","",MODELAGEM!M58)</f>
        <v/>
      </c>
      <c r="V20" s="1819"/>
    </row>
    <row r="21" spans="5:22" x14ac:dyDescent="0.25">
      <c r="F21" s="531"/>
      <c r="G21" s="541" t="str">
        <f>IF(MODELAGEM!K42="NÃO","",IF(MODELAGEM!L42&gt;0,MODELAGEM!L42,""))</f>
        <v/>
      </c>
      <c r="H21" s="542" t="str">
        <f>IF(MODELAGEM!K42="NÃO","","×")</f>
        <v/>
      </c>
      <c r="I21" s="1818" t="str">
        <f>IF(MODELAGEM!K42="NÃO","",MODELAGEM!M42)</f>
        <v/>
      </c>
      <c r="J21" s="1819"/>
      <c r="L21" s="531"/>
      <c r="M21" s="541" t="str">
        <f>IF(MODELAGEM!K51="NÃO","",IF(MODELAGEM!L51&gt;0,MODELAGEM!L51,""))</f>
        <v/>
      </c>
      <c r="N21" s="542" t="str">
        <f>IF(MODELAGEM!K51="NÃO","","×")</f>
        <v/>
      </c>
      <c r="O21" s="1818" t="str">
        <f>IF(MODELAGEM!K51="NÃO","",MODELAGEM!M51)</f>
        <v/>
      </c>
      <c r="P21" s="1819"/>
      <c r="R21" s="531"/>
      <c r="S21" s="541" t="str">
        <f>IF(MODELAGEM!K60="NÃO","",IF(MODELAGEM!L60&gt;0,MODELAGEM!L60,""))</f>
        <v/>
      </c>
      <c r="T21" s="542" t="str">
        <f>IF(MODELAGEM!K60="NÃO","","×")</f>
        <v/>
      </c>
      <c r="U21" s="1818" t="str">
        <f>IF(MODELAGEM!K60="NÃO","",MODELAGEM!M60)</f>
        <v/>
      </c>
      <c r="V21" s="1819"/>
    </row>
    <row r="22" spans="5:22" x14ac:dyDescent="0.25">
      <c r="F22" s="531"/>
      <c r="G22" s="541" t="str">
        <f>IF(MODELAGEM!K44="NÃO","",IF(MODELAGEM!L44&gt;0,MODELAGEM!L44,""))</f>
        <v/>
      </c>
      <c r="H22" s="542" t="str">
        <f>IF(MODELAGEM!K44="NÃO","","×")</f>
        <v/>
      </c>
      <c r="I22" s="812" t="str">
        <f>IF(MODELAGEM!K44="NÃO","",MODELAGEM!M44)</f>
        <v/>
      </c>
      <c r="J22" s="813"/>
      <c r="L22" s="531"/>
      <c r="M22" s="541" t="str">
        <f>IF(MODELAGEM!K53="NÃO","",IF(MODELAGEM!L53&gt;0,MODELAGEM!L53,""))</f>
        <v/>
      </c>
      <c r="N22" s="542" t="str">
        <f>IF(MODELAGEM!K53="NÃO","","×")</f>
        <v/>
      </c>
      <c r="O22" s="812" t="str">
        <f>IF(MODELAGEM!K53="NÃO","",MODELAGEM!M53)</f>
        <v/>
      </c>
      <c r="P22" s="813"/>
      <c r="R22" s="531"/>
      <c r="S22" s="541" t="str">
        <f>IF(MODELAGEM!K62="NÃO","",IF(MODELAGEM!L62&gt;0,MODELAGEM!L62,""))</f>
        <v/>
      </c>
      <c r="T22" s="542" t="str">
        <f>IF(MODELAGEM!K62="NÃO","","×")</f>
        <v/>
      </c>
      <c r="U22" s="812" t="str">
        <f>IF(MODELAGEM!K62="NÃO","",MODELAGEM!M62)</f>
        <v/>
      </c>
      <c r="V22" s="813"/>
    </row>
    <row r="23" spans="5:22" x14ac:dyDescent="0.25">
      <c r="F23" s="532"/>
      <c r="G23" s="543"/>
      <c r="H23" s="544"/>
      <c r="I23" s="1853"/>
      <c r="J23" s="1854"/>
      <c r="L23" s="532"/>
      <c r="M23" s="543"/>
      <c r="N23" s="544"/>
      <c r="O23" s="1853"/>
      <c r="P23" s="1854"/>
      <c r="R23" s="532"/>
      <c r="S23" s="543"/>
      <c r="T23" s="544"/>
      <c r="U23" s="1853"/>
      <c r="V23" s="1854"/>
    </row>
    <row r="24" spans="5:22" x14ac:dyDescent="0.25">
      <c r="F24" s="533" t="s">
        <v>702</v>
      </c>
      <c r="G24" s="559" t="str">
        <f>IF(MODELAGEM!U38=0,"-",MODELAGEM!P38)</f>
        <v>-</v>
      </c>
      <c r="H24" s="559" t="s">
        <v>307</v>
      </c>
      <c r="I24" s="559" t="str">
        <f>IF(MODELAGEM!U38=0,"-",MODELAGEM!Q38)</f>
        <v>-</v>
      </c>
      <c r="J24" s="534" t="s">
        <v>325</v>
      </c>
      <c r="L24" s="533" t="s">
        <v>702</v>
      </c>
      <c r="M24" s="559" t="str">
        <f>IF(MODELAGEM!U47=0,"-",MODELAGEM!P47)</f>
        <v>-</v>
      </c>
      <c r="N24" s="559" t="s">
        <v>307</v>
      </c>
      <c r="O24" s="559" t="str">
        <f>IF(MODELAGEM!U47=0,"-",MODELAGEM!Q47)</f>
        <v>-</v>
      </c>
      <c r="P24" s="534" t="s">
        <v>325</v>
      </c>
      <c r="R24" s="533" t="s">
        <v>702</v>
      </c>
      <c r="S24" s="559" t="str">
        <f>IF(MODELAGEM!U56=0,"-",MODELAGEM!P56)</f>
        <v>-</v>
      </c>
      <c r="T24" s="559" t="s">
        <v>307</v>
      </c>
      <c r="U24" s="559" t="str">
        <f>IF(MODELAGEM!U56=0,"-",MODELAGEM!Q56)</f>
        <v>-</v>
      </c>
      <c r="V24" s="534" t="s">
        <v>325</v>
      </c>
    </row>
    <row r="25" spans="5:22" x14ac:dyDescent="0.25">
      <c r="F25" s="533" t="s">
        <v>389</v>
      </c>
      <c r="G25" s="330" t="str">
        <f>IF(MODELAGEM!U38=0,"-",SUM(MODELAGEM!U11:U38))</f>
        <v>-</v>
      </c>
      <c r="H25" s="535" t="s">
        <v>708</v>
      </c>
      <c r="I25" s="536">
        <f>I11</f>
        <v>2</v>
      </c>
      <c r="J25" s="534"/>
      <c r="L25" s="533" t="s">
        <v>389</v>
      </c>
      <c r="M25" s="330" t="str">
        <f>IF(MODELAGEM!U47=0,"-",SUM(MODELAGEM!U11:U47))</f>
        <v>-</v>
      </c>
      <c r="N25" s="535" t="s">
        <v>708</v>
      </c>
      <c r="O25" s="536">
        <f>I25</f>
        <v>2</v>
      </c>
      <c r="P25" s="534"/>
      <c r="R25" s="533" t="s">
        <v>389</v>
      </c>
      <c r="S25" s="330" t="str">
        <f>IF(MODELAGEM!U56=0,"-",SUM(MODELAGEM!U11:U56))</f>
        <v>-</v>
      </c>
      <c r="T25" s="535" t="s">
        <v>708</v>
      </c>
      <c r="U25" s="536">
        <f>O25</f>
        <v>2</v>
      </c>
      <c r="V25" s="534"/>
    </row>
    <row r="26" spans="5:22" x14ac:dyDescent="0.25">
      <c r="F26" s="1828" t="s">
        <v>723</v>
      </c>
      <c r="G26" s="1829"/>
      <c r="H26" s="1829" t="str">
        <f>H12</f>
        <v>Victor Ferreira</v>
      </c>
      <c r="I26" s="1829"/>
      <c r="J26" s="1832"/>
      <c r="L26" s="1828" t="s">
        <v>723</v>
      </c>
      <c r="M26" s="1829"/>
      <c r="N26" s="1829" t="str">
        <f>H26</f>
        <v>Victor Ferreira</v>
      </c>
      <c r="O26" s="1829"/>
      <c r="P26" s="1832"/>
      <c r="R26" s="1828" t="s">
        <v>723</v>
      </c>
      <c r="S26" s="1829"/>
      <c r="T26" s="1829" t="str">
        <f>N26</f>
        <v>Victor Ferreira</v>
      </c>
      <c r="U26" s="1829"/>
      <c r="V26" s="1832"/>
    </row>
    <row r="27" spans="5:22" ht="15.75" thickBot="1" x14ac:dyDescent="0.3">
      <c r="F27" s="531" t="s">
        <v>703</v>
      </c>
      <c r="G27" s="1825">
        <f>G13</f>
        <v>45182</v>
      </c>
      <c r="H27" s="1826"/>
      <c r="I27" s="1826"/>
      <c r="J27" s="1827"/>
      <c r="L27" s="531" t="s">
        <v>703</v>
      </c>
      <c r="M27" s="1825">
        <f>G27</f>
        <v>45182</v>
      </c>
      <c r="N27" s="1826"/>
      <c r="O27" s="1826"/>
      <c r="P27" s="1827"/>
      <c r="R27" s="531" t="s">
        <v>703</v>
      </c>
      <c r="S27" s="1825">
        <f>G27</f>
        <v>45182</v>
      </c>
      <c r="T27" s="1826"/>
      <c r="U27" s="1826"/>
      <c r="V27" s="1827"/>
    </row>
    <row r="28" spans="5:22" ht="15.75" thickBot="1" x14ac:dyDescent="0.3">
      <c r="F28" s="558" t="s">
        <v>725</v>
      </c>
      <c r="G28" s="1812" t="str">
        <f>IF(MODELAGEM!I45=0," ",MODELAGEM!I45)</f>
        <v xml:space="preserve"> </v>
      </c>
      <c r="H28" s="1812"/>
      <c r="I28" s="1812"/>
      <c r="J28" s="1813"/>
      <c r="L28" s="558" t="s">
        <v>725</v>
      </c>
      <c r="M28" s="1812" t="str">
        <f>IF(MODELAGEM!I54=0," ",MODELAGEM!I54)</f>
        <v xml:space="preserve"> </v>
      </c>
      <c r="N28" s="1812"/>
      <c r="O28" s="1812"/>
      <c r="P28" s="1813"/>
      <c r="R28" s="558" t="s">
        <v>725</v>
      </c>
      <c r="S28" s="1812" t="str">
        <f>IF(MODELAGEM!I63=0," ",MODELAGEM!I63)</f>
        <v xml:space="preserve"> </v>
      </c>
      <c r="T28" s="1812"/>
      <c r="U28" s="1812"/>
      <c r="V28" s="1813"/>
    </row>
    <row r="29" spans="5:22" ht="15.75" thickBot="1" x14ac:dyDescent="0.3"/>
    <row r="30" spans="5:22" ht="15.75" thickBot="1" x14ac:dyDescent="0.3">
      <c r="E30">
        <f>E16+3</f>
        <v>7</v>
      </c>
      <c r="F30" s="1833" t="str">
        <f>F16</f>
        <v>VMORDEKAI</v>
      </c>
      <c r="G30" s="1834"/>
      <c r="H30" s="1834"/>
      <c r="I30" s="1834"/>
      <c r="J30" s="1835"/>
      <c r="K30">
        <f>E30+1</f>
        <v>8</v>
      </c>
      <c r="L30" s="1833" t="str">
        <f>F30</f>
        <v>VMORDEKAI</v>
      </c>
      <c r="M30" s="1834"/>
      <c r="N30" s="1834"/>
      <c r="O30" s="1834"/>
      <c r="P30" s="1835"/>
      <c r="Q30">
        <f>K30+1</f>
        <v>9</v>
      </c>
      <c r="R30" s="1833" t="str">
        <f>L30</f>
        <v>VMORDEKAI</v>
      </c>
      <c r="S30" s="1834"/>
      <c r="T30" s="1834"/>
      <c r="U30" s="1834"/>
      <c r="V30" s="1835"/>
    </row>
    <row r="31" spans="5:22" x14ac:dyDescent="0.25">
      <c r="E31" s="814">
        <f>MODELAGEM!U65</f>
        <v>0</v>
      </c>
      <c r="F31" s="1822" t="str">
        <f>F17</f>
        <v>REF. NOME + Nº - 15H x 10B x 5L (cm)</v>
      </c>
      <c r="G31" s="1823"/>
      <c r="H31" s="1823"/>
      <c r="I31" s="1823"/>
      <c r="J31" s="1824"/>
      <c r="K31" s="814">
        <f>MODELAGEM!U74</f>
        <v>0</v>
      </c>
      <c r="L31" s="1822" t="str">
        <f>F31</f>
        <v>REF. NOME + Nº - 15H x 10B x 5L (cm)</v>
      </c>
      <c r="M31" s="1823"/>
      <c r="N31" s="1823"/>
      <c r="O31" s="1823"/>
      <c r="P31" s="1824"/>
      <c r="Q31" s="814">
        <f>MODELAGEM!U83</f>
        <v>0</v>
      </c>
      <c r="R31" s="1822" t="str">
        <f>F31</f>
        <v>REF. NOME + Nº - 15H x 10B x 5L (cm)</v>
      </c>
      <c r="S31" s="1823"/>
      <c r="T31" s="1823"/>
      <c r="U31" s="1823"/>
      <c r="V31" s="1824"/>
    </row>
    <row r="32" spans="5:22" x14ac:dyDescent="0.25">
      <c r="F32" s="533" t="s">
        <v>700</v>
      </c>
      <c r="G32" s="1814" t="str">
        <f>MODELAGEM!H66</f>
        <v>NOME</v>
      </c>
      <c r="H32" s="1814"/>
      <c r="I32" s="1814"/>
      <c r="J32" s="1815"/>
      <c r="L32" s="533" t="s">
        <v>700</v>
      </c>
      <c r="M32" s="1814" t="str">
        <f>MODELAGEM!H75</f>
        <v>NOME</v>
      </c>
      <c r="N32" s="1814"/>
      <c r="O32" s="1814"/>
      <c r="P32" s="1815"/>
      <c r="R32" s="533" t="s">
        <v>700</v>
      </c>
      <c r="S32" s="1814" t="str">
        <f>MODELAGEM!H84</f>
        <v>NOME</v>
      </c>
      <c r="T32" s="1814"/>
      <c r="U32" s="1814"/>
      <c r="V32" s="1815"/>
    </row>
    <row r="33" spans="5:22" x14ac:dyDescent="0.25">
      <c r="F33" s="531" t="s">
        <v>701</v>
      </c>
      <c r="G33" s="541" t="str">
        <f>IF(MODELAGEM!K65="NÃO","",IF(MODELAGEM!L65&gt;0,MODELAGEM!L65,""))</f>
        <v/>
      </c>
      <c r="H33" s="542" t="str">
        <f>IF(MODELAGEM!K65="NÃO","","×")</f>
        <v/>
      </c>
      <c r="I33" s="1818" t="str">
        <f>IF(MODELAGEM!K65="NÃO","",MODELAGEM!M65)</f>
        <v/>
      </c>
      <c r="J33" s="1819"/>
      <c r="L33" s="531" t="s">
        <v>701</v>
      </c>
      <c r="M33" s="541" t="str">
        <f>IF(MODELAGEM!K74="NÃO","",IF(MODELAGEM!L74&gt;0,MODELAGEM!L74,""))</f>
        <v/>
      </c>
      <c r="N33" s="542" t="str">
        <f>IF(MODELAGEM!K74="NÃO","","×")</f>
        <v/>
      </c>
      <c r="O33" s="1818" t="str">
        <f>IF(MODELAGEM!K74="NÃO","",MODELAGEM!M74)</f>
        <v/>
      </c>
      <c r="P33" s="1819"/>
      <c r="R33" s="531" t="s">
        <v>701</v>
      </c>
      <c r="S33" s="541" t="str">
        <f>IF(MODELAGEM!K83="NÃO","",IF(MODELAGEM!L83&gt;0,MODELAGEM!L83,""))</f>
        <v/>
      </c>
      <c r="T33" s="542" t="str">
        <f>IF(MODELAGEM!K83="NÃO","","×")</f>
        <v/>
      </c>
      <c r="U33" s="1818" t="str">
        <f>IF(MODELAGEM!K83="NÃO","",MODELAGEM!M83)</f>
        <v/>
      </c>
      <c r="V33" s="1819"/>
    </row>
    <row r="34" spans="5:22" x14ac:dyDescent="0.25">
      <c r="F34" s="531"/>
      <c r="G34" s="541" t="str">
        <f>IF(MODELAGEM!K67="NÃO","",IF(MODELAGEM!L67&gt;0,MODELAGEM!L67,""))</f>
        <v/>
      </c>
      <c r="H34" s="542" t="str">
        <f>IF(MODELAGEM!K67="NÃO","","×")</f>
        <v/>
      </c>
      <c r="I34" s="1818" t="str">
        <f>IF(MODELAGEM!K67="NÃO","",MODELAGEM!M67)</f>
        <v/>
      </c>
      <c r="J34" s="1819"/>
      <c r="L34" s="531"/>
      <c r="M34" s="541" t="str">
        <f>IF(MODELAGEM!K76="NÃO","",IF(MODELAGEM!L76&gt;0,MODELAGEM!L76,""))</f>
        <v/>
      </c>
      <c r="N34" s="542" t="str">
        <f>IF(MODELAGEM!K76="NÃO","","×")</f>
        <v/>
      </c>
      <c r="O34" s="1818" t="str">
        <f>IF(MODELAGEM!K76="NÃO","",MODELAGEM!M76)</f>
        <v/>
      </c>
      <c r="P34" s="1819"/>
      <c r="R34" s="531"/>
      <c r="S34" s="541" t="str">
        <f>IF(MODELAGEM!K85="NÃO","",IF(MODELAGEM!L85&gt;0,MODELAGEM!L85,""))</f>
        <v/>
      </c>
      <c r="T34" s="542" t="str">
        <f>IF(MODELAGEM!K85="NÃO","","×")</f>
        <v/>
      </c>
      <c r="U34" s="1818" t="str">
        <f>IF(MODELAGEM!K85="NÃO","",MODELAGEM!M85)</f>
        <v/>
      </c>
      <c r="V34" s="1819"/>
    </row>
    <row r="35" spans="5:22" x14ac:dyDescent="0.25">
      <c r="F35" s="531"/>
      <c r="G35" s="541" t="str">
        <f>IF(MODELAGEM!K69="NÃO","",IF(MODELAGEM!L69&gt;0,MODELAGEM!L69,""))</f>
        <v/>
      </c>
      <c r="H35" s="542" t="str">
        <f>IF(MODELAGEM!K69="NÃO","","×")</f>
        <v/>
      </c>
      <c r="I35" s="1818" t="str">
        <f>IF(MODELAGEM!K69="NÃO","",MODELAGEM!M69)</f>
        <v/>
      </c>
      <c r="J35" s="1819"/>
      <c r="L35" s="531"/>
      <c r="M35" s="541" t="str">
        <f>IF(MODELAGEM!K78="NÃO","",IF(MODELAGEM!L78&gt;0,MODELAGEM!L78,""))</f>
        <v/>
      </c>
      <c r="N35" s="542" t="str">
        <f>IF(MODELAGEM!K78="NÃO","","×")</f>
        <v/>
      </c>
      <c r="O35" s="1818" t="str">
        <f>IF(MODELAGEM!K78="NÃO","",MODELAGEM!M78)</f>
        <v/>
      </c>
      <c r="P35" s="1819"/>
      <c r="R35" s="531"/>
      <c r="S35" s="541" t="str">
        <f>IF(MODELAGEM!K87="NÃO","",IF(MODELAGEM!L87&gt;0,MODELAGEM!L87,""))</f>
        <v/>
      </c>
      <c r="T35" s="542" t="str">
        <f>IF(MODELAGEM!K87="NÃO","","×")</f>
        <v/>
      </c>
      <c r="U35" s="1818" t="str">
        <f>IF(MODELAGEM!K87="NÃO","",MODELAGEM!M87)</f>
        <v/>
      </c>
      <c r="V35" s="1819"/>
    </row>
    <row r="36" spans="5:22" x14ac:dyDescent="0.25">
      <c r="F36" s="531"/>
      <c r="G36" s="541" t="str">
        <f>IF(MODELAGEM!K71="NÃO","",IF(MODELAGEM!L71&gt;0,MODELAGEM!L71,""))</f>
        <v/>
      </c>
      <c r="H36" s="542" t="str">
        <f>IF(MODELAGEM!K71="NÃO","","×")</f>
        <v/>
      </c>
      <c r="I36" s="812" t="str">
        <f>IF(MODELAGEM!K71="NÃO","",MODELAGEM!M71)</f>
        <v/>
      </c>
      <c r="J36" s="813"/>
      <c r="L36" s="531"/>
      <c r="M36" s="541" t="str">
        <f>IF(MODELAGEM!K80="NÃO","",IF(MODELAGEM!L80&gt;0,MODELAGEM!L80,""))</f>
        <v/>
      </c>
      <c r="N36" s="542" t="str">
        <f>IF(MODELAGEM!K80="NÃO","","×")</f>
        <v/>
      </c>
      <c r="O36" s="812" t="str">
        <f>IF(MODELAGEM!K80="NÃO","",MODELAGEM!M80)</f>
        <v/>
      </c>
      <c r="P36" s="813"/>
      <c r="R36" s="531"/>
      <c r="S36" s="541" t="str">
        <f>IF(MODELAGEM!K89="NÃO","",IF(MODELAGEM!L89&gt;0,MODELAGEM!L89,""))</f>
        <v/>
      </c>
      <c r="T36" s="542" t="str">
        <f>IF(MODELAGEM!K89="NÃO","","×")</f>
        <v/>
      </c>
      <c r="U36" s="812" t="str">
        <f>IF(MODELAGEM!K89="NÃO","",MODELAGEM!M89)</f>
        <v/>
      </c>
      <c r="V36" s="813"/>
    </row>
    <row r="37" spans="5:22" x14ac:dyDescent="0.25">
      <c r="F37" s="532"/>
      <c r="G37" s="543"/>
      <c r="H37" s="544"/>
      <c r="I37" s="1853"/>
      <c r="J37" s="1854"/>
      <c r="L37" s="532"/>
      <c r="M37" s="543"/>
      <c r="N37" s="544"/>
      <c r="O37" s="1853"/>
      <c r="P37" s="1854"/>
      <c r="R37" s="532"/>
      <c r="S37" s="543"/>
      <c r="T37" s="544"/>
      <c r="U37" s="1853"/>
      <c r="V37" s="1854"/>
    </row>
    <row r="38" spans="5:22" x14ac:dyDescent="0.25">
      <c r="F38" s="533" t="s">
        <v>702</v>
      </c>
      <c r="G38" s="559" t="str">
        <f>IF(MODELAGEM!U65=0,"-",MODELAGEM!P65)</f>
        <v>-</v>
      </c>
      <c r="H38" s="559" t="s">
        <v>307</v>
      </c>
      <c r="I38" s="559" t="str">
        <f>IF(MODELAGEM!U65=0,"-",MODELAGEM!Q65)</f>
        <v>-</v>
      </c>
      <c r="J38" s="534" t="s">
        <v>325</v>
      </c>
      <c r="L38" s="533" t="s">
        <v>702</v>
      </c>
      <c r="M38" s="559" t="str">
        <f>IF(MODELAGEM!U74=0,"-",MODELAGEM!P74)</f>
        <v>-</v>
      </c>
      <c r="N38" s="559" t="s">
        <v>307</v>
      </c>
      <c r="O38" s="559" t="str">
        <f>IF(MODELAGEM!U74=0,"-",MODELAGEM!Q74)</f>
        <v>-</v>
      </c>
      <c r="P38" s="534" t="s">
        <v>325</v>
      </c>
      <c r="R38" s="533" t="s">
        <v>702</v>
      </c>
      <c r="S38" s="559" t="str">
        <f>IF(MODELAGEM!U83=0,"-",MODELAGEM!P83)</f>
        <v>-</v>
      </c>
      <c r="T38" s="559" t="s">
        <v>307</v>
      </c>
      <c r="U38" s="559" t="str">
        <f>IF(MODELAGEM!U83=0,"-",MODELAGEM!Q83)</f>
        <v>-</v>
      </c>
      <c r="V38" s="534" t="s">
        <v>325</v>
      </c>
    </row>
    <row r="39" spans="5:22" x14ac:dyDescent="0.25">
      <c r="F39" s="533" t="s">
        <v>389</v>
      </c>
      <c r="G39" s="330" t="str">
        <f>IF(MODELAGEM!U65=0,"-",SUM(MODELAGEM!U11:U65))</f>
        <v>-</v>
      </c>
      <c r="H39" s="535" t="s">
        <v>708</v>
      </c>
      <c r="I39" s="536">
        <f>I25</f>
        <v>2</v>
      </c>
      <c r="J39" s="534"/>
      <c r="L39" s="533" t="s">
        <v>389</v>
      </c>
      <c r="M39" s="330" t="str">
        <f>IF(MODELAGEM!U74=0,"-",SUM(MODELAGEM!U11:U74))</f>
        <v>-</v>
      </c>
      <c r="N39" s="535" t="s">
        <v>708</v>
      </c>
      <c r="O39" s="536">
        <f>I39</f>
        <v>2</v>
      </c>
      <c r="P39" s="534"/>
      <c r="R39" s="533" t="s">
        <v>389</v>
      </c>
      <c r="S39" s="330" t="str">
        <f>IF(MODELAGEM!U83=0,"-",SUM(MODELAGEM!U11:U83))</f>
        <v>-</v>
      </c>
      <c r="T39" s="535" t="s">
        <v>708</v>
      </c>
      <c r="U39" s="536">
        <f>O39</f>
        <v>2</v>
      </c>
      <c r="V39" s="534"/>
    </row>
    <row r="40" spans="5:22" x14ac:dyDescent="0.25">
      <c r="F40" s="1828" t="s">
        <v>723</v>
      </c>
      <c r="G40" s="1829"/>
      <c r="H40" s="1829" t="str">
        <f>H26</f>
        <v>Victor Ferreira</v>
      </c>
      <c r="I40" s="1829"/>
      <c r="J40" s="1832"/>
      <c r="L40" s="1828" t="s">
        <v>723</v>
      </c>
      <c r="M40" s="1829"/>
      <c r="N40" s="1829" t="str">
        <f>H40</f>
        <v>Victor Ferreira</v>
      </c>
      <c r="O40" s="1829"/>
      <c r="P40" s="1832"/>
      <c r="R40" s="1828" t="s">
        <v>723</v>
      </c>
      <c r="S40" s="1829"/>
      <c r="T40" s="1829" t="str">
        <f>N40</f>
        <v>Victor Ferreira</v>
      </c>
      <c r="U40" s="1829"/>
      <c r="V40" s="1832"/>
    </row>
    <row r="41" spans="5:22" ht="15.75" thickBot="1" x14ac:dyDescent="0.3">
      <c r="F41" s="531" t="s">
        <v>703</v>
      </c>
      <c r="G41" s="1825">
        <f>G27</f>
        <v>45182</v>
      </c>
      <c r="H41" s="1826"/>
      <c r="I41" s="1826"/>
      <c r="J41" s="1827"/>
      <c r="L41" s="531" t="s">
        <v>703</v>
      </c>
      <c r="M41" s="1825">
        <f>G41</f>
        <v>45182</v>
      </c>
      <c r="N41" s="1826"/>
      <c r="O41" s="1826"/>
      <c r="P41" s="1827"/>
      <c r="R41" s="531" t="s">
        <v>703</v>
      </c>
      <c r="S41" s="1825">
        <f>G41</f>
        <v>45182</v>
      </c>
      <c r="T41" s="1826"/>
      <c r="U41" s="1826"/>
      <c r="V41" s="1827"/>
    </row>
    <row r="42" spans="5:22" ht="15.75" thickBot="1" x14ac:dyDescent="0.3">
      <c r="F42" s="558" t="s">
        <v>725</v>
      </c>
      <c r="G42" s="1812" t="str">
        <f>IF(MODELAGEM!I72=0," ",MODELAGEM!I72)</f>
        <v xml:space="preserve"> </v>
      </c>
      <c r="H42" s="1812"/>
      <c r="I42" s="1812"/>
      <c r="J42" s="1813"/>
      <c r="L42" s="558" t="s">
        <v>725</v>
      </c>
      <c r="M42" s="1812" t="str">
        <f>IF(MODELAGEM!I81=0," ",MODELAGEM!I81)</f>
        <v xml:space="preserve"> </v>
      </c>
      <c r="N42" s="1812"/>
      <c r="O42" s="1812"/>
      <c r="P42" s="1813"/>
      <c r="R42" s="558" t="s">
        <v>725</v>
      </c>
      <c r="S42" s="1812" t="str">
        <f>IF(MODELAGEM!I90=0," ",MODELAGEM!I90)</f>
        <v xml:space="preserve"> </v>
      </c>
      <c r="T42" s="1812"/>
      <c r="U42" s="1812"/>
      <c r="V42" s="1813"/>
    </row>
    <row r="43" spans="5:22" ht="15.75" thickBot="1" x14ac:dyDescent="0.3"/>
    <row r="44" spans="5:22" ht="15.75" thickBot="1" x14ac:dyDescent="0.3">
      <c r="E44">
        <f>E30+3</f>
        <v>10</v>
      </c>
      <c r="F44" s="1833" t="str">
        <f>F30</f>
        <v>VMORDEKAI</v>
      </c>
      <c r="G44" s="1834"/>
      <c r="H44" s="1834"/>
      <c r="I44" s="1834"/>
      <c r="J44" s="1835"/>
      <c r="K44">
        <f>E44+1</f>
        <v>11</v>
      </c>
      <c r="L44" s="1833" t="str">
        <f>F44</f>
        <v>VMORDEKAI</v>
      </c>
      <c r="M44" s="1834"/>
      <c r="N44" s="1834"/>
      <c r="O44" s="1834"/>
      <c r="P44" s="1835"/>
      <c r="Q44">
        <f>K44+1</f>
        <v>12</v>
      </c>
      <c r="R44" s="1833" t="str">
        <f>L44</f>
        <v>VMORDEKAI</v>
      </c>
      <c r="S44" s="1834"/>
      <c r="T44" s="1834"/>
      <c r="U44" s="1834"/>
      <c r="V44" s="1835"/>
    </row>
    <row r="45" spans="5:22" x14ac:dyDescent="0.25">
      <c r="E45" s="814">
        <f>MODELAGEM!U92</f>
        <v>0</v>
      </c>
      <c r="F45" s="1822" t="str">
        <f>F31</f>
        <v>REF. NOME + Nº - 15H x 10B x 5L (cm)</v>
      </c>
      <c r="G45" s="1823"/>
      <c r="H45" s="1823"/>
      <c r="I45" s="1823"/>
      <c r="J45" s="1824"/>
      <c r="K45" s="814">
        <f>MODELAGEM!U101</f>
        <v>0</v>
      </c>
      <c r="L45" s="1822" t="str">
        <f>F45</f>
        <v>REF. NOME + Nº - 15H x 10B x 5L (cm)</v>
      </c>
      <c r="M45" s="1823"/>
      <c r="N45" s="1823"/>
      <c r="O45" s="1823"/>
      <c r="P45" s="1824"/>
      <c r="Q45" s="814">
        <f>MODELAGEM!U110</f>
        <v>0</v>
      </c>
      <c r="R45" s="1822" t="str">
        <f>F45</f>
        <v>REF. NOME + Nº - 15H x 10B x 5L (cm)</v>
      </c>
      <c r="S45" s="1823"/>
      <c r="T45" s="1823"/>
      <c r="U45" s="1823"/>
      <c r="V45" s="1824"/>
    </row>
    <row r="46" spans="5:22" x14ac:dyDescent="0.25">
      <c r="F46" s="533" t="s">
        <v>700</v>
      </c>
      <c r="G46" s="1814" t="str">
        <f>MODELAGEM!H93</f>
        <v>NOME</v>
      </c>
      <c r="H46" s="1814"/>
      <c r="I46" s="1814"/>
      <c r="J46" s="1815"/>
      <c r="L46" s="533" t="s">
        <v>700</v>
      </c>
      <c r="M46" s="1814" t="str">
        <f>MODELAGEM!H102</f>
        <v>NOME</v>
      </c>
      <c r="N46" s="1814"/>
      <c r="O46" s="1814"/>
      <c r="P46" s="1815"/>
      <c r="R46" s="533" t="s">
        <v>700</v>
      </c>
      <c r="S46" s="1814" t="str">
        <f>MODELAGEM!H111</f>
        <v>NOME</v>
      </c>
      <c r="T46" s="1814"/>
      <c r="U46" s="1814"/>
      <c r="V46" s="1815"/>
    </row>
    <row r="47" spans="5:22" x14ac:dyDescent="0.25">
      <c r="F47" s="531" t="s">
        <v>701</v>
      </c>
      <c r="G47" s="541" t="str">
        <f>IF(MODELAGEM!K92="NÃO","",IF(MODELAGEM!L92&gt;0,MODELAGEM!L92,""))</f>
        <v/>
      </c>
      <c r="H47" s="542" t="str">
        <f>IF(MODELAGEM!K92="NÃO","","×")</f>
        <v/>
      </c>
      <c r="I47" s="1818" t="str">
        <f>IF(MODELAGEM!K92="NÃO","",MODELAGEM!M92)</f>
        <v/>
      </c>
      <c r="J47" s="1819"/>
      <c r="L47" s="531" t="s">
        <v>701</v>
      </c>
      <c r="M47" s="541" t="str">
        <f>IF(MODELAGEM!K101="NÃO","",IF(MODELAGEM!L101&gt;0,MODELAGEM!L101,""))</f>
        <v/>
      </c>
      <c r="N47" s="542" t="str">
        <f>IF(MODELAGEM!K101="NÃO","","×")</f>
        <v/>
      </c>
      <c r="O47" s="1818" t="str">
        <f>IF(MODELAGEM!K101="NÃO","",MODELAGEM!M101)</f>
        <v/>
      </c>
      <c r="P47" s="1819"/>
      <c r="R47" s="531" t="s">
        <v>701</v>
      </c>
      <c r="S47" s="541" t="str">
        <f>IF(MODELAGEM!K110="NÃO","",IF(MODELAGEM!L110&gt;0,MODELAGEM!L110,""))</f>
        <v/>
      </c>
      <c r="T47" s="542" t="str">
        <f>IF(MODELAGEM!K110="NÃO","","×")</f>
        <v/>
      </c>
      <c r="U47" s="1818" t="str">
        <f>IF(MODELAGEM!K110="NÃO","",MODELAGEM!M110)</f>
        <v/>
      </c>
      <c r="V47" s="1819"/>
    </row>
    <row r="48" spans="5:22" x14ac:dyDescent="0.25">
      <c r="F48" s="531"/>
      <c r="G48" s="541" t="str">
        <f>IF(MODELAGEM!K94="NÃO","",IF(MODELAGEM!L94&gt;0,MODELAGEM!L94,""))</f>
        <v/>
      </c>
      <c r="H48" s="542" t="str">
        <f>IF(MODELAGEM!K94="NÃO","","×")</f>
        <v/>
      </c>
      <c r="I48" s="1818" t="str">
        <f>IF(MODELAGEM!K94="NÃO","",MODELAGEM!M94)</f>
        <v/>
      </c>
      <c r="J48" s="1819"/>
      <c r="L48" s="531"/>
      <c r="M48" s="541" t="str">
        <f>IF(MODELAGEM!K103="NÃO","",IF(MODELAGEM!L103&gt;0,MODELAGEM!L103,""))</f>
        <v/>
      </c>
      <c r="N48" s="542" t="str">
        <f>IF(MODELAGEM!K103="NÃO","","×")</f>
        <v/>
      </c>
      <c r="O48" s="1818" t="str">
        <f>IF(MODELAGEM!K103="NÃO","",MODELAGEM!M103)</f>
        <v/>
      </c>
      <c r="P48" s="1819"/>
      <c r="R48" s="531"/>
      <c r="S48" s="541" t="str">
        <f>IF(MODELAGEM!K112="NÃO","",IF(MODELAGEM!L112&gt;0,MODELAGEM!L112,""))</f>
        <v/>
      </c>
      <c r="T48" s="542" t="str">
        <f>IF(MODELAGEM!K112="NÃO","","×")</f>
        <v/>
      </c>
      <c r="U48" s="1818" t="str">
        <f>IF(MODELAGEM!K112="NÃO","",MODELAGEM!M112)</f>
        <v/>
      </c>
      <c r="V48" s="1819"/>
    </row>
    <row r="49" spans="5:22" x14ac:dyDescent="0.25">
      <c r="F49" s="531"/>
      <c r="G49" s="541" t="str">
        <f>IF(MODELAGEM!K96="NÃO","",IF(MODELAGEM!L96&gt;0,MODELAGEM!L96,""))</f>
        <v/>
      </c>
      <c r="H49" s="542" t="str">
        <f>IF(MODELAGEM!K96="NÃO","","×")</f>
        <v/>
      </c>
      <c r="I49" s="1818" t="str">
        <f>IF(MODELAGEM!K96="NÃO","",MODELAGEM!M96)</f>
        <v/>
      </c>
      <c r="J49" s="1819"/>
      <c r="L49" s="531"/>
      <c r="M49" s="541" t="str">
        <f>IF(MODELAGEM!K105="NÃO","",IF(MODELAGEM!L105&gt;0,MODELAGEM!L105,""))</f>
        <v/>
      </c>
      <c r="N49" s="542" t="str">
        <f>IF(MODELAGEM!K105="NÃO","","×")</f>
        <v/>
      </c>
      <c r="O49" s="1818" t="str">
        <f>IF(MODELAGEM!K105="NÃO","",MODELAGEM!M105)</f>
        <v/>
      </c>
      <c r="P49" s="1819"/>
      <c r="R49" s="531"/>
      <c r="S49" s="541" t="str">
        <f>IF(MODELAGEM!K114="NÃO","",IF(MODELAGEM!L114&gt;0,MODELAGEM!L114,""))</f>
        <v/>
      </c>
      <c r="T49" s="542" t="str">
        <f>IF(MODELAGEM!K114="NÃO","","×")</f>
        <v/>
      </c>
      <c r="U49" s="1818" t="str">
        <f>IF(MODELAGEM!K114="NÃO","",MODELAGEM!M114)</f>
        <v/>
      </c>
      <c r="V49" s="1819"/>
    </row>
    <row r="50" spans="5:22" x14ac:dyDescent="0.25">
      <c r="F50" s="531"/>
      <c r="G50" s="541" t="str">
        <f>IF(MODELAGEM!K98="NÃO","",IF(MODELAGEM!L98&gt;0,MODELAGEM!L98,""))</f>
        <v/>
      </c>
      <c r="H50" s="542" t="str">
        <f>IF(MODELAGEM!K98="NÃO","","×")</f>
        <v/>
      </c>
      <c r="I50" s="812" t="str">
        <f>IF(MODELAGEM!K98="NÃO","",MODELAGEM!M98)</f>
        <v/>
      </c>
      <c r="J50" s="813"/>
      <c r="L50" s="531"/>
      <c r="M50" s="541" t="str">
        <f>IF(MODELAGEM!K107="NÃO","",IF(MODELAGEM!L107&gt;0,MODELAGEM!L107,""))</f>
        <v/>
      </c>
      <c r="N50" s="542" t="str">
        <f>IF(MODELAGEM!K107="NÃO","","×")</f>
        <v/>
      </c>
      <c r="O50" s="812" t="str">
        <f>IF(MODELAGEM!K107="NÃO","",MODELAGEM!M107)</f>
        <v/>
      </c>
      <c r="P50" s="813"/>
      <c r="R50" s="531"/>
      <c r="S50" s="541" t="str">
        <f>IF(MODELAGEM!K116="NÃO","",IF(MODELAGEM!L116&gt;0,MODELAGEM!L116,""))</f>
        <v/>
      </c>
      <c r="T50" s="542" t="str">
        <f>IF(MODELAGEM!K116="NÃO","","×")</f>
        <v/>
      </c>
      <c r="U50" s="812" t="str">
        <f>IF(MODELAGEM!K116="NÃO","",MODELAGEM!M116)</f>
        <v/>
      </c>
      <c r="V50" s="813"/>
    </row>
    <row r="51" spans="5:22" x14ac:dyDescent="0.25">
      <c r="F51" s="532"/>
      <c r="G51" s="543"/>
      <c r="H51" s="544"/>
      <c r="I51" s="1853"/>
      <c r="J51" s="1854"/>
      <c r="L51" s="532"/>
      <c r="M51" s="543"/>
      <c r="N51" s="544"/>
      <c r="O51" s="1853"/>
      <c r="P51" s="1854"/>
      <c r="R51" s="532"/>
      <c r="S51" s="543"/>
      <c r="T51" s="544"/>
      <c r="U51" s="1853"/>
      <c r="V51" s="1854"/>
    </row>
    <row r="52" spans="5:22" x14ac:dyDescent="0.25">
      <c r="F52" s="533" t="s">
        <v>702</v>
      </c>
      <c r="G52" s="559" t="str">
        <f>IF(MODELAGEM!U92=0,"-",MODELAGEM!P92)</f>
        <v>-</v>
      </c>
      <c r="H52" s="559" t="s">
        <v>307</v>
      </c>
      <c r="I52" s="559" t="str">
        <f>IF(MODELAGEM!U92=0,"-",MODELAGEM!Q92)</f>
        <v>-</v>
      </c>
      <c r="J52" s="534" t="s">
        <v>325</v>
      </c>
      <c r="L52" s="533" t="s">
        <v>702</v>
      </c>
      <c r="M52" s="559" t="str">
        <f>IF(MODELAGEM!U101=0,"-",MODELAGEM!P101)</f>
        <v>-</v>
      </c>
      <c r="N52" s="559" t="s">
        <v>307</v>
      </c>
      <c r="O52" s="559" t="str">
        <f>IF(MODELAGEM!U101=0,"-",MODELAGEM!Q101)</f>
        <v>-</v>
      </c>
      <c r="P52" s="534" t="s">
        <v>325</v>
      </c>
      <c r="R52" s="533" t="s">
        <v>702</v>
      </c>
      <c r="S52" s="559" t="str">
        <f>IF(MODELAGEM!U110=0,"-",MODELAGEM!P110)</f>
        <v>-</v>
      </c>
      <c r="T52" s="559" t="s">
        <v>307</v>
      </c>
      <c r="U52" s="559" t="str">
        <f>IF(MODELAGEM!U110=0,"-",MODELAGEM!Q110)</f>
        <v>-</v>
      </c>
      <c r="V52" s="534" t="s">
        <v>325</v>
      </c>
    </row>
    <row r="53" spans="5:22" x14ac:dyDescent="0.25">
      <c r="F53" s="533" t="s">
        <v>389</v>
      </c>
      <c r="G53" s="330" t="str">
        <f>IF(MODELAGEM!U92=0,"-",SUM(MODELAGEM!U11:U92))</f>
        <v>-</v>
      </c>
      <c r="H53" s="535" t="s">
        <v>708</v>
      </c>
      <c r="I53" s="536">
        <f>I39</f>
        <v>2</v>
      </c>
      <c r="J53" s="534"/>
      <c r="L53" s="533" t="s">
        <v>389</v>
      </c>
      <c r="M53" s="330" t="str">
        <f>IF(MODELAGEM!U101=0,"-",SUM(MODELAGEM!U11:U101))</f>
        <v>-</v>
      </c>
      <c r="N53" s="535" t="s">
        <v>708</v>
      </c>
      <c r="O53" s="536">
        <f>I53</f>
        <v>2</v>
      </c>
      <c r="P53" s="534"/>
      <c r="R53" s="533" t="s">
        <v>389</v>
      </c>
      <c r="S53" s="330" t="str">
        <f>IF(MODELAGEM!U110=0,"-",SUM(MODELAGEM!U11:U110))</f>
        <v>-</v>
      </c>
      <c r="T53" s="535" t="s">
        <v>708</v>
      </c>
      <c r="U53" s="536">
        <f>O53</f>
        <v>2</v>
      </c>
      <c r="V53" s="534"/>
    </row>
    <row r="54" spans="5:22" x14ac:dyDescent="0.25">
      <c r="F54" s="1828" t="s">
        <v>723</v>
      </c>
      <c r="G54" s="1829"/>
      <c r="H54" s="1829" t="str">
        <f>H40</f>
        <v>Victor Ferreira</v>
      </c>
      <c r="I54" s="1829"/>
      <c r="J54" s="1832"/>
      <c r="L54" s="1828" t="s">
        <v>723</v>
      </c>
      <c r="M54" s="1829"/>
      <c r="N54" s="1829" t="str">
        <f>H54</f>
        <v>Victor Ferreira</v>
      </c>
      <c r="O54" s="1829"/>
      <c r="P54" s="1832"/>
      <c r="R54" s="1828" t="s">
        <v>723</v>
      </c>
      <c r="S54" s="1829"/>
      <c r="T54" s="1829" t="str">
        <f>N54</f>
        <v>Victor Ferreira</v>
      </c>
      <c r="U54" s="1829"/>
      <c r="V54" s="1832"/>
    </row>
    <row r="55" spans="5:22" ht="15.75" thickBot="1" x14ac:dyDescent="0.3">
      <c r="F55" s="531" t="s">
        <v>703</v>
      </c>
      <c r="G55" s="1825">
        <f>G41</f>
        <v>45182</v>
      </c>
      <c r="H55" s="1826"/>
      <c r="I55" s="1826"/>
      <c r="J55" s="1827"/>
      <c r="L55" s="531" t="s">
        <v>703</v>
      </c>
      <c r="M55" s="1825">
        <f>G55</f>
        <v>45182</v>
      </c>
      <c r="N55" s="1826"/>
      <c r="O55" s="1826"/>
      <c r="P55" s="1827"/>
      <c r="R55" s="531" t="s">
        <v>703</v>
      </c>
      <c r="S55" s="1825">
        <f>G55</f>
        <v>45182</v>
      </c>
      <c r="T55" s="1826"/>
      <c r="U55" s="1826"/>
      <c r="V55" s="1827"/>
    </row>
    <row r="56" spans="5:22" ht="15.75" thickBot="1" x14ac:dyDescent="0.3">
      <c r="F56" s="558" t="s">
        <v>725</v>
      </c>
      <c r="G56" s="1812" t="str">
        <f>IF(MODELAGEM!I99=0," ",MODELAGEM!I99)</f>
        <v xml:space="preserve"> </v>
      </c>
      <c r="H56" s="1812"/>
      <c r="I56" s="1812"/>
      <c r="J56" s="1813"/>
      <c r="L56" s="558" t="s">
        <v>725</v>
      </c>
      <c r="M56" s="1812" t="str">
        <f>IF(MODELAGEM!I108=0," ",MODELAGEM!I108)</f>
        <v xml:space="preserve"> </v>
      </c>
      <c r="N56" s="1812"/>
      <c r="O56" s="1812"/>
      <c r="P56" s="1813"/>
      <c r="R56" s="558" t="s">
        <v>725</v>
      </c>
      <c r="S56" s="1812" t="str">
        <f>IF(MODELAGEM!I117=0," ",MODELAGEM!I117)</f>
        <v xml:space="preserve"> </v>
      </c>
      <c r="T56" s="1812"/>
      <c r="U56" s="1812"/>
      <c r="V56" s="1813"/>
    </row>
    <row r="57" spans="5:22" ht="15.75" thickBot="1" x14ac:dyDescent="0.3"/>
    <row r="58" spans="5:22" ht="15.75" thickBot="1" x14ac:dyDescent="0.3">
      <c r="E58">
        <f>E44+3</f>
        <v>13</v>
      </c>
      <c r="F58" s="1833" t="str">
        <f>F44</f>
        <v>VMORDEKAI</v>
      </c>
      <c r="G58" s="1834"/>
      <c r="H58" s="1834"/>
      <c r="I58" s="1834"/>
      <c r="J58" s="1835"/>
      <c r="K58">
        <f>E58+1</f>
        <v>14</v>
      </c>
      <c r="L58" s="1833" t="str">
        <f>F58</f>
        <v>VMORDEKAI</v>
      </c>
      <c r="M58" s="1834"/>
      <c r="N58" s="1834"/>
      <c r="O58" s="1834"/>
      <c r="P58" s="1835"/>
      <c r="Q58">
        <f>K58+1</f>
        <v>15</v>
      </c>
      <c r="R58" s="1833" t="str">
        <f>L58</f>
        <v>VMORDEKAI</v>
      </c>
      <c r="S58" s="1834"/>
      <c r="T58" s="1834"/>
      <c r="U58" s="1834"/>
      <c r="V58" s="1835"/>
    </row>
    <row r="59" spans="5:22" x14ac:dyDescent="0.25">
      <c r="E59" s="814">
        <f>MODELAGEM!U119</f>
        <v>0</v>
      </c>
      <c r="F59" s="1822" t="str">
        <f>F45</f>
        <v>REF. NOME + Nº - 15H x 10B x 5L (cm)</v>
      </c>
      <c r="G59" s="1823"/>
      <c r="H59" s="1823"/>
      <c r="I59" s="1823"/>
      <c r="J59" s="1824"/>
      <c r="K59" s="814">
        <f>MODELAGEM!U128</f>
        <v>0</v>
      </c>
      <c r="L59" s="1822" t="str">
        <f>F59</f>
        <v>REF. NOME + Nº - 15H x 10B x 5L (cm)</v>
      </c>
      <c r="M59" s="1823"/>
      <c r="N59" s="1823"/>
      <c r="O59" s="1823"/>
      <c r="P59" s="1824"/>
      <c r="Q59" s="814">
        <f>MODELAGEM!U137</f>
        <v>0</v>
      </c>
      <c r="R59" s="1822" t="str">
        <f>L59</f>
        <v>REF. NOME + Nº - 15H x 10B x 5L (cm)</v>
      </c>
      <c r="S59" s="1823"/>
      <c r="T59" s="1823"/>
      <c r="U59" s="1823"/>
      <c r="V59" s="1824"/>
    </row>
    <row r="60" spans="5:22" x14ac:dyDescent="0.25">
      <c r="F60" s="533" t="s">
        <v>700</v>
      </c>
      <c r="G60" s="1814" t="str">
        <f>MODELAGEM!H120</f>
        <v>NOME</v>
      </c>
      <c r="H60" s="1814"/>
      <c r="I60" s="1814"/>
      <c r="J60" s="1815"/>
      <c r="L60" s="533" t="s">
        <v>700</v>
      </c>
      <c r="M60" s="1814" t="str">
        <f>MODELAGEM!H129</f>
        <v>NOME</v>
      </c>
      <c r="N60" s="1814"/>
      <c r="O60" s="1814"/>
      <c r="P60" s="1815"/>
      <c r="R60" s="533" t="s">
        <v>700</v>
      </c>
      <c r="S60" s="1814" t="str">
        <f>MODELAGEM!H138</f>
        <v>NOME</v>
      </c>
      <c r="T60" s="1814"/>
      <c r="U60" s="1814"/>
      <c r="V60" s="1815"/>
    </row>
    <row r="61" spans="5:22" x14ac:dyDescent="0.25">
      <c r="F61" s="531" t="s">
        <v>701</v>
      </c>
      <c r="G61" s="541" t="str">
        <f>IF(MODELAGEM!K119="NÃO","",IF(MODELAGEM!L119&gt;0,MODELAGEM!L119,""))</f>
        <v/>
      </c>
      <c r="H61" s="542" t="str">
        <f>IF(MODELAGEM!K119="NÃO","","×")</f>
        <v/>
      </c>
      <c r="I61" s="1818" t="str">
        <f>IF(MODELAGEM!K119="NÃO","",MODELAGEM!M119)</f>
        <v/>
      </c>
      <c r="J61" s="1819"/>
      <c r="L61" s="531" t="s">
        <v>701</v>
      </c>
      <c r="M61" s="541" t="str">
        <f>IF(MODELAGEM!K128="NÃO","",IF(MODELAGEM!L128&gt;0,MODELAGEM!L128,""))</f>
        <v/>
      </c>
      <c r="N61" s="542" t="str">
        <f>IF(MODELAGEM!K128="NÃO","","×")</f>
        <v/>
      </c>
      <c r="O61" s="1818" t="str">
        <f>IF(MODELAGEM!K128="NÃO","",MODELAGEM!M128)</f>
        <v/>
      </c>
      <c r="P61" s="1819"/>
      <c r="R61" s="531" t="s">
        <v>701</v>
      </c>
      <c r="S61" s="541" t="str">
        <f>IF(MODELAGEM!K137="NÃO","",IF(MODELAGEM!L137&gt;0,MODELAGEM!L137,""))</f>
        <v/>
      </c>
      <c r="T61" s="542" t="str">
        <f>IF(MODELAGEM!K137="NÃO","","×")</f>
        <v/>
      </c>
      <c r="U61" s="1818" t="str">
        <f>IF(MODELAGEM!K137="NÃO","",MODELAGEM!M137)</f>
        <v/>
      </c>
      <c r="V61" s="1819"/>
    </row>
    <row r="62" spans="5:22" x14ac:dyDescent="0.25">
      <c r="F62" s="531"/>
      <c r="G62" s="541" t="str">
        <f>IF(MODELAGEM!K121="NÃO","",IF(MODELAGEM!L121&gt;0,MODELAGEM!L121,""))</f>
        <v/>
      </c>
      <c r="H62" s="542" t="str">
        <f>IF(MODELAGEM!K121="NÃO","","×")</f>
        <v/>
      </c>
      <c r="I62" s="1818" t="str">
        <f>IF(MODELAGEM!K121="NÃO","",MODELAGEM!M121)</f>
        <v/>
      </c>
      <c r="J62" s="1819"/>
      <c r="L62" s="531"/>
      <c r="M62" s="541" t="str">
        <f>IF(MODELAGEM!K130="NÃO","",IF(MODELAGEM!L130&gt;0,MODELAGEM!L130,""))</f>
        <v/>
      </c>
      <c r="N62" s="542" t="str">
        <f>IF(MODELAGEM!K130="NÃO","","×")</f>
        <v/>
      </c>
      <c r="O62" s="1818" t="str">
        <f>IF(MODELAGEM!K130="NÃO","",MODELAGEM!M130)</f>
        <v/>
      </c>
      <c r="P62" s="1819"/>
      <c r="R62" s="531"/>
      <c r="S62" s="541" t="str">
        <f>IF(MODELAGEM!K139="NÃO","",IF(MODELAGEM!L139&gt;0,MODELAGEM!L139,""))</f>
        <v/>
      </c>
      <c r="T62" s="542" t="str">
        <f>IF(MODELAGEM!K139="NÃO","","×")</f>
        <v/>
      </c>
      <c r="U62" s="1818" t="str">
        <f>IF(MODELAGEM!K139="NÃO","",MODELAGEM!M139)</f>
        <v/>
      </c>
      <c r="V62" s="1819"/>
    </row>
    <row r="63" spans="5:22" x14ac:dyDescent="0.25">
      <c r="F63" s="531"/>
      <c r="G63" s="541" t="str">
        <f>IF(MODELAGEM!K123="NÃO","",IF(MODELAGEM!L123&gt;0,MODELAGEM!L123,""))</f>
        <v/>
      </c>
      <c r="H63" s="542" t="str">
        <f>IF(MODELAGEM!K123="NÃO","","×")</f>
        <v/>
      </c>
      <c r="I63" s="1818" t="str">
        <f>IF(MODELAGEM!K123="NÃO","",MODELAGEM!M123)</f>
        <v/>
      </c>
      <c r="J63" s="1819"/>
      <c r="L63" s="531"/>
      <c r="M63" s="541" t="str">
        <f>IF(MODELAGEM!K132="NÃO","",IF(MODELAGEM!L132&gt;0,MODELAGEM!L132,""))</f>
        <v/>
      </c>
      <c r="N63" s="542" t="str">
        <f>IF(MODELAGEM!K132="NÃO","","×")</f>
        <v/>
      </c>
      <c r="O63" s="1818" t="str">
        <f>IF(MODELAGEM!K132="NÃO","",MODELAGEM!M132)</f>
        <v/>
      </c>
      <c r="P63" s="1819"/>
      <c r="R63" s="531"/>
      <c r="S63" s="541" t="str">
        <f>IF(MODELAGEM!K141="NÃO","",IF(MODELAGEM!L141&gt;0,MODELAGEM!L141,""))</f>
        <v/>
      </c>
      <c r="T63" s="542" t="str">
        <f>IF(MODELAGEM!K141="NÃO","","×")</f>
        <v/>
      </c>
      <c r="U63" s="1818" t="str">
        <f>IF(MODELAGEM!K141="NÃO","",MODELAGEM!M141)</f>
        <v/>
      </c>
      <c r="V63" s="1819"/>
    </row>
    <row r="64" spans="5:22" x14ac:dyDescent="0.25">
      <c r="F64" s="531"/>
      <c r="G64" s="541" t="str">
        <f>IF(MODELAGEM!K125="NÃO","",IF(MODELAGEM!L125&gt;0,MODELAGEM!L125,""))</f>
        <v/>
      </c>
      <c r="H64" s="542" t="str">
        <f>IF(MODELAGEM!K125="NÃO","","×")</f>
        <v/>
      </c>
      <c r="I64" s="812" t="str">
        <f>IF(MODELAGEM!K125="NÃO","",MODELAGEM!M125)</f>
        <v/>
      </c>
      <c r="J64" s="813"/>
      <c r="L64" s="531"/>
      <c r="M64" s="541" t="str">
        <f>IF(MODELAGEM!K134="NÃO","",IF(MODELAGEM!L134&gt;0,MODELAGEM!L134,""))</f>
        <v/>
      </c>
      <c r="N64" s="542" t="str">
        <f>IF(MODELAGEM!K134="NÃO","","×")</f>
        <v/>
      </c>
      <c r="O64" s="812" t="str">
        <f>IF(MODELAGEM!K134="NÃO","",MODELAGEM!M134)</f>
        <v/>
      </c>
      <c r="P64" s="813"/>
      <c r="R64" s="531"/>
      <c r="S64" s="541" t="str">
        <f>IF(MODELAGEM!K143="NÃO","",IF(MODELAGEM!L143&gt;0,MODELAGEM!L143,""))</f>
        <v/>
      </c>
      <c r="T64" s="542" t="str">
        <f>IF(MODELAGEM!K143="NÃO","","×")</f>
        <v/>
      </c>
      <c r="U64" s="812" t="str">
        <f>IF(MODELAGEM!K143="NÃO","",MODELAGEM!M143)</f>
        <v/>
      </c>
      <c r="V64" s="813"/>
    </row>
    <row r="65" spans="5:22" x14ac:dyDescent="0.25">
      <c r="F65" s="532"/>
      <c r="G65" s="543"/>
      <c r="H65" s="544"/>
      <c r="I65" s="1853"/>
      <c r="J65" s="1854"/>
      <c r="L65" s="532"/>
      <c r="M65" s="543"/>
      <c r="N65" s="544"/>
      <c r="O65" s="1853"/>
      <c r="P65" s="1854"/>
      <c r="R65" s="532"/>
      <c r="S65" s="543"/>
      <c r="T65" s="544"/>
      <c r="U65" s="1853"/>
      <c r="V65" s="1854"/>
    </row>
    <row r="66" spans="5:22" x14ac:dyDescent="0.25">
      <c r="F66" s="533" t="s">
        <v>702</v>
      </c>
      <c r="G66" s="559" t="str">
        <f>IF(MODELAGEM!U119=0,"-",MODELAGEM!P119)</f>
        <v>-</v>
      </c>
      <c r="H66" s="559" t="s">
        <v>307</v>
      </c>
      <c r="I66" s="559" t="str">
        <f>IF(MODELAGEM!U119=0,"-",MODELAGEM!Q119)</f>
        <v>-</v>
      </c>
      <c r="J66" s="534" t="s">
        <v>325</v>
      </c>
      <c r="L66" s="533" t="s">
        <v>702</v>
      </c>
      <c r="M66" s="559" t="str">
        <f>IF(MODELAGEM!U128=0,"-",MODELAGEM!P128)</f>
        <v>-</v>
      </c>
      <c r="N66" s="559" t="s">
        <v>307</v>
      </c>
      <c r="O66" s="559" t="str">
        <f>IF(MODELAGEM!U128=0,"-",MODELAGEM!Q128)</f>
        <v>-</v>
      </c>
      <c r="P66" s="534" t="s">
        <v>325</v>
      </c>
      <c r="R66" s="533" t="s">
        <v>702</v>
      </c>
      <c r="S66" s="559" t="str">
        <f>IF(MODELAGEM!U137=0,"-",MODELAGEM!P137)</f>
        <v>-</v>
      </c>
      <c r="T66" s="559" t="s">
        <v>307</v>
      </c>
      <c r="U66" s="559" t="str">
        <f>IF(MODELAGEM!U137=0,"-",MODELAGEM!Q137)</f>
        <v>-</v>
      </c>
      <c r="V66" s="534" t="s">
        <v>325</v>
      </c>
    </row>
    <row r="67" spans="5:22" x14ac:dyDescent="0.25">
      <c r="F67" s="533" t="s">
        <v>389</v>
      </c>
      <c r="G67" s="330" t="str">
        <f>IF(MODELAGEM!U119=0,"-",SUM(MODELAGEM!U11:U119))</f>
        <v>-</v>
      </c>
      <c r="H67" s="535" t="s">
        <v>708</v>
      </c>
      <c r="I67" s="536">
        <f>I53</f>
        <v>2</v>
      </c>
      <c r="J67" s="534"/>
      <c r="L67" s="533" t="s">
        <v>389</v>
      </c>
      <c r="M67" s="330" t="str">
        <f>IF(MODELAGEM!U128=0,"-",SUM(MODELAGEM!U11:U128))</f>
        <v>-</v>
      </c>
      <c r="N67" s="535" t="s">
        <v>708</v>
      </c>
      <c r="O67" s="536">
        <f>I67</f>
        <v>2</v>
      </c>
      <c r="P67" s="534"/>
      <c r="R67" s="533" t="s">
        <v>389</v>
      </c>
      <c r="S67" s="330" t="str">
        <f>IF(MODELAGEM!U137=0,"-",SUM(MODELAGEM!U11:U137))</f>
        <v>-</v>
      </c>
      <c r="T67" s="535" t="s">
        <v>708</v>
      </c>
      <c r="U67" s="536">
        <f>O67</f>
        <v>2</v>
      </c>
      <c r="V67" s="534"/>
    </row>
    <row r="68" spans="5:22" x14ac:dyDescent="0.25">
      <c r="F68" s="1828" t="s">
        <v>723</v>
      </c>
      <c r="G68" s="1829"/>
      <c r="H68" s="1829" t="str">
        <f>H54</f>
        <v>Victor Ferreira</v>
      </c>
      <c r="I68" s="1829"/>
      <c r="J68" s="1832"/>
      <c r="L68" s="1828" t="s">
        <v>723</v>
      </c>
      <c r="M68" s="1829"/>
      <c r="N68" s="1829" t="str">
        <f>H68</f>
        <v>Victor Ferreira</v>
      </c>
      <c r="O68" s="1829"/>
      <c r="P68" s="1832"/>
      <c r="R68" s="1828" t="s">
        <v>723</v>
      </c>
      <c r="S68" s="1829"/>
      <c r="T68" s="1829" t="str">
        <f>N68</f>
        <v>Victor Ferreira</v>
      </c>
      <c r="U68" s="1829"/>
      <c r="V68" s="1832"/>
    </row>
    <row r="69" spans="5:22" ht="15.75" thickBot="1" x14ac:dyDescent="0.3">
      <c r="F69" s="531" t="s">
        <v>703</v>
      </c>
      <c r="G69" s="1825">
        <f>G55</f>
        <v>45182</v>
      </c>
      <c r="H69" s="1826"/>
      <c r="I69" s="1826"/>
      <c r="J69" s="1827"/>
      <c r="L69" s="531" t="s">
        <v>703</v>
      </c>
      <c r="M69" s="1825">
        <f>G69</f>
        <v>45182</v>
      </c>
      <c r="N69" s="1826"/>
      <c r="O69" s="1826"/>
      <c r="P69" s="1827"/>
      <c r="R69" s="531" t="s">
        <v>703</v>
      </c>
      <c r="S69" s="1825">
        <f>M69</f>
        <v>45182</v>
      </c>
      <c r="T69" s="1826"/>
      <c r="U69" s="1826"/>
      <c r="V69" s="1827"/>
    </row>
    <row r="70" spans="5:22" ht="15.75" thickBot="1" x14ac:dyDescent="0.3">
      <c r="F70" s="558" t="s">
        <v>725</v>
      </c>
      <c r="G70" s="1812" t="str">
        <f>IF(MODELAGEM!I126=0," ",MODELAGEM!I126)</f>
        <v xml:space="preserve"> </v>
      </c>
      <c r="H70" s="1812"/>
      <c r="I70" s="1812"/>
      <c r="J70" s="1813"/>
      <c r="L70" s="558" t="s">
        <v>725</v>
      </c>
      <c r="M70" s="1812" t="str">
        <f>IF(MODELAGEM!I135=0," ",MODELAGEM!I135)</f>
        <v xml:space="preserve"> </v>
      </c>
      <c r="N70" s="1812"/>
      <c r="O70" s="1812"/>
      <c r="P70" s="1813"/>
      <c r="R70" s="558" t="s">
        <v>725</v>
      </c>
      <c r="S70" s="1812" t="str">
        <f>IF(MODELAGEM!I144=0," ",MODELAGEM!I144)</f>
        <v xml:space="preserve"> </v>
      </c>
      <c r="T70" s="1812"/>
      <c r="U70" s="1812"/>
      <c r="V70" s="1813"/>
    </row>
    <row r="71" spans="5:22" ht="15.75" thickBot="1" x14ac:dyDescent="0.3"/>
    <row r="72" spans="5:22" ht="15.75" thickBot="1" x14ac:dyDescent="0.3">
      <c r="E72">
        <f>E58+3</f>
        <v>16</v>
      </c>
      <c r="F72" s="1833" t="str">
        <f>F58</f>
        <v>VMORDEKAI</v>
      </c>
      <c r="G72" s="1834"/>
      <c r="H72" s="1834"/>
      <c r="I72" s="1834"/>
      <c r="J72" s="1835"/>
      <c r="K72">
        <f>E72+1</f>
        <v>17</v>
      </c>
      <c r="L72" s="1833" t="str">
        <f>F72</f>
        <v>VMORDEKAI</v>
      </c>
      <c r="M72" s="1834"/>
      <c r="N72" s="1834"/>
      <c r="O72" s="1834"/>
      <c r="P72" s="1835"/>
      <c r="Q72">
        <f>K72+1</f>
        <v>18</v>
      </c>
      <c r="R72" s="1833" t="str">
        <f>L72</f>
        <v>VMORDEKAI</v>
      </c>
      <c r="S72" s="1834"/>
      <c r="T72" s="1834"/>
      <c r="U72" s="1834"/>
      <c r="V72" s="1835"/>
    </row>
    <row r="73" spans="5:22" x14ac:dyDescent="0.25">
      <c r="E73" s="814">
        <f>MODELAGEM!U146</f>
        <v>0</v>
      </c>
      <c r="F73" s="1822" t="str">
        <f>F59</f>
        <v>REF. NOME + Nº - 15H x 10B x 5L (cm)</v>
      </c>
      <c r="G73" s="1823"/>
      <c r="H73" s="1823"/>
      <c r="I73" s="1823"/>
      <c r="J73" s="1824"/>
      <c r="K73" s="814">
        <f>MODELAGEM!U155</f>
        <v>0</v>
      </c>
      <c r="L73" s="1822" t="str">
        <f>F73</f>
        <v>REF. NOME + Nº - 15H x 10B x 5L (cm)</v>
      </c>
      <c r="M73" s="1823"/>
      <c r="N73" s="1823"/>
      <c r="O73" s="1823"/>
      <c r="P73" s="1824"/>
      <c r="Q73" s="814">
        <f>MODELAGEM!U164</f>
        <v>0</v>
      </c>
      <c r="R73" s="1822" t="str">
        <f>L73</f>
        <v>REF. NOME + Nº - 15H x 10B x 5L (cm)</v>
      </c>
      <c r="S73" s="1823"/>
      <c r="T73" s="1823"/>
      <c r="U73" s="1823"/>
      <c r="V73" s="1824"/>
    </row>
    <row r="74" spans="5:22" x14ac:dyDescent="0.25">
      <c r="F74" s="533" t="s">
        <v>700</v>
      </c>
      <c r="G74" s="1814" t="str">
        <f>MODELAGEM!H147</f>
        <v>NOME</v>
      </c>
      <c r="H74" s="1814"/>
      <c r="I74" s="1814"/>
      <c r="J74" s="1815"/>
      <c r="L74" s="533" t="s">
        <v>700</v>
      </c>
      <c r="M74" s="1814" t="str">
        <f>MODELAGEM!H156</f>
        <v>NOME</v>
      </c>
      <c r="N74" s="1814"/>
      <c r="O74" s="1814"/>
      <c r="P74" s="1815"/>
      <c r="R74" s="533" t="s">
        <v>700</v>
      </c>
      <c r="S74" s="1814" t="str">
        <f>MODELAGEM!H165</f>
        <v>NOME</v>
      </c>
      <c r="T74" s="1814"/>
      <c r="U74" s="1814"/>
      <c r="V74" s="1815"/>
    </row>
    <row r="75" spans="5:22" x14ac:dyDescent="0.25">
      <c r="F75" s="531" t="s">
        <v>701</v>
      </c>
      <c r="G75" s="541" t="str">
        <f>IF(MODELAGEM!K146="NÃO","",IF(MODELAGEM!L146&gt;0,MODELAGEM!L146,""))</f>
        <v/>
      </c>
      <c r="H75" s="542" t="str">
        <f>IF(MODELAGEM!K146="NÃO","","×")</f>
        <v/>
      </c>
      <c r="I75" s="1818" t="str">
        <f>IF(MODELAGEM!K146="NÃO","",MODELAGEM!M146)</f>
        <v/>
      </c>
      <c r="J75" s="1819"/>
      <c r="L75" s="531" t="s">
        <v>701</v>
      </c>
      <c r="M75" s="541" t="str">
        <f>IF(MODELAGEM!K155="NÃO","",IF(MODELAGEM!L155&gt;0,MODELAGEM!L155,""))</f>
        <v/>
      </c>
      <c r="N75" s="542" t="str">
        <f>IF(MODELAGEM!K155="NÃO","","×")</f>
        <v/>
      </c>
      <c r="O75" s="1818" t="str">
        <f>IF(MODELAGEM!K155="NÃO","",MODELAGEM!M155)</f>
        <v/>
      </c>
      <c r="P75" s="1819"/>
      <c r="R75" s="531" t="s">
        <v>701</v>
      </c>
      <c r="S75" s="541" t="str">
        <f>IF(MODELAGEM!K164="NÃO","",IF(MODELAGEM!L164&gt;0,MODELAGEM!L164,""))</f>
        <v/>
      </c>
      <c r="T75" s="542" t="str">
        <f>IF(MODELAGEM!K164="NÃO","","×")</f>
        <v/>
      </c>
      <c r="U75" s="1818" t="str">
        <f>IF(MODELAGEM!K164="NÃO","",MODELAGEM!M164)</f>
        <v/>
      </c>
      <c r="V75" s="1819"/>
    </row>
    <row r="76" spans="5:22" x14ac:dyDescent="0.25">
      <c r="F76" s="531"/>
      <c r="G76" s="541" t="str">
        <f>IF(MODELAGEM!K148="NÃO","",IF(MODELAGEM!L148&gt;0,MODELAGEM!L148,""))</f>
        <v/>
      </c>
      <c r="H76" s="542" t="str">
        <f>IF(MODELAGEM!K148="NÃO","","×")</f>
        <v/>
      </c>
      <c r="I76" s="1818" t="str">
        <f>IF(MODELAGEM!K148="NÃO","",MODELAGEM!M148)</f>
        <v/>
      </c>
      <c r="J76" s="1819"/>
      <c r="L76" s="531"/>
      <c r="M76" s="541" t="str">
        <f>IF(MODELAGEM!K157="NÃO","",IF(MODELAGEM!L157&gt;0,MODELAGEM!L157,""))</f>
        <v/>
      </c>
      <c r="N76" s="542" t="str">
        <f>IF(MODELAGEM!K157="NÃO","","×")</f>
        <v/>
      </c>
      <c r="O76" s="1818" t="str">
        <f>IF(MODELAGEM!K157="NÃO","",MODELAGEM!M157)</f>
        <v/>
      </c>
      <c r="P76" s="1819"/>
      <c r="R76" s="531"/>
      <c r="S76" s="541" t="str">
        <f>IF(MODELAGEM!K166="NÃO","",IF(MODELAGEM!L166&gt;0,MODELAGEM!L166,""))</f>
        <v/>
      </c>
      <c r="T76" s="542" t="str">
        <f>IF(MODELAGEM!K166="NÃO","","×")</f>
        <v/>
      </c>
      <c r="U76" s="1818" t="str">
        <f>IF(MODELAGEM!K166="NÃO","",MODELAGEM!M166)</f>
        <v/>
      </c>
      <c r="V76" s="1819"/>
    </row>
    <row r="77" spans="5:22" x14ac:dyDescent="0.25">
      <c r="F77" s="531"/>
      <c r="G77" s="541" t="str">
        <f>IF(MODELAGEM!K150="NÃO","",IF(MODELAGEM!L150&gt;0,MODELAGEM!L150,""))</f>
        <v/>
      </c>
      <c r="H77" s="542" t="str">
        <f>IF(MODELAGEM!K150="NÃO","","×")</f>
        <v/>
      </c>
      <c r="I77" s="1818" t="str">
        <f>IF(MODELAGEM!K150="NÃO","",MODELAGEM!M150)</f>
        <v/>
      </c>
      <c r="J77" s="1819"/>
      <c r="L77" s="531"/>
      <c r="M77" s="541" t="str">
        <f>IF(MODELAGEM!K159="NÃO","",IF(MODELAGEM!L159&gt;0,MODELAGEM!L159,""))</f>
        <v/>
      </c>
      <c r="N77" s="542" t="str">
        <f>IF(MODELAGEM!K159="NÃO","","×")</f>
        <v/>
      </c>
      <c r="O77" s="1818" t="str">
        <f>IF(MODELAGEM!K159="NÃO","",MODELAGEM!M159)</f>
        <v/>
      </c>
      <c r="P77" s="1819"/>
      <c r="R77" s="531"/>
      <c r="S77" s="541" t="str">
        <f>IF(MODELAGEM!K168="NÃO","",IF(MODELAGEM!L168&gt;0,MODELAGEM!L168,""))</f>
        <v/>
      </c>
      <c r="T77" s="542" t="str">
        <f>IF(MODELAGEM!K168="NÃO","","×")</f>
        <v/>
      </c>
      <c r="U77" s="1818" t="str">
        <f>IF(MODELAGEM!K168="NÃO","",MODELAGEM!M168)</f>
        <v/>
      </c>
      <c r="V77" s="1819"/>
    </row>
    <row r="78" spans="5:22" x14ac:dyDescent="0.25">
      <c r="F78" s="531"/>
      <c r="G78" s="541" t="str">
        <f>IF(MODELAGEM!K152="NÃO","",IF(MODELAGEM!L152&gt;0,MODELAGEM!L152,""))</f>
        <v/>
      </c>
      <c r="H78" s="542" t="str">
        <f>IF(MODELAGEM!K152="NÃO","","×")</f>
        <v/>
      </c>
      <c r="I78" s="812" t="str">
        <f>IF(MODELAGEM!K152="NÃO","",MODELAGEM!M152)</f>
        <v/>
      </c>
      <c r="J78" s="813"/>
      <c r="L78" s="531"/>
      <c r="M78" s="541" t="str">
        <f>IF(MODELAGEM!K161="NÃO","",IF(MODELAGEM!L161&gt;0,MODELAGEM!L161,""))</f>
        <v/>
      </c>
      <c r="N78" s="542" t="str">
        <f>IF(MODELAGEM!K161="NÃO","","×")</f>
        <v/>
      </c>
      <c r="O78" s="812" t="str">
        <f>IF(MODELAGEM!K161="NÃO","",MODELAGEM!M161)</f>
        <v/>
      </c>
      <c r="P78" s="813"/>
      <c r="R78" s="531"/>
      <c r="S78" s="541" t="str">
        <f>IF(MODELAGEM!K170="NÃO","",IF(MODELAGEM!L170&gt;0,MODELAGEM!L170,""))</f>
        <v/>
      </c>
      <c r="T78" s="542" t="str">
        <f>IF(MODELAGEM!K170="NÃO","","×")</f>
        <v/>
      </c>
      <c r="U78" s="812" t="str">
        <f>IF(MODELAGEM!K170="NÃO","",MODELAGEM!M170)</f>
        <v/>
      </c>
      <c r="V78" s="813"/>
    </row>
    <row r="79" spans="5:22" x14ac:dyDescent="0.25">
      <c r="F79" s="532"/>
      <c r="G79" s="543"/>
      <c r="H79" s="544"/>
      <c r="I79" s="1853"/>
      <c r="J79" s="1854"/>
      <c r="L79" s="532"/>
      <c r="M79" s="543"/>
      <c r="N79" s="544"/>
      <c r="O79" s="1853"/>
      <c r="P79" s="1854"/>
      <c r="R79" s="532"/>
      <c r="S79" s="543"/>
      <c r="T79" s="544"/>
      <c r="U79" s="1853"/>
      <c r="V79" s="1854"/>
    </row>
    <row r="80" spans="5:22" x14ac:dyDescent="0.25">
      <c r="F80" s="533" t="s">
        <v>702</v>
      </c>
      <c r="G80" s="559" t="str">
        <f>IF(MODELAGEM!U146=0,"-",MODELAGEM!P146)</f>
        <v>-</v>
      </c>
      <c r="H80" s="559" t="s">
        <v>307</v>
      </c>
      <c r="I80" s="559" t="str">
        <f>IF(MODELAGEM!U146=0,"-",MODELAGEM!Q146)</f>
        <v>-</v>
      </c>
      <c r="J80" s="534" t="s">
        <v>325</v>
      </c>
      <c r="L80" s="533" t="s">
        <v>702</v>
      </c>
      <c r="M80" s="559" t="str">
        <f>IF(MODELAGEM!U155=0,"-",MODELAGEM!P155)</f>
        <v>-</v>
      </c>
      <c r="N80" s="559" t="s">
        <v>307</v>
      </c>
      <c r="O80" s="559" t="str">
        <f>IF(MODELAGEM!U155=0,"-",MODELAGEM!Q155)</f>
        <v>-</v>
      </c>
      <c r="P80" s="534" t="s">
        <v>325</v>
      </c>
      <c r="R80" s="533" t="s">
        <v>702</v>
      </c>
      <c r="S80" s="559" t="str">
        <f>IF(MODELAGEM!U164=0,"-",MODELAGEM!P164)</f>
        <v>-</v>
      </c>
      <c r="T80" s="559" t="s">
        <v>307</v>
      </c>
      <c r="U80" s="559" t="str">
        <f>IF(MODELAGEM!U164=0,"-",MODELAGEM!Q164)</f>
        <v>-</v>
      </c>
      <c r="V80" s="534" t="s">
        <v>325</v>
      </c>
    </row>
    <row r="81" spans="5:22" x14ac:dyDescent="0.25">
      <c r="F81" s="533" t="s">
        <v>389</v>
      </c>
      <c r="G81" s="330" t="str">
        <f>IF(MODELAGEM!U146=0,"-",SUM(MODELAGEM!U11:U146))</f>
        <v>-</v>
      </c>
      <c r="H81" s="535" t="s">
        <v>708</v>
      </c>
      <c r="I81" s="536">
        <f>I67</f>
        <v>2</v>
      </c>
      <c r="J81" s="534"/>
      <c r="L81" s="533" t="s">
        <v>389</v>
      </c>
      <c r="M81" s="330" t="str">
        <f>IF(MODELAGEM!U155=0,"-",SUM(MODELAGEM!U11:U155))</f>
        <v>-</v>
      </c>
      <c r="N81" s="535" t="s">
        <v>708</v>
      </c>
      <c r="O81" s="536">
        <f>I81</f>
        <v>2</v>
      </c>
      <c r="P81" s="534"/>
      <c r="R81" s="533" t="s">
        <v>389</v>
      </c>
      <c r="S81" s="330" t="str">
        <f>IF(MODELAGEM!U164=0,"-",SUM(MODELAGEM!U11:U164))</f>
        <v>-</v>
      </c>
      <c r="T81" s="535" t="s">
        <v>708</v>
      </c>
      <c r="U81" s="536">
        <f>O81</f>
        <v>2</v>
      </c>
      <c r="V81" s="534"/>
    </row>
    <row r="82" spans="5:22" x14ac:dyDescent="0.25">
      <c r="F82" s="1828" t="s">
        <v>723</v>
      </c>
      <c r="G82" s="1829"/>
      <c r="H82" s="1829" t="str">
        <f>H68</f>
        <v>Victor Ferreira</v>
      </c>
      <c r="I82" s="1829"/>
      <c r="J82" s="1832"/>
      <c r="L82" s="1828" t="s">
        <v>723</v>
      </c>
      <c r="M82" s="1829"/>
      <c r="N82" s="1829" t="str">
        <f>H82</f>
        <v>Victor Ferreira</v>
      </c>
      <c r="O82" s="1829"/>
      <c r="P82" s="1832"/>
      <c r="R82" s="1828" t="s">
        <v>723</v>
      </c>
      <c r="S82" s="1829"/>
      <c r="T82" s="1829" t="str">
        <f>N82</f>
        <v>Victor Ferreira</v>
      </c>
      <c r="U82" s="1829"/>
      <c r="V82" s="1832"/>
    </row>
    <row r="83" spans="5:22" ht="15.75" thickBot="1" x14ac:dyDescent="0.3">
      <c r="F83" s="531" t="s">
        <v>703</v>
      </c>
      <c r="G83" s="1825">
        <f>G69</f>
        <v>45182</v>
      </c>
      <c r="H83" s="1826"/>
      <c r="I83" s="1826"/>
      <c r="J83" s="1827"/>
      <c r="L83" s="531" t="s">
        <v>703</v>
      </c>
      <c r="M83" s="1825">
        <f>G83</f>
        <v>45182</v>
      </c>
      <c r="N83" s="1826"/>
      <c r="O83" s="1826"/>
      <c r="P83" s="1827"/>
      <c r="R83" s="531" t="s">
        <v>703</v>
      </c>
      <c r="S83" s="1825">
        <f>M83</f>
        <v>45182</v>
      </c>
      <c r="T83" s="1826"/>
      <c r="U83" s="1826"/>
      <c r="V83" s="1827"/>
    </row>
    <row r="84" spans="5:22" ht="15.75" thickBot="1" x14ac:dyDescent="0.3">
      <c r="F84" s="558" t="s">
        <v>725</v>
      </c>
      <c r="G84" s="1812" t="str">
        <f>IF(MODELAGEM!I153=0," ",MODELAGEM!I153)</f>
        <v xml:space="preserve"> </v>
      </c>
      <c r="H84" s="1812"/>
      <c r="I84" s="1812"/>
      <c r="J84" s="1813"/>
      <c r="L84" s="558" t="s">
        <v>725</v>
      </c>
      <c r="M84" s="1812" t="str">
        <f>IF(MODELAGEM!I162=0," ",MODELAGEM!I162)</f>
        <v xml:space="preserve"> </v>
      </c>
      <c r="N84" s="1812"/>
      <c r="O84" s="1812"/>
      <c r="P84" s="1813"/>
      <c r="R84" s="558" t="s">
        <v>725</v>
      </c>
      <c r="S84" s="1812" t="str">
        <f>IF(MODELAGEM!I171=0," ",MODELAGEM!I171)</f>
        <v xml:space="preserve"> </v>
      </c>
      <c r="T84" s="1812"/>
      <c r="U84" s="1812"/>
      <c r="V84" s="1813"/>
    </row>
    <row r="85" spans="5:22" ht="15.75" thickBot="1" x14ac:dyDescent="0.3"/>
    <row r="86" spans="5:22" ht="15.75" thickBot="1" x14ac:dyDescent="0.3">
      <c r="E86">
        <f>E72+3</f>
        <v>19</v>
      </c>
      <c r="F86" s="1833" t="str">
        <f>F72</f>
        <v>VMORDEKAI</v>
      </c>
      <c r="G86" s="1834"/>
      <c r="H86" s="1834"/>
      <c r="I86" s="1834"/>
      <c r="J86" s="1835"/>
      <c r="K86">
        <f>E86+1</f>
        <v>20</v>
      </c>
      <c r="L86" s="1833" t="str">
        <f>F86</f>
        <v>VMORDEKAI</v>
      </c>
      <c r="M86" s="1834"/>
      <c r="N86" s="1834"/>
      <c r="O86" s="1834"/>
      <c r="P86" s="1835"/>
      <c r="Q86">
        <f>K86+1</f>
        <v>21</v>
      </c>
      <c r="R86" s="1833" t="str">
        <f>L86</f>
        <v>VMORDEKAI</v>
      </c>
      <c r="S86" s="1834"/>
      <c r="T86" s="1834"/>
      <c r="U86" s="1834"/>
      <c r="V86" s="1835"/>
    </row>
    <row r="87" spans="5:22" x14ac:dyDescent="0.25">
      <c r="E87" s="814">
        <f>MODELAGEM!U173</f>
        <v>0</v>
      </c>
      <c r="F87" s="1822" t="str">
        <f>F73</f>
        <v>REF. NOME + Nº - 15H x 10B x 5L (cm)</v>
      </c>
      <c r="G87" s="1823"/>
      <c r="H87" s="1823"/>
      <c r="I87" s="1823"/>
      <c r="J87" s="1824"/>
      <c r="K87" s="814">
        <f>MODELAGEM!U182</f>
        <v>0</v>
      </c>
      <c r="L87" s="1822" t="str">
        <f>F87</f>
        <v>REF. NOME + Nº - 15H x 10B x 5L (cm)</v>
      </c>
      <c r="M87" s="1823"/>
      <c r="N87" s="1823"/>
      <c r="O87" s="1823"/>
      <c r="P87" s="1824"/>
      <c r="Q87" s="814">
        <f>MODELAGEM!U191</f>
        <v>0</v>
      </c>
      <c r="R87" s="1822" t="str">
        <f>L87</f>
        <v>REF. NOME + Nº - 15H x 10B x 5L (cm)</v>
      </c>
      <c r="S87" s="1823"/>
      <c r="T87" s="1823"/>
      <c r="U87" s="1823"/>
      <c r="V87" s="1824"/>
    </row>
    <row r="88" spans="5:22" x14ac:dyDescent="0.25">
      <c r="F88" s="533" t="s">
        <v>700</v>
      </c>
      <c r="G88" s="1814" t="str">
        <f>MODELAGEM!H174</f>
        <v>NOME</v>
      </c>
      <c r="H88" s="1814"/>
      <c r="I88" s="1814"/>
      <c r="J88" s="1815"/>
      <c r="L88" s="533" t="s">
        <v>700</v>
      </c>
      <c r="M88" s="1814" t="str">
        <f>MODELAGEM!H183</f>
        <v>NOME</v>
      </c>
      <c r="N88" s="1814"/>
      <c r="O88" s="1814"/>
      <c r="P88" s="1815"/>
      <c r="R88" s="533" t="s">
        <v>700</v>
      </c>
      <c r="S88" s="1814" t="str">
        <f>MODELAGEM!H192</f>
        <v>NOME</v>
      </c>
      <c r="T88" s="1814"/>
      <c r="U88" s="1814"/>
      <c r="V88" s="1815"/>
    </row>
    <row r="89" spans="5:22" x14ac:dyDescent="0.25">
      <c r="F89" s="531" t="s">
        <v>701</v>
      </c>
      <c r="G89" s="541" t="str">
        <f>IF(MODELAGEM!K173="NÃO","",IF(MODELAGEM!L173&gt;0,MODELAGEM!L173,""))</f>
        <v/>
      </c>
      <c r="H89" s="542" t="str">
        <f>IF(MODELAGEM!K173="NÃO","","×")</f>
        <v/>
      </c>
      <c r="I89" s="1818" t="str">
        <f>IF(MODELAGEM!K173="NÃO","",MODELAGEM!M173)</f>
        <v/>
      </c>
      <c r="J89" s="1819"/>
      <c r="L89" s="531" t="s">
        <v>701</v>
      </c>
      <c r="M89" s="541" t="str">
        <f>IF(MODELAGEM!K182="NÃO","",IF(MODELAGEM!L182&gt;0,MODELAGEM!L182,""))</f>
        <v/>
      </c>
      <c r="N89" s="542" t="str">
        <f>IF(MODELAGEM!K182="NÃO","","×")</f>
        <v/>
      </c>
      <c r="O89" s="1818" t="str">
        <f>IF(MODELAGEM!K182="NÃO","",MODELAGEM!M182)</f>
        <v/>
      </c>
      <c r="P89" s="1819"/>
      <c r="R89" s="531" t="s">
        <v>701</v>
      </c>
      <c r="S89" s="541" t="str">
        <f>IF(MODELAGEM!K191="NÃO","",IF(MODELAGEM!L191&gt;0,MODELAGEM!L191,""))</f>
        <v/>
      </c>
      <c r="T89" s="542" t="str">
        <f>IF(MODELAGEM!K191="NÃO","","×")</f>
        <v/>
      </c>
      <c r="U89" s="1818" t="str">
        <f>IF(MODELAGEM!K191="NÃO","",MODELAGEM!M191)</f>
        <v/>
      </c>
      <c r="V89" s="1819"/>
    </row>
    <row r="90" spans="5:22" x14ac:dyDescent="0.25">
      <c r="F90" s="531"/>
      <c r="G90" s="541" t="str">
        <f>IF(MODELAGEM!K175="NÃO","",IF(MODELAGEM!L175&gt;0,MODELAGEM!L175,""))</f>
        <v/>
      </c>
      <c r="H90" s="542" t="str">
        <f>IF(MODELAGEM!K175="NÃO","","×")</f>
        <v/>
      </c>
      <c r="I90" s="1818" t="str">
        <f>IF(MODELAGEM!K175="NÃO","",MODELAGEM!M175)</f>
        <v/>
      </c>
      <c r="J90" s="1819"/>
      <c r="L90" s="531"/>
      <c r="M90" s="541" t="str">
        <f>IF(MODELAGEM!K184="NÃO","",IF(MODELAGEM!L184&gt;0,MODELAGEM!L184,""))</f>
        <v/>
      </c>
      <c r="N90" s="542" t="str">
        <f>IF(MODELAGEM!K184="NÃO","","×")</f>
        <v/>
      </c>
      <c r="O90" s="1818" t="str">
        <f>IF(MODELAGEM!K184="NÃO","",MODELAGEM!M184)</f>
        <v/>
      </c>
      <c r="P90" s="1819"/>
      <c r="R90" s="531"/>
      <c r="S90" s="541" t="str">
        <f>IF(MODELAGEM!K193="NÃO","",IF(MODELAGEM!L193&gt;0,MODELAGEM!L193,""))</f>
        <v/>
      </c>
      <c r="T90" s="542" t="str">
        <f>IF(MODELAGEM!K193="NÃO","","×")</f>
        <v/>
      </c>
      <c r="U90" s="1818" t="str">
        <f>IF(MODELAGEM!K193="NÃO","",MODELAGEM!M193)</f>
        <v/>
      </c>
      <c r="V90" s="1819"/>
    </row>
    <row r="91" spans="5:22" x14ac:dyDescent="0.25">
      <c r="F91" s="531"/>
      <c r="G91" s="541" t="str">
        <f>IF(MODELAGEM!K177="NÃO","",IF(MODELAGEM!L177&gt;0,MODELAGEM!L177,""))</f>
        <v/>
      </c>
      <c r="H91" s="542" t="str">
        <f>IF(MODELAGEM!K150="NÃO","","×")</f>
        <v/>
      </c>
      <c r="I91" s="1818" t="str">
        <f>IF(MODELAGEM!K150="NÃO","",MODELAGEM!M150)</f>
        <v/>
      </c>
      <c r="J91" s="1819"/>
      <c r="L91" s="531"/>
      <c r="M91" s="541" t="str">
        <f>IF(MODELAGEM!K186="NÃO","",IF(MODELAGEM!L186&gt;0,MODELAGEM!L186,""))</f>
        <v/>
      </c>
      <c r="N91" s="542" t="str">
        <f>IF(MODELAGEM!K186="NÃO","","×")</f>
        <v/>
      </c>
      <c r="O91" s="1818" t="str">
        <f>IF(MODELAGEM!K186="NÃO","",MODELAGEM!M186)</f>
        <v/>
      </c>
      <c r="P91" s="1819"/>
      <c r="R91" s="531"/>
      <c r="S91" s="541" t="str">
        <f>IF(MODELAGEM!K195="NÃO","",IF(MODELAGEM!L195&gt;0,MODELAGEM!L195,""))</f>
        <v/>
      </c>
      <c r="T91" s="542" t="str">
        <f>IF(MODELAGEM!K195="NÃO","","×")</f>
        <v/>
      </c>
      <c r="U91" s="1818" t="str">
        <f>IF(MODELAGEM!K195="NÃO","",MODELAGEM!M195)</f>
        <v/>
      </c>
      <c r="V91" s="1819"/>
    </row>
    <row r="92" spans="5:22" x14ac:dyDescent="0.25">
      <c r="F92" s="531"/>
      <c r="G92" s="541" t="str">
        <f>IF(MODELAGEM!K179="NÃO","",IF(MODELAGEM!L179&gt;0,MODELAGEM!L179,""))</f>
        <v/>
      </c>
      <c r="H92" s="542" t="str">
        <f>IF(MODELAGEM!K179="NÃO","","×")</f>
        <v/>
      </c>
      <c r="I92" s="812" t="str">
        <f>IF(MODELAGEM!K179="NÃO","",MODELAGEM!M179)</f>
        <v/>
      </c>
      <c r="J92" s="813"/>
      <c r="L92" s="531"/>
      <c r="M92" s="541" t="str">
        <f>IF(MODELAGEM!K188="NÃO","",IF(MODELAGEM!L188&gt;0,MODELAGEM!L188,""))</f>
        <v/>
      </c>
      <c r="N92" s="542" t="str">
        <f>IF(MODELAGEM!K188="NÃO","","×")</f>
        <v/>
      </c>
      <c r="O92" s="812" t="str">
        <f>IF(MODELAGEM!K188="NÃO","",MODELAGEM!M188)</f>
        <v/>
      </c>
      <c r="P92" s="813"/>
      <c r="R92" s="531"/>
      <c r="S92" s="541" t="str">
        <f>IF(MODELAGEM!K197="NÃO","",IF(MODELAGEM!L197&gt;0,MODELAGEM!L197,""))</f>
        <v/>
      </c>
      <c r="T92" s="542" t="str">
        <f>IF(MODELAGEM!K197="NÃO","","×")</f>
        <v/>
      </c>
      <c r="U92" s="812" t="str">
        <f>IF(MODELAGEM!K197="NÃO","",MODELAGEM!M197)</f>
        <v/>
      </c>
      <c r="V92" s="813"/>
    </row>
    <row r="93" spans="5:22" x14ac:dyDescent="0.25">
      <c r="F93" s="532"/>
      <c r="G93" s="543"/>
      <c r="H93" s="544"/>
      <c r="I93" s="1853"/>
      <c r="J93" s="1854"/>
      <c r="L93" s="532"/>
      <c r="M93" s="543"/>
      <c r="N93" s="544"/>
      <c r="O93" s="1853"/>
      <c r="P93" s="1854"/>
      <c r="R93" s="532"/>
      <c r="S93" s="543"/>
      <c r="T93" s="544"/>
      <c r="U93" s="1853"/>
      <c r="V93" s="1854"/>
    </row>
    <row r="94" spans="5:22" x14ac:dyDescent="0.25">
      <c r="F94" s="533" t="s">
        <v>702</v>
      </c>
      <c r="G94" s="559" t="str">
        <f>IF(MODELAGEM!U173=0,"-",MODELAGEM!P173)</f>
        <v>-</v>
      </c>
      <c r="H94" s="559" t="s">
        <v>307</v>
      </c>
      <c r="I94" s="559" t="str">
        <f>IF(MODELAGEM!U173=0,"-",MODELAGEM!Q173)</f>
        <v>-</v>
      </c>
      <c r="J94" s="534" t="s">
        <v>325</v>
      </c>
      <c r="L94" s="533" t="s">
        <v>702</v>
      </c>
      <c r="M94" s="559" t="str">
        <f>IF(MODELAGEM!U182=0,"-",MODELAGEM!P182)</f>
        <v>-</v>
      </c>
      <c r="N94" s="559" t="s">
        <v>307</v>
      </c>
      <c r="O94" s="559" t="str">
        <f>IF(MODELAGEM!U182=0,"-",MODELAGEM!Q182)</f>
        <v>-</v>
      </c>
      <c r="P94" s="534" t="s">
        <v>325</v>
      </c>
      <c r="R94" s="533" t="s">
        <v>702</v>
      </c>
      <c r="S94" s="559" t="str">
        <f>IF(MODELAGEM!U191=0,"-",MODELAGEM!P191)</f>
        <v>-</v>
      </c>
      <c r="T94" s="559" t="s">
        <v>307</v>
      </c>
      <c r="U94" s="559" t="str">
        <f>IF(MODELAGEM!U191=0,"-",MODELAGEM!Q191)</f>
        <v>-</v>
      </c>
      <c r="V94" s="534" t="s">
        <v>325</v>
      </c>
    </row>
    <row r="95" spans="5:22" x14ac:dyDescent="0.25">
      <c r="F95" s="533" t="s">
        <v>389</v>
      </c>
      <c r="G95" s="330" t="str">
        <f>IF(MODELAGEM!U173=0,"-",SUM(MODELAGEM!U11:U173))</f>
        <v>-</v>
      </c>
      <c r="H95" s="535" t="s">
        <v>708</v>
      </c>
      <c r="I95" s="536">
        <f>I81</f>
        <v>2</v>
      </c>
      <c r="J95" s="534"/>
      <c r="L95" s="533" t="s">
        <v>389</v>
      </c>
      <c r="M95" s="330" t="str">
        <f>IF(MODELAGEM!U182=0,"-",SUM(MODELAGEM!U11:U182))</f>
        <v>-</v>
      </c>
      <c r="N95" s="535" t="s">
        <v>708</v>
      </c>
      <c r="O95" s="536">
        <f>I95</f>
        <v>2</v>
      </c>
      <c r="P95" s="534"/>
      <c r="R95" s="533" t="s">
        <v>389</v>
      </c>
      <c r="S95" s="330" t="str">
        <f>IF(MODELAGEM!U191=0,"-",SUM(MODELAGEM!U11:U191))</f>
        <v>-</v>
      </c>
      <c r="T95" s="535" t="s">
        <v>708</v>
      </c>
      <c r="U95" s="536">
        <f>O95</f>
        <v>2</v>
      </c>
      <c r="V95" s="534"/>
    </row>
    <row r="96" spans="5:22" x14ac:dyDescent="0.25">
      <c r="F96" s="1828" t="s">
        <v>723</v>
      </c>
      <c r="G96" s="1829"/>
      <c r="H96" s="1829" t="str">
        <f>H82</f>
        <v>Victor Ferreira</v>
      </c>
      <c r="I96" s="1829"/>
      <c r="J96" s="1832"/>
      <c r="L96" s="1828" t="s">
        <v>723</v>
      </c>
      <c r="M96" s="1829"/>
      <c r="N96" s="1829" t="str">
        <f>H96</f>
        <v>Victor Ferreira</v>
      </c>
      <c r="O96" s="1829"/>
      <c r="P96" s="1832"/>
      <c r="R96" s="1828" t="s">
        <v>723</v>
      </c>
      <c r="S96" s="1829"/>
      <c r="T96" s="1829" t="str">
        <f>N96</f>
        <v>Victor Ferreira</v>
      </c>
      <c r="U96" s="1829"/>
      <c r="V96" s="1832"/>
    </row>
    <row r="97" spans="5:22" ht="15.75" thickBot="1" x14ac:dyDescent="0.3">
      <c r="F97" s="531" t="s">
        <v>703</v>
      </c>
      <c r="G97" s="1825">
        <f>G83</f>
        <v>45182</v>
      </c>
      <c r="H97" s="1826"/>
      <c r="I97" s="1826"/>
      <c r="J97" s="1827"/>
      <c r="L97" s="531" t="s">
        <v>703</v>
      </c>
      <c r="M97" s="1825">
        <f>G97</f>
        <v>45182</v>
      </c>
      <c r="N97" s="1826"/>
      <c r="O97" s="1826"/>
      <c r="P97" s="1827"/>
      <c r="R97" s="531" t="s">
        <v>703</v>
      </c>
      <c r="S97" s="1825">
        <f>M97</f>
        <v>45182</v>
      </c>
      <c r="T97" s="1826"/>
      <c r="U97" s="1826"/>
      <c r="V97" s="1827"/>
    </row>
    <row r="98" spans="5:22" ht="15.75" thickBot="1" x14ac:dyDescent="0.3">
      <c r="F98" s="558" t="s">
        <v>725</v>
      </c>
      <c r="G98" s="1812" t="str">
        <f>IF(MODELAGEM!I180=0," ",MODELAGEM!I180)</f>
        <v xml:space="preserve"> </v>
      </c>
      <c r="H98" s="1812"/>
      <c r="I98" s="1812"/>
      <c r="J98" s="1813"/>
      <c r="L98" s="558" t="s">
        <v>725</v>
      </c>
      <c r="M98" s="1812" t="str">
        <f>IF(MODELAGEM!I189=0," ",MODELAGEM!I189)</f>
        <v xml:space="preserve"> </v>
      </c>
      <c r="N98" s="1812"/>
      <c r="O98" s="1812"/>
      <c r="P98" s="1813"/>
      <c r="R98" s="558" t="s">
        <v>725</v>
      </c>
      <c r="S98" s="1812" t="str">
        <f>IF(MODELAGEM!I198=0," ",MODELAGEM!I198)</f>
        <v xml:space="preserve"> </v>
      </c>
      <c r="T98" s="1812"/>
      <c r="U98" s="1812"/>
      <c r="V98" s="1813"/>
    </row>
    <row r="99" spans="5:22" ht="15.75" thickBot="1" x14ac:dyDescent="0.3"/>
    <row r="100" spans="5:22" ht="15.75" thickBot="1" x14ac:dyDescent="0.3">
      <c r="E100">
        <f>E86+3</f>
        <v>22</v>
      </c>
      <c r="F100" s="1833" t="str">
        <f>F86</f>
        <v>VMORDEKAI</v>
      </c>
      <c r="G100" s="1834"/>
      <c r="H100" s="1834"/>
      <c r="I100" s="1834"/>
      <c r="J100" s="1835"/>
      <c r="K100">
        <f>E100+1</f>
        <v>23</v>
      </c>
      <c r="L100" s="1833" t="str">
        <f>F100</f>
        <v>VMORDEKAI</v>
      </c>
      <c r="M100" s="1834"/>
      <c r="N100" s="1834"/>
      <c r="O100" s="1834"/>
      <c r="P100" s="1835"/>
      <c r="Q100">
        <f>K100+1</f>
        <v>24</v>
      </c>
      <c r="R100" s="1833" t="str">
        <f>L100</f>
        <v>VMORDEKAI</v>
      </c>
      <c r="S100" s="1834"/>
      <c r="T100" s="1834"/>
      <c r="U100" s="1834"/>
      <c r="V100" s="1835"/>
    </row>
    <row r="101" spans="5:22" x14ac:dyDescent="0.25">
      <c r="E101" s="814">
        <f>MODELAGEM!U200</f>
        <v>0</v>
      </c>
      <c r="F101" s="1822" t="str">
        <f>F87</f>
        <v>REF. NOME + Nº - 15H x 10B x 5L (cm)</v>
      </c>
      <c r="G101" s="1823"/>
      <c r="H101" s="1823"/>
      <c r="I101" s="1823"/>
      <c r="J101" s="1824"/>
      <c r="K101" s="814">
        <f>MODELAGEM!U209</f>
        <v>0</v>
      </c>
      <c r="L101" s="1822" t="str">
        <f>F101</f>
        <v>REF. NOME + Nº - 15H x 10B x 5L (cm)</v>
      </c>
      <c r="M101" s="1823"/>
      <c r="N101" s="1823"/>
      <c r="O101" s="1823"/>
      <c r="P101" s="1824"/>
      <c r="Q101" s="814">
        <f>MODELAGEM!U218</f>
        <v>0</v>
      </c>
      <c r="R101" s="1822" t="str">
        <f>L101</f>
        <v>REF. NOME + Nº - 15H x 10B x 5L (cm)</v>
      </c>
      <c r="S101" s="1823"/>
      <c r="T101" s="1823"/>
      <c r="U101" s="1823"/>
      <c r="V101" s="1824"/>
    </row>
    <row r="102" spans="5:22" x14ac:dyDescent="0.25">
      <c r="F102" s="533" t="s">
        <v>700</v>
      </c>
      <c r="G102" s="1814" t="str">
        <f>MODELAGEM!H201</f>
        <v>NOME</v>
      </c>
      <c r="H102" s="1814"/>
      <c r="I102" s="1814"/>
      <c r="J102" s="1815"/>
      <c r="L102" s="533" t="s">
        <v>700</v>
      </c>
      <c r="M102" s="1814" t="str">
        <f>MODELAGEM!H210</f>
        <v>NOME</v>
      </c>
      <c r="N102" s="1814"/>
      <c r="O102" s="1814"/>
      <c r="P102" s="1815"/>
      <c r="R102" s="533" t="s">
        <v>700</v>
      </c>
      <c r="S102" s="1814" t="str">
        <f>MODELAGEM!H219</f>
        <v>NOME</v>
      </c>
      <c r="T102" s="1814"/>
      <c r="U102" s="1814"/>
      <c r="V102" s="1815"/>
    </row>
    <row r="103" spans="5:22" x14ac:dyDescent="0.25">
      <c r="F103" s="531" t="s">
        <v>701</v>
      </c>
      <c r="G103" s="541" t="str">
        <f>IF(MODELAGEM!K200="NÃO","",IF(MODELAGEM!L200&gt;0,MODELAGEM!L200,""))</f>
        <v/>
      </c>
      <c r="H103" s="542" t="str">
        <f>IF(MODELAGEM!K200="NÃO","","×")</f>
        <v/>
      </c>
      <c r="I103" s="1818" t="str">
        <f>IF(MODELAGEM!K200="NÃO","",MODELAGEM!M200)</f>
        <v/>
      </c>
      <c r="J103" s="1819"/>
      <c r="L103" s="531" t="s">
        <v>701</v>
      </c>
      <c r="M103" s="541" t="str">
        <f>IF(MODELAGEM!K209="NÃO","",IF(MODELAGEM!L209&gt;0,MODELAGEM!L209,""))</f>
        <v/>
      </c>
      <c r="N103" s="542" t="str">
        <f>IF(MODELAGEM!K209="NÃO","","×")</f>
        <v/>
      </c>
      <c r="O103" s="1818" t="str">
        <f>IF(MODELAGEM!K209="NÃO","",MODELAGEM!M209)</f>
        <v/>
      </c>
      <c r="P103" s="1819"/>
      <c r="R103" s="531" t="s">
        <v>701</v>
      </c>
      <c r="S103" s="541" t="str">
        <f>IF(MODELAGEM!K218="NÃO","",IF(MODELAGEM!L218&gt;0,MODELAGEM!L218,""))</f>
        <v/>
      </c>
      <c r="T103" s="542" t="str">
        <f>IF(MODELAGEM!K218="NÃO","","×")</f>
        <v/>
      </c>
      <c r="U103" s="1818" t="str">
        <f>IF(MODELAGEM!K218="NÃO","",MODELAGEM!M218)</f>
        <v/>
      </c>
      <c r="V103" s="1819"/>
    </row>
    <row r="104" spans="5:22" x14ac:dyDescent="0.25">
      <c r="F104" s="531"/>
      <c r="G104" s="541" t="str">
        <f>IF(MODELAGEM!K202="NÃO","",IF(MODELAGEM!L202&gt;0,MODELAGEM!L202,""))</f>
        <v/>
      </c>
      <c r="H104" s="542" t="str">
        <f>IF(MODELAGEM!K202="NÃO","","×")</f>
        <v/>
      </c>
      <c r="I104" s="1818" t="str">
        <f>IF(MODELAGEM!K202="NÃO","",MODELAGEM!M202)</f>
        <v/>
      </c>
      <c r="J104" s="1819"/>
      <c r="L104" s="531"/>
      <c r="M104" s="541" t="str">
        <f>IF(MODELAGEM!K211="NÃO","",IF(MODELAGEM!L211&gt;0,MODELAGEM!L211,""))</f>
        <v/>
      </c>
      <c r="N104" s="542" t="str">
        <f>IF(MODELAGEM!K211="NÃO","","×")</f>
        <v/>
      </c>
      <c r="O104" s="1818" t="str">
        <f>IF(MODELAGEM!K211="NÃO","",MODELAGEM!M211)</f>
        <v/>
      </c>
      <c r="P104" s="1819"/>
      <c r="R104" s="531"/>
      <c r="S104" s="541" t="str">
        <f>IF(MODELAGEM!K220="NÃO","",IF(MODELAGEM!L220&gt;0,MODELAGEM!L220,""))</f>
        <v/>
      </c>
      <c r="T104" s="542" t="str">
        <f>IF(MODELAGEM!K220="NÃO","","×")</f>
        <v/>
      </c>
      <c r="U104" s="1818" t="str">
        <f>IF(MODELAGEM!K220="NÃO","",MODELAGEM!M220)</f>
        <v/>
      </c>
      <c r="V104" s="1819"/>
    </row>
    <row r="105" spans="5:22" x14ac:dyDescent="0.25">
      <c r="F105" s="531"/>
      <c r="G105" s="541" t="str">
        <f>IF(MODELAGEM!K204="NÃO","",IF(MODELAGEM!L204&gt;0,MODELAGEM!L204,""))</f>
        <v/>
      </c>
      <c r="H105" s="542" t="str">
        <f>IF(MODELAGEM!K204="NÃO","","×")</f>
        <v/>
      </c>
      <c r="I105" s="1818" t="str">
        <f>IF(MODELAGEM!K204="NÃO","",MODELAGEM!M204)</f>
        <v/>
      </c>
      <c r="J105" s="1819"/>
      <c r="L105" s="531"/>
      <c r="M105" s="541" t="str">
        <f>IF(MODELAGEM!K213="NÃO","",IF(MODELAGEM!L213&gt;0,MODELAGEM!L213,""))</f>
        <v/>
      </c>
      <c r="N105" s="542" t="str">
        <f>IF(MODELAGEM!K213="NÃO","","×")</f>
        <v/>
      </c>
      <c r="O105" s="1818" t="str">
        <f>IF(MODELAGEM!K213="NÃO","",MODELAGEM!M213)</f>
        <v/>
      </c>
      <c r="P105" s="1819"/>
      <c r="R105" s="531"/>
      <c r="S105" s="541" t="str">
        <f>IF(MODELAGEM!K222="NÃO","",IF(MODELAGEM!L222&gt;0,MODELAGEM!L222,""))</f>
        <v/>
      </c>
      <c r="T105" s="542" t="str">
        <f>IF(MODELAGEM!K222="NÃO","","×")</f>
        <v/>
      </c>
      <c r="U105" s="1818" t="str">
        <f>IF(MODELAGEM!K222="NÃO","",MODELAGEM!M222)</f>
        <v/>
      </c>
      <c r="V105" s="1819"/>
    </row>
    <row r="106" spans="5:22" x14ac:dyDescent="0.25">
      <c r="F106" s="531"/>
      <c r="G106" s="541" t="str">
        <f>IF(MODELAGEM!K206="NÃO","",IF(MODELAGEM!L206&gt;0,MODELAGEM!L206,""))</f>
        <v/>
      </c>
      <c r="H106" s="542" t="str">
        <f>IF(MODELAGEM!K206="NÃO","","×")</f>
        <v/>
      </c>
      <c r="I106" s="812" t="str">
        <f>IF(MODELAGEM!K206="NÃO","",MODELAGEM!M206)</f>
        <v/>
      </c>
      <c r="J106" s="813"/>
      <c r="L106" s="531"/>
      <c r="M106" s="541" t="str">
        <f>IF(MODELAGEM!K215="NÃO","",IF(MODELAGEM!L215&gt;0,MODELAGEM!L215,""))</f>
        <v/>
      </c>
      <c r="N106" s="542" t="str">
        <f>IF(MODELAGEM!K215="NÃO","","×")</f>
        <v/>
      </c>
      <c r="O106" s="812" t="str">
        <f>IF(MODELAGEM!K215="NÃO","",MODELAGEM!M215)</f>
        <v/>
      </c>
      <c r="P106" s="813"/>
      <c r="R106" s="531"/>
      <c r="S106" s="541" t="str">
        <f>IF(MODELAGEM!K224="NÃO","",IF(MODELAGEM!L224&gt;0,MODELAGEM!L224,""))</f>
        <v/>
      </c>
      <c r="T106" s="542" t="str">
        <f>IF(MODELAGEM!K224="NÃO","","×")</f>
        <v/>
      </c>
      <c r="U106" s="812" t="str">
        <f>IF(MODELAGEM!K224="NÃO","",MODELAGEM!M224)</f>
        <v/>
      </c>
      <c r="V106" s="813"/>
    </row>
    <row r="107" spans="5:22" x14ac:dyDescent="0.25">
      <c r="F107" s="532"/>
      <c r="G107" s="543"/>
      <c r="H107" s="544"/>
      <c r="I107" s="1853"/>
      <c r="J107" s="1854"/>
      <c r="L107" s="532"/>
      <c r="M107" s="543"/>
      <c r="N107" s="544"/>
      <c r="O107" s="1853"/>
      <c r="P107" s="1854"/>
      <c r="R107" s="532"/>
      <c r="S107" s="543"/>
      <c r="T107" s="544"/>
      <c r="U107" s="1853"/>
      <c r="V107" s="1854"/>
    </row>
    <row r="108" spans="5:22" x14ac:dyDescent="0.25">
      <c r="F108" s="533" t="s">
        <v>702</v>
      </c>
      <c r="G108" s="559" t="str">
        <f>IF(MODELAGEM!U200=0,"-",MODELAGEM!P200)</f>
        <v>-</v>
      </c>
      <c r="H108" s="559" t="s">
        <v>307</v>
      </c>
      <c r="I108" s="559" t="str">
        <f>IF(MODELAGEM!U200=0,"-",MODELAGEM!Q200)</f>
        <v>-</v>
      </c>
      <c r="J108" s="534" t="s">
        <v>325</v>
      </c>
      <c r="L108" s="533" t="s">
        <v>702</v>
      </c>
      <c r="M108" s="559" t="str">
        <f>IF(MODELAGEM!U209=0,"-",MODELAGEM!P209)</f>
        <v>-</v>
      </c>
      <c r="N108" s="559" t="s">
        <v>307</v>
      </c>
      <c r="O108" s="559" t="str">
        <f>IF(MODELAGEM!U209=0,"-",MODELAGEM!Q209)</f>
        <v>-</v>
      </c>
      <c r="P108" s="534" t="s">
        <v>325</v>
      </c>
      <c r="R108" s="533" t="s">
        <v>702</v>
      </c>
      <c r="S108" s="559" t="str">
        <f>IF(MODELAGEM!U218=0,"-",MODELAGEM!P218)</f>
        <v>-</v>
      </c>
      <c r="T108" s="559" t="s">
        <v>307</v>
      </c>
      <c r="U108" s="559" t="str">
        <f>IF(MODELAGEM!U218=0,"-",MODELAGEM!Q218)</f>
        <v>-</v>
      </c>
      <c r="V108" s="534" t="s">
        <v>325</v>
      </c>
    </row>
    <row r="109" spans="5:22" x14ac:dyDescent="0.25">
      <c r="F109" s="533" t="s">
        <v>389</v>
      </c>
      <c r="G109" s="330" t="str">
        <f>IF(MODELAGEM!U200=0,"-",SUM(MODELAGEM!U11:U200))</f>
        <v>-</v>
      </c>
      <c r="H109" s="535" t="s">
        <v>708</v>
      </c>
      <c r="I109" s="536">
        <f>I95</f>
        <v>2</v>
      </c>
      <c r="J109" s="534"/>
      <c r="L109" s="533" t="s">
        <v>389</v>
      </c>
      <c r="M109" s="330" t="str">
        <f>IF(MODELAGEM!U209=0,"-",SUM(MODELAGEM!U11:U209))</f>
        <v>-</v>
      </c>
      <c r="N109" s="535" t="s">
        <v>708</v>
      </c>
      <c r="O109" s="536">
        <f>I109</f>
        <v>2</v>
      </c>
      <c r="P109" s="534"/>
      <c r="R109" s="533" t="s">
        <v>389</v>
      </c>
      <c r="S109" s="330" t="str">
        <f>IF(MODELAGEM!U218=0,"-",SUM(MODELAGEM!U11:U218))</f>
        <v>-</v>
      </c>
      <c r="T109" s="535" t="s">
        <v>708</v>
      </c>
      <c r="U109" s="536">
        <f>O109</f>
        <v>2</v>
      </c>
      <c r="V109" s="534"/>
    </row>
    <row r="110" spans="5:22" x14ac:dyDescent="0.25">
      <c r="F110" s="1828" t="s">
        <v>723</v>
      </c>
      <c r="G110" s="1829"/>
      <c r="H110" s="1829" t="str">
        <f>H96</f>
        <v>Victor Ferreira</v>
      </c>
      <c r="I110" s="1829"/>
      <c r="J110" s="1832"/>
      <c r="L110" s="1828" t="s">
        <v>723</v>
      </c>
      <c r="M110" s="1829"/>
      <c r="N110" s="1829" t="str">
        <f>H110</f>
        <v>Victor Ferreira</v>
      </c>
      <c r="O110" s="1829"/>
      <c r="P110" s="1832"/>
      <c r="R110" s="1828" t="s">
        <v>723</v>
      </c>
      <c r="S110" s="1829"/>
      <c r="T110" s="1829" t="str">
        <f>N110</f>
        <v>Victor Ferreira</v>
      </c>
      <c r="U110" s="1829"/>
      <c r="V110" s="1832"/>
    </row>
    <row r="111" spans="5:22" ht="15.75" thickBot="1" x14ac:dyDescent="0.3">
      <c r="F111" s="531" t="s">
        <v>703</v>
      </c>
      <c r="G111" s="1825">
        <f>G97</f>
        <v>45182</v>
      </c>
      <c r="H111" s="1826"/>
      <c r="I111" s="1826"/>
      <c r="J111" s="1827"/>
      <c r="L111" s="531" t="s">
        <v>703</v>
      </c>
      <c r="M111" s="1825">
        <f>G111</f>
        <v>45182</v>
      </c>
      <c r="N111" s="1826"/>
      <c r="O111" s="1826"/>
      <c r="P111" s="1827"/>
      <c r="R111" s="531" t="s">
        <v>703</v>
      </c>
      <c r="S111" s="1825">
        <f>M111</f>
        <v>45182</v>
      </c>
      <c r="T111" s="1826"/>
      <c r="U111" s="1826"/>
      <c r="V111" s="1827"/>
    </row>
    <row r="112" spans="5:22" ht="15.75" thickBot="1" x14ac:dyDescent="0.3">
      <c r="F112" s="558" t="s">
        <v>725</v>
      </c>
      <c r="G112" s="1812" t="str">
        <f>IF(MODELAGEM!I207=0," ",MODELAGEM!I207)</f>
        <v xml:space="preserve"> </v>
      </c>
      <c r="H112" s="1812"/>
      <c r="I112" s="1812"/>
      <c r="J112" s="1813"/>
      <c r="L112" s="558" t="s">
        <v>725</v>
      </c>
      <c r="M112" s="1812" t="str">
        <f>IF(MODELAGEM!I216=0," ",MODELAGEM!I216)</f>
        <v xml:space="preserve"> </v>
      </c>
      <c r="N112" s="1812"/>
      <c r="O112" s="1812"/>
      <c r="P112" s="1813"/>
      <c r="R112" s="558" t="s">
        <v>725</v>
      </c>
      <c r="S112" s="1812" t="str">
        <f>IF(MODELAGEM!I225=0," ",MODELAGEM!I225)</f>
        <v xml:space="preserve"> </v>
      </c>
      <c r="T112" s="1812"/>
      <c r="U112" s="1812"/>
      <c r="V112" s="1813"/>
    </row>
    <row r="113" spans="5:25" ht="15.75" thickBot="1" x14ac:dyDescent="0.3"/>
    <row r="114" spans="5:25" ht="15.75" thickBot="1" x14ac:dyDescent="0.3">
      <c r="E114">
        <f>E100+3</f>
        <v>25</v>
      </c>
      <c r="F114" s="1833" t="str">
        <f>F100</f>
        <v>VMORDEKAI</v>
      </c>
      <c r="G114" s="1834"/>
      <c r="H114" s="1834"/>
      <c r="I114" s="1834"/>
      <c r="J114" s="1835"/>
      <c r="K114">
        <f>E114+1</f>
        <v>26</v>
      </c>
      <c r="L114" s="1833" t="str">
        <f>F114</f>
        <v>VMORDEKAI</v>
      </c>
      <c r="M114" s="1834"/>
      <c r="N114" s="1834"/>
      <c r="O114" s="1834"/>
      <c r="P114" s="1835"/>
      <c r="Q114">
        <f>K114+1</f>
        <v>27</v>
      </c>
      <c r="R114" s="1833" t="str">
        <f>L114</f>
        <v>VMORDEKAI</v>
      </c>
      <c r="S114" s="1834"/>
      <c r="T114" s="1834"/>
      <c r="U114" s="1834"/>
      <c r="V114" s="1835"/>
    </row>
    <row r="115" spans="5:25" x14ac:dyDescent="0.25">
      <c r="E115" s="814">
        <f>MODELAGEM!U227</f>
        <v>0</v>
      </c>
      <c r="F115" s="1822" t="str">
        <f>F101</f>
        <v>REF. NOME + Nº - 15H x 10B x 5L (cm)</v>
      </c>
      <c r="G115" s="1823"/>
      <c r="H115" s="1823"/>
      <c r="I115" s="1823"/>
      <c r="J115" s="1824"/>
      <c r="K115" s="814">
        <f>MODELAGEM!U236</f>
        <v>0</v>
      </c>
      <c r="L115" s="1822" t="str">
        <f>F115</f>
        <v>REF. NOME + Nº - 15H x 10B x 5L (cm)</v>
      </c>
      <c r="M115" s="1823"/>
      <c r="N115" s="1823"/>
      <c r="O115" s="1823"/>
      <c r="P115" s="1824"/>
      <c r="Q115" s="814">
        <v>0</v>
      </c>
      <c r="R115" s="1822"/>
      <c r="S115" s="1823"/>
      <c r="T115" s="1823"/>
      <c r="U115" s="1823"/>
      <c r="V115" s="1824"/>
    </row>
    <row r="116" spans="5:25" x14ac:dyDescent="0.25">
      <c r="F116" s="533" t="s">
        <v>700</v>
      </c>
      <c r="G116" s="1814" t="str">
        <f>MODELAGEM!H228</f>
        <v>NOME</v>
      </c>
      <c r="H116" s="1814"/>
      <c r="I116" s="1814"/>
      <c r="J116" s="1815"/>
      <c r="L116" s="533" t="s">
        <v>700</v>
      </c>
      <c r="M116" s="1814" t="str">
        <f>MODELAGEM!H237</f>
        <v>NOME</v>
      </c>
      <c r="N116" s="1814"/>
      <c r="O116" s="1814"/>
      <c r="P116" s="1815"/>
      <c r="R116" s="533" t="s">
        <v>700</v>
      </c>
      <c r="S116" s="1814"/>
      <c r="T116" s="1814"/>
      <c r="U116" s="1814"/>
      <c r="V116" s="1815"/>
    </row>
    <row r="117" spans="5:25" x14ac:dyDescent="0.25">
      <c r="F117" s="531" t="s">
        <v>701</v>
      </c>
      <c r="G117" s="541" t="str">
        <f>IF(MODELAGEM!K227="NÃO","",IF(MODELAGEM!L227&gt;0,MODELAGEM!L227,""))</f>
        <v/>
      </c>
      <c r="H117" s="542" t="str">
        <f>IF(MODELAGEM!K227="NÃO","","×")</f>
        <v/>
      </c>
      <c r="I117" s="1818" t="str">
        <f>IF(MODELAGEM!K227="NÃO","",MODELAGEM!M227)</f>
        <v/>
      </c>
      <c r="J117" s="1819"/>
      <c r="L117" s="531" t="s">
        <v>701</v>
      </c>
      <c r="M117" s="541" t="str">
        <f>IF(MODELAGEM!K236="NÃO","",IF(MODELAGEM!L236&gt;0,MODELAGEM!L236,""))</f>
        <v/>
      </c>
      <c r="N117" s="542" t="str">
        <f>IF(MODELAGEM!K236="NÃO","","×")</f>
        <v/>
      </c>
      <c r="O117" s="1818" t="str">
        <f>IF(MODELAGEM!K236="NÃO","",MODELAGEM!M236)</f>
        <v/>
      </c>
      <c r="P117" s="1819"/>
      <c r="R117" s="531" t="s">
        <v>701</v>
      </c>
      <c r="S117" s="541"/>
      <c r="T117" s="542"/>
      <c r="U117" s="1818"/>
      <c r="V117" s="1819"/>
      <c r="X117" s="815"/>
      <c r="Y117" s="816"/>
    </row>
    <row r="118" spans="5:25" x14ac:dyDescent="0.25">
      <c r="F118" s="531"/>
      <c r="G118" s="541" t="str">
        <f>IF(MODELAGEM!K229="NÃO","",IF(MODELAGEM!L229&gt;0,MODELAGEM!L229,""))</f>
        <v/>
      </c>
      <c r="H118" s="542" t="str">
        <f>IF(MODELAGEM!K229="NÃO","","×")</f>
        <v/>
      </c>
      <c r="I118" s="1818" t="str">
        <f>IF(MODELAGEM!K229="NÃO","",MODELAGEM!M229)</f>
        <v/>
      </c>
      <c r="J118" s="1819"/>
      <c r="L118" s="531"/>
      <c r="M118" s="541" t="str">
        <f>IF(MODELAGEM!K238="NÃO","",IF(MODELAGEM!L238&gt;0,MODELAGEM!L238,""))</f>
        <v/>
      </c>
      <c r="N118" s="542" t="str">
        <f>IF(MODELAGEM!K238="NÃO","","×")</f>
        <v/>
      </c>
      <c r="O118" s="1818" t="str">
        <f>IF(MODELAGEM!K238="NÃO","",MODELAGEM!M238)</f>
        <v/>
      </c>
      <c r="P118" s="1819"/>
      <c r="R118" s="531"/>
      <c r="S118" s="541"/>
      <c r="T118" s="542"/>
      <c r="U118" s="1818"/>
      <c r="V118" s="1819"/>
      <c r="X118" s="815"/>
      <c r="Y118" s="816"/>
    </row>
    <row r="119" spans="5:25" x14ac:dyDescent="0.25">
      <c r="F119" s="531"/>
      <c r="G119" s="541" t="str">
        <f>IF(MODELAGEM!K231="NÃO","",IF(MODELAGEM!L231&gt;0,MODELAGEM!L231,""))</f>
        <v/>
      </c>
      <c r="H119" s="542" t="str">
        <f>IF(MODELAGEM!K231="NÃO","","×")</f>
        <v/>
      </c>
      <c r="I119" s="1818" t="str">
        <f>IF(MODELAGEM!K231="NÃO","",MODELAGEM!M231)</f>
        <v/>
      </c>
      <c r="J119" s="1819"/>
      <c r="L119" s="531"/>
      <c r="M119" s="541" t="str">
        <f>IF(MODELAGEM!K240="NÃO","",IF(MODELAGEM!L240&gt;0,MODELAGEM!L240,""))</f>
        <v/>
      </c>
      <c r="N119" s="542" t="str">
        <f>IF(MODELAGEM!K240="NÃO","","×")</f>
        <v/>
      </c>
      <c r="O119" s="1818" t="str">
        <f>IF(MODELAGEM!K240="NÃO","",MODELAGEM!M240)</f>
        <v/>
      </c>
      <c r="P119" s="1819"/>
      <c r="R119" s="531"/>
      <c r="S119" s="541"/>
      <c r="T119" s="542"/>
      <c r="U119" s="1818"/>
      <c r="V119" s="1819"/>
      <c r="X119" s="815"/>
      <c r="Y119" s="816"/>
    </row>
    <row r="120" spans="5:25" x14ac:dyDescent="0.25">
      <c r="F120" s="531"/>
      <c r="G120" s="541" t="str">
        <f>IF(MODELAGEM!K233="NÃO","",IF(MODELAGEM!L233&gt;0,MODELAGEM!L233,""))</f>
        <v/>
      </c>
      <c r="H120" s="542" t="str">
        <f>IF(MODELAGEM!K233="NÃO","","×")</f>
        <v/>
      </c>
      <c r="I120" s="812" t="str">
        <f>IF(MODELAGEM!K233="NÃO","",MODELAGEM!M233)</f>
        <v/>
      </c>
      <c r="J120" s="813"/>
      <c r="L120" s="531"/>
      <c r="M120" s="541" t="str">
        <f>IF(MODELAGEM!K242="NÃO","",IF(MODELAGEM!L242&gt;0,MODELAGEM!L242,""))</f>
        <v/>
      </c>
      <c r="N120" s="542" t="str">
        <f>IF(MODELAGEM!K242="NÃO","","×")</f>
        <v/>
      </c>
      <c r="O120" s="812" t="str">
        <f>IF(MODELAGEM!K242="NÃO","",MODELAGEM!M242)</f>
        <v/>
      </c>
      <c r="P120" s="813"/>
      <c r="R120" s="531"/>
      <c r="S120" s="541"/>
      <c r="T120" s="542"/>
      <c r="U120" s="812"/>
      <c r="V120" s="813"/>
      <c r="X120" s="815"/>
      <c r="Y120" s="816"/>
    </row>
    <row r="121" spans="5:25" x14ac:dyDescent="0.25">
      <c r="F121" s="532"/>
      <c r="G121" s="543"/>
      <c r="H121" s="544"/>
      <c r="I121" s="1853"/>
      <c r="J121" s="1854"/>
      <c r="L121" s="532"/>
      <c r="M121" s="543"/>
      <c r="N121" s="544"/>
      <c r="O121" s="1853"/>
      <c r="P121" s="1854"/>
      <c r="R121" s="532"/>
      <c r="S121" s="543"/>
      <c r="T121" s="544"/>
      <c r="U121" s="1853"/>
      <c r="V121" s="1854"/>
    </row>
    <row r="122" spans="5:25" x14ac:dyDescent="0.25">
      <c r="F122" s="533" t="s">
        <v>702</v>
      </c>
      <c r="G122" s="559" t="str">
        <f>IF(MODELAGEM!U227=0,"-",MODELAGEM!P227)</f>
        <v>-</v>
      </c>
      <c r="H122" s="559" t="s">
        <v>307</v>
      </c>
      <c r="I122" s="559" t="str">
        <f>IF(MODELAGEM!U227=0,"-",MODELAGEM!Q227)</f>
        <v>-</v>
      </c>
      <c r="J122" s="534" t="s">
        <v>325</v>
      </c>
      <c r="L122" s="533" t="s">
        <v>702</v>
      </c>
      <c r="M122" s="559" t="str">
        <f>IF(MODELAGEM!U236=0,"-",MODELAGEM!P236)</f>
        <v>-</v>
      </c>
      <c r="N122" s="559" t="s">
        <v>307</v>
      </c>
      <c r="O122" s="559" t="str">
        <f>IF(MODELAGEM!U236=0,"-",MODELAGEM!Q236)</f>
        <v>-</v>
      </c>
      <c r="P122" s="534" t="s">
        <v>325</v>
      </c>
      <c r="R122" s="533" t="s">
        <v>702</v>
      </c>
      <c r="S122" s="559"/>
      <c r="T122" s="559" t="s">
        <v>307</v>
      </c>
      <c r="U122" s="559"/>
      <c r="V122" s="534" t="s">
        <v>325</v>
      </c>
    </row>
    <row r="123" spans="5:25" x14ac:dyDescent="0.25">
      <c r="F123" s="533" t="s">
        <v>389</v>
      </c>
      <c r="G123" s="330" t="str">
        <f>IF(MODELAGEM!U227=0,"-",SUM(MODELAGEM!U11:U227))</f>
        <v>-</v>
      </c>
      <c r="H123" s="535" t="s">
        <v>708</v>
      </c>
      <c r="I123" s="536">
        <f>I109</f>
        <v>2</v>
      </c>
      <c r="J123" s="534"/>
      <c r="L123" s="533" t="s">
        <v>389</v>
      </c>
      <c r="M123" s="330" t="str">
        <f>IF(MODELAGEM!U236=0,"-",SUM(MODELAGEM!U11:U236))</f>
        <v>-</v>
      </c>
      <c r="N123" s="535" t="s">
        <v>708</v>
      </c>
      <c r="O123" s="536">
        <f>I123</f>
        <v>2</v>
      </c>
      <c r="P123" s="534"/>
      <c r="R123" s="533" t="s">
        <v>389</v>
      </c>
      <c r="S123" s="330"/>
      <c r="T123" s="535" t="s">
        <v>708</v>
      </c>
      <c r="U123" s="536"/>
      <c r="V123" s="534"/>
    </row>
    <row r="124" spans="5:25" x14ac:dyDescent="0.25">
      <c r="F124" s="1828" t="s">
        <v>723</v>
      </c>
      <c r="G124" s="1829"/>
      <c r="H124" s="1829" t="str">
        <f>H110</f>
        <v>Victor Ferreira</v>
      </c>
      <c r="I124" s="1829"/>
      <c r="J124" s="1832"/>
      <c r="L124" s="1828" t="s">
        <v>723</v>
      </c>
      <c r="M124" s="1829"/>
      <c r="N124" s="1829" t="str">
        <f>H124</f>
        <v>Victor Ferreira</v>
      </c>
      <c r="O124" s="1829"/>
      <c r="P124" s="1832"/>
      <c r="R124" s="1828" t="s">
        <v>723</v>
      </c>
      <c r="S124" s="1829"/>
      <c r="T124" s="1829"/>
      <c r="U124" s="1829"/>
      <c r="V124" s="1832"/>
    </row>
    <row r="125" spans="5:25" ht="15.75" thickBot="1" x14ac:dyDescent="0.3">
      <c r="F125" s="531" t="s">
        <v>703</v>
      </c>
      <c r="G125" s="1825">
        <f>G111</f>
        <v>45182</v>
      </c>
      <c r="H125" s="1826"/>
      <c r="I125" s="1826"/>
      <c r="J125" s="1827"/>
      <c r="L125" s="531" t="s">
        <v>703</v>
      </c>
      <c r="M125" s="1825">
        <f>G125</f>
        <v>45182</v>
      </c>
      <c r="N125" s="1826"/>
      <c r="O125" s="1826"/>
      <c r="P125" s="1827"/>
      <c r="R125" s="531" t="s">
        <v>703</v>
      </c>
      <c r="S125" s="1825"/>
      <c r="T125" s="1826"/>
      <c r="U125" s="1826"/>
      <c r="V125" s="1827"/>
    </row>
    <row r="126" spans="5:25" ht="15.75" thickBot="1" x14ac:dyDescent="0.3">
      <c r="F126" s="558" t="s">
        <v>725</v>
      </c>
      <c r="G126" s="1812" t="str">
        <f>IF(MODELAGEM!I234=0," ",MODELAGEM!I234)</f>
        <v xml:space="preserve"> </v>
      </c>
      <c r="H126" s="1812"/>
      <c r="I126" s="1812"/>
      <c r="J126" s="1813"/>
      <c r="L126" s="558" t="s">
        <v>725</v>
      </c>
      <c r="M126" s="1812" t="str">
        <f>IF(MODELAGEM!I243=0," ",MODELAGEM!I243)</f>
        <v xml:space="preserve"> </v>
      </c>
      <c r="N126" s="1812"/>
      <c r="O126" s="1812"/>
      <c r="P126" s="1813"/>
      <c r="R126" s="558" t="s">
        <v>725</v>
      </c>
      <c r="S126" s="1812"/>
      <c r="T126" s="1812"/>
      <c r="U126" s="1812"/>
      <c r="V126" s="1813"/>
    </row>
    <row r="127" spans="5:25" ht="15.75" thickBot="1" x14ac:dyDescent="0.3">
      <c r="E127" s="1839" t="s">
        <v>411</v>
      </c>
      <c r="F127" s="1839"/>
      <c r="G127" s="1839"/>
      <c r="H127" s="1839"/>
      <c r="I127" s="1839"/>
      <c r="J127" s="1839"/>
      <c r="K127" s="1839"/>
      <c r="L127" s="1839"/>
      <c r="M127" s="1839"/>
      <c r="N127" s="1839"/>
      <c r="O127" s="1839"/>
      <c r="P127" s="1839"/>
      <c r="Q127" s="1839"/>
      <c r="R127" s="1839"/>
      <c r="S127" s="1839"/>
      <c r="T127" s="1839"/>
      <c r="U127" s="1839"/>
      <c r="V127" s="1839"/>
    </row>
    <row r="128" spans="5:25" ht="15.75" thickBot="1" x14ac:dyDescent="0.3">
      <c r="E128" s="552">
        <v>1</v>
      </c>
      <c r="F128" s="1833" t="str">
        <f>'Programação Individual'!B21</f>
        <v>VMORDEKAI</v>
      </c>
      <c r="G128" s="1834"/>
      <c r="H128" s="1834"/>
      <c r="I128" s="1834"/>
      <c r="J128" s="1835"/>
      <c r="K128">
        <f>E128+1</f>
        <v>2</v>
      </c>
      <c r="L128" s="1833" t="str">
        <f>F128</f>
        <v>VMORDEKAI</v>
      </c>
      <c r="M128" s="1834"/>
      <c r="N128" s="1834"/>
      <c r="O128" s="1834"/>
      <c r="P128" s="1835"/>
      <c r="Q128">
        <f>K128+1</f>
        <v>3</v>
      </c>
      <c r="R128" s="1833" t="str">
        <f>L128</f>
        <v>VMORDEKAI</v>
      </c>
      <c r="S128" s="1834"/>
      <c r="T128" s="1834"/>
      <c r="U128" s="1834"/>
      <c r="V128" s="1835"/>
    </row>
    <row r="129" spans="5:22" x14ac:dyDescent="0.25">
      <c r="E129" s="814"/>
      <c r="F129" s="1822" t="str">
        <f>MODELAGEM!J4</f>
        <v>REF. NOME + Nº - 15H x 10B x 5L (cm)</v>
      </c>
      <c r="G129" s="1823"/>
      <c r="H129" s="1823"/>
      <c r="I129" s="1823"/>
      <c r="J129" s="1824"/>
      <c r="K129" s="814"/>
      <c r="L129" s="1822" t="str">
        <f>F129</f>
        <v>REF. NOME + Nº - 15H x 10B x 5L (cm)</v>
      </c>
      <c r="M129" s="1823"/>
      <c r="N129" s="1823"/>
      <c r="O129" s="1823"/>
      <c r="P129" s="1824"/>
      <c r="Q129" s="814"/>
      <c r="R129" s="1822" t="str">
        <f>L129</f>
        <v>REF. NOME + Nº - 15H x 10B x 5L (cm)</v>
      </c>
      <c r="S129" s="1823"/>
      <c r="T129" s="1823"/>
      <c r="U129" s="1823"/>
      <c r="V129" s="1824"/>
    </row>
    <row r="130" spans="5:22" x14ac:dyDescent="0.25">
      <c r="F130" s="531" t="s">
        <v>713</v>
      </c>
      <c r="G130" s="1830" t="str">
        <f>MODELAGEM!I260</f>
        <v>ALÇA COSTA</v>
      </c>
      <c r="H130" s="1830"/>
      <c r="I130" s="1830"/>
      <c r="J130" s="1831"/>
      <c r="L130" s="533" t="s">
        <v>713</v>
      </c>
      <c r="M130" s="1814">
        <f>MODELAGEM!I261</f>
        <v>0</v>
      </c>
      <c r="N130" s="1814"/>
      <c r="O130" s="1814"/>
      <c r="P130" s="1815"/>
      <c r="R130" s="533" t="s">
        <v>713</v>
      </c>
      <c r="S130" s="1814">
        <f>MODELAGEM!I262</f>
        <v>0</v>
      </c>
      <c r="T130" s="1814"/>
      <c r="U130" s="1814"/>
      <c r="V130" s="1815"/>
    </row>
    <row r="131" spans="5:22" x14ac:dyDescent="0.25">
      <c r="F131" s="540" t="s">
        <v>701</v>
      </c>
      <c r="G131" s="545">
        <f>IF(MODELAGEM!H259="NÃO","",IF(MODELAGEM!J260&gt;0,MODELAGEM!J260,""))</f>
        <v>1</v>
      </c>
      <c r="H131" s="546" t="str">
        <f>IF(MODELAGEM!H259="NÃO","",IF(MODELAGEM!J260&lt;=0,"","×"))</f>
        <v>×</v>
      </c>
      <c r="I131" s="1816" t="str">
        <f>IF(MODELAGEM!H259="NÃO","",IF(MODELAGEM!J260&lt;=0,"",MODELAGEM!M259))</f>
        <v>Tec. Externo</v>
      </c>
      <c r="J131" s="1817"/>
      <c r="L131" s="531" t="s">
        <v>701</v>
      </c>
      <c r="M131" s="541" t="str">
        <f>IF(MODELAGEM!H259="NÃO","",IF(MODELAGEM!J261&gt;0,MODELAGEM!J261,""))</f>
        <v/>
      </c>
      <c r="N131" s="542" t="str">
        <f>IF(MODELAGEM!H259="NÃO","",IF(MODELAGEM!J261&lt;=0,"","×"))</f>
        <v/>
      </c>
      <c r="O131" s="1818" t="str">
        <f>IF(MODELAGEM!H259="NÃO","",IF(MODELAGEM!J261&lt;=0,"",MODELAGEM!M259))</f>
        <v/>
      </c>
      <c r="P131" s="1819"/>
      <c r="R131" s="531" t="s">
        <v>701</v>
      </c>
      <c r="S131" s="550" t="str">
        <f>IF(MODELAGEM!H259="NÃO","",IF(MODELAGEM!J262&gt;0,MODELAGEM!J262,""))</f>
        <v/>
      </c>
      <c r="T131" s="551" t="str">
        <f>IF(MODELAGEM!H259="NÃO","",IF(MODELAGEM!J262&lt;=0,"","×"))</f>
        <v/>
      </c>
      <c r="U131" s="1820" t="str">
        <f>IF(MODELAGEM!H259="NÃO","",IF(MODELAGEM!J262&lt;=0,"",MODELAGEM!M259))</f>
        <v/>
      </c>
      <c r="V131" s="1821"/>
    </row>
    <row r="132" spans="5:22" x14ac:dyDescent="0.25">
      <c r="F132" s="531"/>
      <c r="G132" s="541">
        <f>IF(MODELAGEM!H259="NÃO","",IF(MODELAGEM!P260="NÃO","",IF(MODELAGEM!J260&gt;0,MODELAGEM!J260,"")))</f>
        <v>1</v>
      </c>
      <c r="H132" s="542" t="str">
        <f>IF(MODELAGEM!H259="NÃO","",IF(MODELAGEM!J260&lt;=0,"",IF(MODELAGEM!P260="NÃO","","×")))</f>
        <v>×</v>
      </c>
      <c r="I132" s="1818" t="str">
        <f>IF(MODELAGEM!H259="NÃO","",IF(MODELAGEM!J260&lt;=0,"",IF(MODELAGEM!P260="NÃO","",MODELAGEM!X15)))</f>
        <v>Entretela</v>
      </c>
      <c r="J132" s="1819"/>
      <c r="L132" s="531"/>
      <c r="M132" s="541" t="str">
        <f>IF(MODELAGEM!P261="NÃO","",IF(MODELAGEM!J261&gt;0,MODELAGEM!J261,""))</f>
        <v/>
      </c>
      <c r="N132" s="542" t="str">
        <f>IF(MODELAGEM!H259="NÃO","",IF(MODELAGEM!J261&lt;=0,"",IF(MODELAGEM!P261="NÃO","","×")))</f>
        <v/>
      </c>
      <c r="O132" s="1818" t="str">
        <f>IF(MODELAGEM!H259="NÃO","",IF(MODELAGEM!J261&lt;=0,"",IF(MODELAGEM!P261="NÃO","",MODELAGEM!X15)))</f>
        <v/>
      </c>
      <c r="P132" s="1819"/>
      <c r="R132" s="531"/>
      <c r="S132" s="550" t="str">
        <f>IF(MODELAGEM!H259="NÃO","",IF(MODELAGEM!P262="NÃO","",IF(MODELAGEM!J262&gt;0,MODELAGEM!J262,"")))</f>
        <v/>
      </c>
      <c r="T132" s="551" t="str">
        <f>IF(MODELAGEM!H259="NÃO","",IF(MODELAGEM!J262&lt;=0,"",IF(MODELAGEM!P262="NÃO","","×")))</f>
        <v/>
      </c>
      <c r="U132" s="1820" t="str">
        <f>IF(MODELAGEM!H259="NÃO","",IF(MODELAGEM!J262&lt;=0,"",IF(MODELAGEM!P262="NÃO","",MODELAGEM!X15)))</f>
        <v/>
      </c>
      <c r="V132" s="1821"/>
    </row>
    <row r="133" spans="5:22" x14ac:dyDescent="0.25">
      <c r="F133" s="538" t="s">
        <v>714</v>
      </c>
      <c r="G133" s="547">
        <f>IF(MODELAGEM!H259="NÃO","",IF(MODELAGEM!J260&gt;0,MODELAGEM!J260,""))</f>
        <v>1</v>
      </c>
      <c r="H133" s="548" t="str">
        <f>IF(MODELAGEM!H259="NÃO","",IF(MODELAGEM!J260&lt;=0,"","×"))</f>
        <v>×</v>
      </c>
      <c r="I133" s="1840" t="str">
        <f>IF(MODELAGEM!H259="NÃO","",MODELAGEM!K259)</f>
        <v>Alça ANNA B 30mm</v>
      </c>
      <c r="J133" s="1841"/>
      <c r="L133" s="538" t="s">
        <v>714</v>
      </c>
      <c r="M133" s="547" t="str">
        <f>IF(MODELAGEM!H259="NÃO","",IF(MODELAGEM!J261&gt;0,MODELAGEM!J261,""))</f>
        <v/>
      </c>
      <c r="N133" s="548" t="str">
        <f>IF(MODELAGEM!H259="NÃO","",IF(MODELAGEM!J261&lt;=0,"","×"))</f>
        <v/>
      </c>
      <c r="O133" s="1840" t="str">
        <f>IF(MODELAGEM!H259="NÃO","",IF(MODELAGEM!J261&lt;=0,"",MODELAGEM!K259))</f>
        <v/>
      </c>
      <c r="P133" s="1841"/>
      <c r="R133" s="538" t="s">
        <v>714</v>
      </c>
      <c r="S133" s="817" t="str">
        <f>IF(MODELAGEM!H259="NÃO","",IF(MODELAGEM!J262&gt;0,MODELAGEM!J262,""))</f>
        <v/>
      </c>
      <c r="T133" s="818" t="str">
        <f>IF(MODELAGEM!H259="NÃO","",IF(MODELAGEM!J262&lt;=0,"","×"))</f>
        <v/>
      </c>
      <c r="U133" s="1846" t="str">
        <f>IF(MODELAGEM!H259="NÃO","",IF(MODELAGEM!J262&lt;=0,"",MODELAGEM!K259))</f>
        <v/>
      </c>
      <c r="V133" s="1847"/>
    </row>
    <row r="134" spans="5:22" x14ac:dyDescent="0.25">
      <c r="F134" s="533"/>
      <c r="G134" s="549"/>
      <c r="H134" s="549"/>
      <c r="I134" s="1844"/>
      <c r="J134" s="1845"/>
      <c r="L134" s="532"/>
      <c r="M134" s="543"/>
      <c r="N134" s="544"/>
      <c r="O134" s="1842"/>
      <c r="P134" s="1843"/>
      <c r="R134" s="532"/>
      <c r="S134" s="819"/>
      <c r="T134" s="820"/>
      <c r="U134" s="1848"/>
      <c r="V134" s="1849"/>
    </row>
    <row r="135" spans="5:22" x14ac:dyDescent="0.25">
      <c r="F135" s="533" t="s">
        <v>702</v>
      </c>
      <c r="G135" s="559">
        <f>MODELAGEM!S260</f>
        <v>12.4</v>
      </c>
      <c r="H135" s="559" t="s">
        <v>307</v>
      </c>
      <c r="I135" s="559">
        <f>MODELAGEM!T259</f>
        <v>8</v>
      </c>
      <c r="J135" s="534" t="s">
        <v>325</v>
      </c>
      <c r="L135" s="533" t="s">
        <v>702</v>
      </c>
      <c r="M135" s="559">
        <f>MODELAGEM!S261</f>
        <v>0</v>
      </c>
      <c r="N135" s="559" t="s">
        <v>307</v>
      </c>
      <c r="O135" s="559">
        <f>MODELAGEM!T259</f>
        <v>8</v>
      </c>
      <c r="P135" s="534" t="s">
        <v>325</v>
      </c>
      <c r="R135" s="533" t="s">
        <v>702</v>
      </c>
      <c r="S135" s="559">
        <f>MODELAGEM!S262</f>
        <v>0</v>
      </c>
      <c r="T135" s="559" t="s">
        <v>307</v>
      </c>
      <c r="U135" s="559">
        <f>MODELAGEM!T259</f>
        <v>8</v>
      </c>
      <c r="V135" s="534" t="s">
        <v>325</v>
      </c>
    </row>
    <row r="136" spans="5:22" x14ac:dyDescent="0.25">
      <c r="F136" s="533" t="s">
        <v>389</v>
      </c>
      <c r="G136" s="330">
        <f>IF(MODELAGEM!K260=0,"-",MODELAGEM!K260+SUM(MODELAGEM!U11:U236))</f>
        <v>2</v>
      </c>
      <c r="H136" s="535" t="s">
        <v>708</v>
      </c>
      <c r="I136" s="536">
        <f>MODELAGEM!T250</f>
        <v>2</v>
      </c>
      <c r="J136" s="534"/>
      <c r="L136" s="533" t="s">
        <v>389</v>
      </c>
      <c r="M136" s="537" t="str">
        <f>IF(MODELAGEM!K261=0,"-",SUM(MODELAGEM!K260:K261)+SUM(MODELAGEM!U11:U236))</f>
        <v>-</v>
      </c>
      <c r="N136" s="535" t="s">
        <v>708</v>
      </c>
      <c r="O136" s="536">
        <f>I136</f>
        <v>2</v>
      </c>
      <c r="P136" s="534"/>
      <c r="R136" s="533" t="s">
        <v>389</v>
      </c>
      <c r="S136" s="537" t="str">
        <f>IF(MODELAGEM!K262=0,"-",SUM(MODELAGEM!K260:K262)+SUM(MODELAGEM!U11:U236))</f>
        <v>-</v>
      </c>
      <c r="T136" s="535" t="s">
        <v>708</v>
      </c>
      <c r="U136" s="536">
        <f>O136</f>
        <v>2</v>
      </c>
      <c r="V136" s="534"/>
    </row>
    <row r="137" spans="5:22" x14ac:dyDescent="0.25">
      <c r="F137" s="1828" t="s">
        <v>723</v>
      </c>
      <c r="G137" s="1829"/>
      <c r="H137" s="1829" t="str">
        <f>'NOME + Nº'!J4</f>
        <v>Victor Ferreira</v>
      </c>
      <c r="I137" s="1829"/>
      <c r="J137" s="1832"/>
      <c r="L137" s="1828" t="s">
        <v>723</v>
      </c>
      <c r="M137" s="1829"/>
      <c r="N137" s="1829" t="str">
        <f>H137</f>
        <v>Victor Ferreira</v>
      </c>
      <c r="O137" s="1829"/>
      <c r="P137" s="1832"/>
      <c r="R137" s="1828" t="s">
        <v>723</v>
      </c>
      <c r="S137" s="1829"/>
      <c r="T137" s="1829" t="str">
        <f>N137</f>
        <v>Victor Ferreira</v>
      </c>
      <c r="U137" s="1829"/>
      <c r="V137" s="1832"/>
    </row>
    <row r="138" spans="5:22" ht="15.75" thickBot="1" x14ac:dyDescent="0.3">
      <c r="F138" s="531" t="s">
        <v>703</v>
      </c>
      <c r="G138" s="1825">
        <f>'NOME + Nº'!L4</f>
        <v>45182</v>
      </c>
      <c r="H138" s="1826"/>
      <c r="I138" s="1826"/>
      <c r="J138" s="1827"/>
      <c r="L138" s="531" t="s">
        <v>703</v>
      </c>
      <c r="M138" s="1825">
        <f>G138</f>
        <v>45182</v>
      </c>
      <c r="N138" s="1826"/>
      <c r="O138" s="1826"/>
      <c r="P138" s="1827"/>
      <c r="R138" s="531" t="s">
        <v>703</v>
      </c>
      <c r="S138" s="1825">
        <f>G138</f>
        <v>45182</v>
      </c>
      <c r="T138" s="1826"/>
      <c r="U138" s="1826"/>
      <c r="V138" s="1827"/>
    </row>
    <row r="139" spans="5:22" ht="15.75" thickBot="1" x14ac:dyDescent="0.3">
      <c r="F139" s="558" t="s">
        <v>725</v>
      </c>
      <c r="G139" s="1812" t="str">
        <f>IF(MODELAGEM!I264=0," ",MODELAGEM!I264)</f>
        <v xml:space="preserve"> </v>
      </c>
      <c r="H139" s="1812"/>
      <c r="I139" s="1812"/>
      <c r="J139" s="1813"/>
      <c r="L139" s="558" t="s">
        <v>725</v>
      </c>
      <c r="M139" s="1812" t="str">
        <f>IF(MODELAGEM!I264=0," ",MODELAGEM!I264)</f>
        <v xml:space="preserve"> </v>
      </c>
      <c r="N139" s="1812"/>
      <c r="O139" s="1812"/>
      <c r="P139" s="1813"/>
      <c r="R139" s="558" t="s">
        <v>725</v>
      </c>
      <c r="S139" s="1812" t="str">
        <f>IF(MODELAGEM!I264=0," ",MODELAGEM!I264)</f>
        <v xml:space="preserve"> </v>
      </c>
      <c r="T139" s="1812"/>
      <c r="U139" s="1812"/>
      <c r="V139" s="1813"/>
    </row>
    <row r="140" spans="5:22" ht="15.75" thickBot="1" x14ac:dyDescent="0.3"/>
    <row r="141" spans="5:22" ht="15.75" thickBot="1" x14ac:dyDescent="0.3">
      <c r="E141">
        <f>Q128+1</f>
        <v>4</v>
      </c>
      <c r="F141" s="1833" t="str">
        <f>R128</f>
        <v>VMORDEKAI</v>
      </c>
      <c r="G141" s="1834"/>
      <c r="H141" s="1834"/>
      <c r="I141" s="1834"/>
      <c r="J141" s="1835"/>
      <c r="K141" s="552">
        <f>E141+1</f>
        <v>5</v>
      </c>
      <c r="L141" s="1833" t="str">
        <f>F128</f>
        <v>VMORDEKAI</v>
      </c>
      <c r="M141" s="1834"/>
      <c r="N141" s="1834"/>
      <c r="O141" s="1834"/>
      <c r="P141" s="1835"/>
      <c r="Q141">
        <f>K141+1</f>
        <v>6</v>
      </c>
      <c r="R141" s="1833" t="str">
        <f>L141</f>
        <v>VMORDEKAI</v>
      </c>
      <c r="S141" s="1834"/>
      <c r="T141" s="1834"/>
      <c r="U141" s="1834"/>
      <c r="V141" s="1835"/>
    </row>
    <row r="142" spans="5:22" x14ac:dyDescent="0.25">
      <c r="E142" s="814"/>
      <c r="F142" s="1822" t="str">
        <f>R129</f>
        <v>REF. NOME + Nº - 15H x 10B x 5L (cm)</v>
      </c>
      <c r="G142" s="1823"/>
      <c r="H142" s="1823"/>
      <c r="I142" s="1823"/>
      <c r="J142" s="1824"/>
      <c r="K142" s="814"/>
      <c r="L142" s="1822" t="str">
        <f>F129</f>
        <v>REF. NOME + Nº - 15H x 10B x 5L (cm)</v>
      </c>
      <c r="M142" s="1823"/>
      <c r="N142" s="1823"/>
      <c r="O142" s="1823"/>
      <c r="P142" s="1824"/>
      <c r="Q142" s="814"/>
      <c r="R142" s="1822" t="str">
        <f>L142</f>
        <v>REF. NOME + Nº - 15H x 10B x 5L (cm)</v>
      </c>
      <c r="S142" s="1823"/>
      <c r="T142" s="1823"/>
      <c r="U142" s="1823"/>
      <c r="V142" s="1824"/>
    </row>
    <row r="143" spans="5:22" x14ac:dyDescent="0.25">
      <c r="F143" s="533" t="s">
        <v>713</v>
      </c>
      <c r="G143" s="1814">
        <f>MODELAGEM!I263</f>
        <v>0</v>
      </c>
      <c r="H143" s="1814"/>
      <c r="I143" s="1814"/>
      <c r="J143" s="1815"/>
      <c r="L143" s="533" t="s">
        <v>713</v>
      </c>
      <c r="M143" s="1814" t="str">
        <f>MODELAGEM!I267</f>
        <v>ALÇA FOLE</v>
      </c>
      <c r="N143" s="1814"/>
      <c r="O143" s="1814"/>
      <c r="P143" s="1815"/>
      <c r="R143" s="533" t="s">
        <v>713</v>
      </c>
      <c r="S143" s="1814">
        <f>MODELAGEM!I268</f>
        <v>0</v>
      </c>
      <c r="T143" s="1814"/>
      <c r="U143" s="1814"/>
      <c r="V143" s="1815"/>
    </row>
    <row r="144" spans="5:22" x14ac:dyDescent="0.25">
      <c r="F144" s="531" t="s">
        <v>701</v>
      </c>
      <c r="G144" s="541" t="str">
        <f>IF(MODELAGEM!H259="NÃO","",IF(MODELAGEM!J263&gt;0,MODELAGEM!J263,""))</f>
        <v/>
      </c>
      <c r="H144" s="542" t="str">
        <f>IF(MODELAGEM!H259="NÃO","",IF(MODELAGEM!J263&lt;=0,"","×"))</f>
        <v/>
      </c>
      <c r="I144" s="1818" t="str">
        <f>IF(MODELAGEM!H259="NÃO","",IF(MODELAGEM!J263&lt;=0,"",MODELAGEM!M259))</f>
        <v/>
      </c>
      <c r="J144" s="1819"/>
      <c r="L144" s="531" t="s">
        <v>701</v>
      </c>
      <c r="M144" s="541">
        <f>IF(MODELAGEM!H266="NÃO","",IF(MODELAGEM!J267&gt;0,MODELAGEM!J267,""))</f>
        <v>1</v>
      </c>
      <c r="N144" s="542" t="str">
        <f>IF(MODELAGEM!H266="NÃO","",IF(MODELAGEM!J267&lt;=0,"","×"))</f>
        <v>×</v>
      </c>
      <c r="O144" s="1818" t="str">
        <f>IF(MODELAGEM!H266="NÃO","",IF(MODELAGEM!J267&lt;=0,"",MODELAGEM!M266))</f>
        <v>Tec. Externo</v>
      </c>
      <c r="P144" s="1819"/>
      <c r="R144" s="531" t="s">
        <v>701</v>
      </c>
      <c r="S144" s="541" t="str">
        <f>IF(MODELAGEM!H266="NÃO","",IF(MODELAGEM!J268&gt;0,MODELAGEM!J268,""))</f>
        <v/>
      </c>
      <c r="T144" s="542" t="str">
        <f>IF(MODELAGEM!H266="NÃO","",IF(MODELAGEM!J268&lt;=0,"","×"))</f>
        <v/>
      </c>
      <c r="U144" s="1818" t="str">
        <f>IF(MODELAGEM!H266="NÃO","",IF(MODELAGEM!J268&lt;=0,"",MODELAGEM!M266))</f>
        <v/>
      </c>
      <c r="V144" s="1819"/>
    </row>
    <row r="145" spans="5:22" x14ac:dyDescent="0.25">
      <c r="F145" s="531"/>
      <c r="G145" s="541" t="str">
        <f>IF(MODELAGEM!H259="NÃO","",IF(MODELAGEM!P263="NÃO","",IF(MODELAGEM!J263&gt;0,MODELAGEM!J263,"")))</f>
        <v/>
      </c>
      <c r="H145" s="542" t="str">
        <f>IF(MODELAGEM!H259="NÃO","",IF(MODELAGEM!J263&lt;=0,"",IF(MODELAGEM!P263="NÃO","","×")))</f>
        <v/>
      </c>
      <c r="I145" s="1818" t="str">
        <f>IF(MODELAGEM!H259="NÃO","",IF(MODELAGEM!J263&lt;=0,"",IF(MODELAGEM!P263="NÃO","",MODELAGEM!X15)))</f>
        <v/>
      </c>
      <c r="J145" s="1819"/>
      <c r="L145" s="531"/>
      <c r="M145" s="541">
        <f>IF(MODELAGEM!P267="NÃO","",IF(MODELAGEM!J267&gt;0,MODELAGEM!J267,""))</f>
        <v>1</v>
      </c>
      <c r="N145" s="542" t="str">
        <f>IF(MODELAGEM!H266="NÃO","",IF(MODELAGEM!J267&lt;=0,"",IF(MODELAGEM!P267="NÃO","","×")))</f>
        <v>×</v>
      </c>
      <c r="O145" s="1818" t="str">
        <f>IF(MODELAGEM!H266="NÃO","",IF(MODELAGEM!J267&lt;=0,"",IF(MODELAGEM!P267="NÃO","",MODELAGEM!X15)))</f>
        <v>Entretela</v>
      </c>
      <c r="P145" s="1819"/>
      <c r="R145" s="531"/>
      <c r="S145" s="541" t="str">
        <f>IF(MODELAGEM!P268="NÃO","",IF(MODELAGEM!J268&gt;0,MODELAGEM!J268,""))</f>
        <v/>
      </c>
      <c r="T145" s="542" t="str">
        <f>IF(MODELAGEM!H266="NÃO","",IF(MODELAGEM!J268&lt;=0,"",IF(MODELAGEM!P268="NÃO","","×")))</f>
        <v/>
      </c>
      <c r="U145" s="1818" t="str">
        <f>IF(MODELAGEM!H266="NÃO","",IF(MODELAGEM!J268&lt;=0,"",IF(MODELAGEM!P268="NÃO","",MODELAGEM!X15)))</f>
        <v/>
      </c>
      <c r="V145" s="1819"/>
    </row>
    <row r="146" spans="5:22" x14ac:dyDescent="0.25">
      <c r="F146" s="538" t="s">
        <v>714</v>
      </c>
      <c r="G146" s="547" t="str">
        <f>IF(MODELAGEM!H259="NÃO","",IF(MODELAGEM!J263&gt;0,MODELAGEM!J263,""))</f>
        <v/>
      </c>
      <c r="H146" s="548" t="str">
        <f>IF(MODELAGEM!H259="NÃO","",IF(MODELAGEM!J263&lt;=0,"","×"))</f>
        <v/>
      </c>
      <c r="I146" s="1840" t="str">
        <f>IF(MODELAGEM!H259="NÃO","",IF(MODELAGEM!J263&lt;=0,"",MODELAGEM!K259))</f>
        <v/>
      </c>
      <c r="J146" s="1841"/>
      <c r="L146" s="538" t="s">
        <v>714</v>
      </c>
      <c r="M146" s="547">
        <f>IF(MODELAGEM!H266="NÃO","",IF(MODELAGEM!J267&gt;0,MODELAGEM!J267,""))</f>
        <v>1</v>
      </c>
      <c r="N146" s="548" t="str">
        <f>IF(MODELAGEM!H266="NÃO","",IF(MODELAGEM!J267&lt;=0,"","×"))</f>
        <v>×</v>
      </c>
      <c r="O146" s="1840" t="str">
        <f>IF(MODELAGEM!H266="NÃO","",IF(MODELAGEM!J267&lt;=0,"",MODELAGEM!K266))</f>
        <v>SEM equivalência</v>
      </c>
      <c r="P146" s="1841"/>
      <c r="R146" s="538" t="s">
        <v>714</v>
      </c>
      <c r="S146" s="547" t="str">
        <f>IF(MODELAGEM!H266="NÃO","",IF(MODELAGEM!J268&gt;0,MODELAGEM!J268,""))</f>
        <v/>
      </c>
      <c r="T146" s="548" t="str">
        <f>IF(MODELAGEM!H266="NÃO","",IF(MODELAGEM!J268&lt;=0,"","×"))</f>
        <v/>
      </c>
      <c r="U146" s="1840" t="str">
        <f>IF(MODELAGEM!H266="NÃO","",IF(MODELAGEM!J268&lt;=0,"",MODELAGEM!K266))</f>
        <v/>
      </c>
      <c r="V146" s="1841"/>
    </row>
    <row r="147" spans="5:22" x14ac:dyDescent="0.25">
      <c r="F147" s="532"/>
      <c r="G147" s="543"/>
      <c r="H147" s="544"/>
      <c r="I147" s="1842"/>
      <c r="J147" s="1843"/>
      <c r="L147" s="532"/>
      <c r="M147" s="543"/>
      <c r="N147" s="544"/>
      <c r="O147" s="1842"/>
      <c r="P147" s="1843"/>
      <c r="R147" s="532"/>
      <c r="S147" s="543"/>
      <c r="T147" s="544"/>
      <c r="U147" s="1842"/>
      <c r="V147" s="1843"/>
    </row>
    <row r="148" spans="5:22" x14ac:dyDescent="0.25">
      <c r="F148" s="533" t="s">
        <v>702</v>
      </c>
      <c r="G148" s="559">
        <f>MODELAGEM!S263</f>
        <v>0</v>
      </c>
      <c r="H148" s="559" t="s">
        <v>307</v>
      </c>
      <c r="I148" s="559">
        <f>MODELAGEM!T259</f>
        <v>8</v>
      </c>
      <c r="J148" s="534" t="s">
        <v>325</v>
      </c>
      <c r="L148" s="533" t="s">
        <v>702</v>
      </c>
      <c r="M148" s="559">
        <f>MODELAGEM!S267</f>
        <v>16.5</v>
      </c>
      <c r="N148" s="559" t="s">
        <v>307</v>
      </c>
      <c r="O148" s="559">
        <f>MODELAGEM!T266</f>
        <v>4</v>
      </c>
      <c r="P148" s="534" t="s">
        <v>325</v>
      </c>
      <c r="R148" s="533" t="s">
        <v>702</v>
      </c>
      <c r="S148" s="559">
        <f>MODELAGEM!S268</f>
        <v>0</v>
      </c>
      <c r="T148" s="559" t="s">
        <v>307</v>
      </c>
      <c r="U148" s="559">
        <f>MODELAGEM!T266</f>
        <v>4</v>
      </c>
      <c r="V148" s="534" t="s">
        <v>325</v>
      </c>
    </row>
    <row r="149" spans="5:22" x14ac:dyDescent="0.25">
      <c r="F149" s="533" t="s">
        <v>389</v>
      </c>
      <c r="G149" s="537" t="str">
        <f>IF(MODELAGEM!K263=0,"-",SUM(MODELAGEM!K260:K263)+SUM(MODELAGEM!U11:U236))</f>
        <v>-</v>
      </c>
      <c r="H149" s="535" t="s">
        <v>708</v>
      </c>
      <c r="I149" s="536">
        <f>U136</f>
        <v>2</v>
      </c>
      <c r="J149" s="534"/>
      <c r="L149" s="533" t="s">
        <v>389</v>
      </c>
      <c r="M149" s="537" t="str">
        <f>IF(MODELAGEM!K267=0,"-",SUM(MODELAGEM!K260:K263)+SUM(MODELAGEM!K267:K267)+SUM(MODELAGEM!U11:U236))</f>
        <v>-</v>
      </c>
      <c r="N149" s="535" t="s">
        <v>708</v>
      </c>
      <c r="O149" s="536">
        <f>I136</f>
        <v>2</v>
      </c>
      <c r="P149" s="534"/>
      <c r="R149" s="533" t="s">
        <v>389</v>
      </c>
      <c r="S149" s="537" t="str">
        <f>IF(MODELAGEM!K268=0,"-",SUM(MODELAGEM!K260:K263)+SUM(MODELAGEM!K267:K268)+SUM(MODELAGEM!U11:U236))</f>
        <v>-</v>
      </c>
      <c r="T149" s="535" t="s">
        <v>708</v>
      </c>
      <c r="U149" s="536">
        <f>O149</f>
        <v>2</v>
      </c>
      <c r="V149" s="534"/>
    </row>
    <row r="150" spans="5:22" x14ac:dyDescent="0.25">
      <c r="F150" s="1828" t="s">
        <v>723</v>
      </c>
      <c r="G150" s="1829"/>
      <c r="H150" s="1829" t="str">
        <f>T137</f>
        <v>Victor Ferreira</v>
      </c>
      <c r="I150" s="1829"/>
      <c r="J150" s="1832"/>
      <c r="L150" s="1828" t="s">
        <v>723</v>
      </c>
      <c r="M150" s="1829"/>
      <c r="N150" s="1829" t="str">
        <f>H137</f>
        <v>Victor Ferreira</v>
      </c>
      <c r="O150" s="1829"/>
      <c r="P150" s="1832"/>
      <c r="R150" s="1828" t="s">
        <v>723</v>
      </c>
      <c r="S150" s="1829"/>
      <c r="T150" s="1829" t="str">
        <f>N150</f>
        <v>Victor Ferreira</v>
      </c>
      <c r="U150" s="1829"/>
      <c r="V150" s="1832"/>
    </row>
    <row r="151" spans="5:22" ht="15.75" thickBot="1" x14ac:dyDescent="0.3">
      <c r="F151" s="531" t="s">
        <v>703</v>
      </c>
      <c r="G151" s="1825">
        <f>M138</f>
        <v>45182</v>
      </c>
      <c r="H151" s="1826"/>
      <c r="I151" s="1826"/>
      <c r="J151" s="1827"/>
      <c r="L151" s="531" t="s">
        <v>703</v>
      </c>
      <c r="M151" s="1825">
        <f>G138</f>
        <v>45182</v>
      </c>
      <c r="N151" s="1826"/>
      <c r="O151" s="1826"/>
      <c r="P151" s="1827"/>
      <c r="R151" s="531" t="s">
        <v>703</v>
      </c>
      <c r="S151" s="1825">
        <f>M151</f>
        <v>45182</v>
      </c>
      <c r="T151" s="1826"/>
      <c r="U151" s="1826"/>
      <c r="V151" s="1827"/>
    </row>
    <row r="152" spans="5:22" ht="15.75" thickBot="1" x14ac:dyDescent="0.3">
      <c r="F152" s="558" t="s">
        <v>725</v>
      </c>
      <c r="G152" s="1812" t="str">
        <f>IF(MODELAGEM!I264=0," ",MODELAGEM!I264)</f>
        <v xml:space="preserve"> </v>
      </c>
      <c r="H152" s="1812"/>
      <c r="I152" s="1812"/>
      <c r="J152" s="1813"/>
      <c r="L152" s="558" t="s">
        <v>725</v>
      </c>
      <c r="M152" s="1812" t="str">
        <f>IF(MODELAGEM!I271=0," ",MODELAGEM!I271)</f>
        <v xml:space="preserve"> </v>
      </c>
      <c r="N152" s="1812"/>
      <c r="O152" s="1812"/>
      <c r="P152" s="1813"/>
      <c r="R152" s="558" t="s">
        <v>725</v>
      </c>
      <c r="S152" s="1812" t="str">
        <f>IF(MODELAGEM!I271=0," ",MODELAGEM!I271)</f>
        <v xml:space="preserve"> </v>
      </c>
      <c r="T152" s="1812"/>
      <c r="U152" s="1812"/>
      <c r="V152" s="1813"/>
    </row>
    <row r="153" spans="5:22" ht="15.75" thickBot="1" x14ac:dyDescent="0.3">
      <c r="F153" s="539"/>
      <c r="G153" s="539"/>
      <c r="H153" s="539"/>
      <c r="I153" s="539"/>
      <c r="J153" s="539"/>
    </row>
    <row r="154" spans="5:22" ht="15.75" thickBot="1" x14ac:dyDescent="0.3">
      <c r="E154">
        <f>Q141+1</f>
        <v>7</v>
      </c>
      <c r="F154" s="1850" t="str">
        <f>R141</f>
        <v>VMORDEKAI</v>
      </c>
      <c r="G154" s="1851"/>
      <c r="H154" s="1851"/>
      <c r="I154" s="1851"/>
      <c r="J154" s="1852"/>
      <c r="K154">
        <f>E154+1</f>
        <v>8</v>
      </c>
      <c r="L154" s="1833" t="str">
        <f>F154</f>
        <v>VMORDEKAI</v>
      </c>
      <c r="M154" s="1834"/>
      <c r="N154" s="1834"/>
      <c r="O154" s="1834"/>
      <c r="P154" s="1835"/>
      <c r="Q154" s="552">
        <f>K154+1</f>
        <v>9</v>
      </c>
      <c r="R154" s="1836" t="str">
        <f>L141</f>
        <v>VMORDEKAI</v>
      </c>
      <c r="S154" s="1837"/>
      <c r="T154" s="1837"/>
      <c r="U154" s="1837"/>
      <c r="V154" s="1838"/>
    </row>
    <row r="155" spans="5:22" x14ac:dyDescent="0.25">
      <c r="E155" s="814"/>
      <c r="F155" s="1822" t="str">
        <f>L142</f>
        <v>REF. NOME + Nº - 15H x 10B x 5L (cm)</v>
      </c>
      <c r="G155" s="1823"/>
      <c r="H155" s="1823"/>
      <c r="I155" s="1823"/>
      <c r="J155" s="1824"/>
      <c r="K155" s="814"/>
      <c r="L155" s="1822" t="str">
        <f>R142</f>
        <v>REF. NOME + Nº - 15H x 10B x 5L (cm)</v>
      </c>
      <c r="M155" s="1823"/>
      <c r="N155" s="1823"/>
      <c r="O155" s="1823"/>
      <c r="P155" s="1824"/>
      <c r="Q155" s="814"/>
      <c r="R155" s="1822" t="str">
        <f>L142</f>
        <v>REF. NOME + Nº - 15H x 10B x 5L (cm)</v>
      </c>
      <c r="S155" s="1823"/>
      <c r="T155" s="1823"/>
      <c r="U155" s="1823"/>
      <c r="V155" s="1824"/>
    </row>
    <row r="156" spans="5:22" x14ac:dyDescent="0.25">
      <c r="F156" s="533" t="s">
        <v>713</v>
      </c>
      <c r="G156" s="1814">
        <f>MODELAGEM!I269</f>
        <v>0</v>
      </c>
      <c r="H156" s="1814"/>
      <c r="I156" s="1814"/>
      <c r="J156" s="1815"/>
      <c r="L156" s="533" t="s">
        <v>713</v>
      </c>
      <c r="M156" s="1814">
        <f>MODELAGEM!I270</f>
        <v>0</v>
      </c>
      <c r="N156" s="1814"/>
      <c r="O156" s="1814"/>
      <c r="P156" s="1815"/>
      <c r="R156" s="533" t="s">
        <v>713</v>
      </c>
      <c r="S156" s="1814" t="str">
        <f>MODELAGEM!I274</f>
        <v>Nome Alça</v>
      </c>
      <c r="T156" s="1814"/>
      <c r="U156" s="1814"/>
      <c r="V156" s="1815"/>
    </row>
    <row r="157" spans="5:22" x14ac:dyDescent="0.25">
      <c r="F157" s="531" t="s">
        <v>701</v>
      </c>
      <c r="G157" s="541" t="str">
        <f>IF(MODELAGEM!H266="NÃO","",IF(MODELAGEM!J269&gt;0,MODELAGEM!J269,""))</f>
        <v/>
      </c>
      <c r="H157" s="542" t="str">
        <f>IF(MODELAGEM!H266="NÃO","",IF(MODELAGEM!J269&lt;=0,"","×"))</f>
        <v/>
      </c>
      <c r="I157" s="1818" t="str">
        <f>IF(MODELAGEM!H266="NÃO","",IF(MODELAGEM!J269&lt;=0,"",MODELAGEM!M266))</f>
        <v/>
      </c>
      <c r="J157" s="1819"/>
      <c r="L157" s="531" t="s">
        <v>701</v>
      </c>
      <c r="M157" s="541" t="str">
        <f>IF(MODELAGEM!H266="NÃO","",IF(MODELAGEM!J270&gt;0,MODELAGEM!J270,""))</f>
        <v/>
      </c>
      <c r="N157" s="542" t="str">
        <f>IF(MODELAGEM!H266="NÃO","",IF(MODELAGEM!J270&lt;=0,"","×"))</f>
        <v/>
      </c>
      <c r="O157" s="1818" t="str">
        <f>IF(MODELAGEM!H266="NÃO","",IF(MODELAGEM!J270&lt;=0,"",MODELAGEM!M266))</f>
        <v/>
      </c>
      <c r="P157" s="1819"/>
      <c r="R157" s="531" t="s">
        <v>701</v>
      </c>
      <c r="S157" s="541" t="str">
        <f>IF(MODELAGEM!H273="NÃO","",IF(MODELAGEM!J274&gt;0,MODELAGEM!J274,""))</f>
        <v/>
      </c>
      <c r="T157" s="542" t="str">
        <f>IF(MODELAGEM!H273="NÃO","",IF(MODELAGEM!J274&lt;=0,"","×"))</f>
        <v/>
      </c>
      <c r="U157" s="1818" t="str">
        <f>IF(MODELAGEM!H273="NÃO","",IF(MODELAGEM!J274&lt;=0,"",MODELAGEM!M273))</f>
        <v/>
      </c>
      <c r="V157" s="1819"/>
    </row>
    <row r="158" spans="5:22" x14ac:dyDescent="0.25">
      <c r="F158" s="531"/>
      <c r="G158" s="541" t="str">
        <f>IF(MODELAGEM!P269="NÃO","",IF(MODELAGEM!J269&gt;0,MODELAGEM!J269,""))</f>
        <v/>
      </c>
      <c r="H158" s="542" t="str">
        <f>IF(MODELAGEM!H266="NÃO","",IF(MODELAGEM!J269&lt;=0,"",IF(MODELAGEM!P269="NÃO","","×")))</f>
        <v/>
      </c>
      <c r="I158" s="1818" t="str">
        <f>IF(MODELAGEM!H266="NÃO","",IF(MODELAGEM!J269&lt;=0,"",IF(MODELAGEM!P269="NÃO","",MODELAGEM!X15)))</f>
        <v/>
      </c>
      <c r="J158" s="1819"/>
      <c r="L158" s="531"/>
      <c r="M158" s="541" t="str">
        <f>IF(MODELAGEM!P270="NÃO","",IF(MODELAGEM!J270&gt;0,MODELAGEM!J270,""))</f>
        <v/>
      </c>
      <c r="N158" s="542" t="str">
        <f>IF(MODELAGEM!H266="NÃO","",IF(MODELAGEM!J270&lt;=0,"",IF(MODELAGEM!P270="NÃO","","×")))</f>
        <v/>
      </c>
      <c r="O158" s="1818" t="str">
        <f>IF(MODELAGEM!H266="NÃO","",IF(MODELAGEM!J270&lt;=0,"",IF(MODELAGEM!P270="NÃO","",MODELAGEM!X15)))</f>
        <v/>
      </c>
      <c r="P158" s="1819"/>
      <c r="R158" s="531"/>
      <c r="S158" s="541" t="str">
        <f>IF(MODELAGEM!P274="NÃO","",IF(MODELAGEM!J274&gt;0,MODELAGEM!J274,""))</f>
        <v/>
      </c>
      <c r="T158" s="542" t="str">
        <f>IF(MODELAGEM!H273="NÃO","",IF(MODELAGEM!J274&lt;=0,"",IF(MODELAGEM!P274="NÃO","","×")))</f>
        <v/>
      </c>
      <c r="U158" s="1818" t="str">
        <f>IF(MODELAGEM!H273="NÃO","",IF(MODELAGEM!J274&lt;=0,"",IF(MODELAGEM!P274="NÃO","",MODELAGEM!X15)))</f>
        <v/>
      </c>
      <c r="V158" s="1819"/>
    </row>
    <row r="159" spans="5:22" x14ac:dyDescent="0.25">
      <c r="F159" s="538" t="s">
        <v>714</v>
      </c>
      <c r="G159" s="547" t="str">
        <f>IF(MODELAGEM!H266="NÃO","",IF(MODELAGEM!J269&gt;0,MODELAGEM!J269,""))</f>
        <v/>
      </c>
      <c r="H159" s="548" t="str">
        <f>IF(MODELAGEM!H266="NÃO","",IF(MODELAGEM!J269&lt;=0,"","×"))</f>
        <v/>
      </c>
      <c r="I159" s="1840" t="str">
        <f>IF(MODELAGEM!H266="NÃO","",IF(MODELAGEM!J269&lt;=0,"",MODELAGEM!K266))</f>
        <v/>
      </c>
      <c r="J159" s="1841"/>
      <c r="L159" s="538" t="s">
        <v>714</v>
      </c>
      <c r="M159" s="547" t="str">
        <f>IF(MODELAGEM!H266="NÃO","",IF(MODELAGEM!J270&gt;0,MODELAGEM!J270,""))</f>
        <v/>
      </c>
      <c r="N159" s="548" t="str">
        <f>IF(MODELAGEM!H266="NÃO","",IF(MODELAGEM!J270&lt;=0,"","×"))</f>
        <v/>
      </c>
      <c r="O159" s="1840" t="str">
        <f>IF(MODELAGEM!H266="NÃO","",IF(MODELAGEM!J270&lt;=0,"",MODELAGEM!K266))</f>
        <v/>
      </c>
      <c r="P159" s="1841"/>
      <c r="R159" s="538" t="s">
        <v>714</v>
      </c>
      <c r="S159" s="547" t="str">
        <f>IF(MODELAGEM!H273="NÃO","",IF(MODELAGEM!J274&gt;0,MODELAGEM!J274,""))</f>
        <v/>
      </c>
      <c r="T159" s="548" t="str">
        <f>IF(MODELAGEM!H273="NÃO","",IF(MODELAGEM!J274&lt;=0,"","×"))</f>
        <v/>
      </c>
      <c r="U159" s="1840" t="str">
        <f>IF(MODELAGEM!H273="NÃO","",IF(MODELAGEM!J274&lt;=0,"",MODELAGEM!K273))</f>
        <v/>
      </c>
      <c r="V159" s="1841"/>
    </row>
    <row r="160" spans="5:22" x14ac:dyDescent="0.25">
      <c r="F160" s="532"/>
      <c r="G160" s="543"/>
      <c r="H160" s="544"/>
      <c r="I160" s="1842"/>
      <c r="J160" s="1843"/>
      <c r="L160" s="532"/>
      <c r="M160" s="543"/>
      <c r="N160" s="544"/>
      <c r="O160" s="1842"/>
      <c r="P160" s="1843"/>
      <c r="R160" s="532"/>
      <c r="S160" s="543"/>
      <c r="T160" s="544"/>
      <c r="U160" s="1842"/>
      <c r="V160" s="1843"/>
    </row>
    <row r="161" spans="5:22" x14ac:dyDescent="0.25">
      <c r="F161" s="533" t="s">
        <v>702</v>
      </c>
      <c r="G161" s="559">
        <f>MODELAGEM!S269</f>
        <v>0</v>
      </c>
      <c r="H161" s="559" t="s">
        <v>307</v>
      </c>
      <c r="I161" s="559">
        <f>MODELAGEM!T266</f>
        <v>4</v>
      </c>
      <c r="J161" s="534" t="s">
        <v>325</v>
      </c>
      <c r="L161" s="533" t="s">
        <v>702</v>
      </c>
      <c r="M161" s="559">
        <f>MODELAGEM!S270</f>
        <v>0</v>
      </c>
      <c r="N161" s="559" t="s">
        <v>307</v>
      </c>
      <c r="O161" s="559">
        <f>MODELAGEM!T266</f>
        <v>4</v>
      </c>
      <c r="P161" s="534" t="s">
        <v>325</v>
      </c>
      <c r="R161" s="533" t="s">
        <v>702</v>
      </c>
      <c r="S161" s="559">
        <f>MODELAGEM!S274</f>
        <v>10</v>
      </c>
      <c r="T161" s="559" t="s">
        <v>307</v>
      </c>
      <c r="U161" s="559">
        <f>MODELAGEM!T273</f>
        <v>8</v>
      </c>
      <c r="V161" s="534" t="s">
        <v>325</v>
      </c>
    </row>
    <row r="162" spans="5:22" x14ac:dyDescent="0.25">
      <c r="F162" s="533" t="s">
        <v>389</v>
      </c>
      <c r="G162" s="537" t="str">
        <f>IF(MODELAGEM!K269=0,"-",SUM(MODELAGEM!K260:K263)+SUM(MODELAGEM!K267:K269)+SUM(MODELAGEM!U11:U236))</f>
        <v>-</v>
      </c>
      <c r="H162" s="535" t="s">
        <v>708</v>
      </c>
      <c r="I162" s="536">
        <f>U149</f>
        <v>2</v>
      </c>
      <c r="J162" s="534"/>
      <c r="L162" s="533" t="s">
        <v>389</v>
      </c>
      <c r="M162" s="537" t="str">
        <f>IF(MODELAGEM!K270=0,"-",SUM(MODELAGEM!K260:K263)+SUM(MODELAGEM!K267:K270)+SUM(MODELAGEM!U11:U236))</f>
        <v>-</v>
      </c>
      <c r="N162" s="535" t="s">
        <v>708</v>
      </c>
      <c r="O162" s="536">
        <f>I162</f>
        <v>2</v>
      </c>
      <c r="P162" s="534"/>
      <c r="R162" s="533" t="s">
        <v>389</v>
      </c>
      <c r="S162" s="537" t="str">
        <f>IF(MODELAGEM!K274=0,"-",SUM(MODELAGEM!K260:K263)+SUM(MODELAGEM!K267:K270)+SUM(MODELAGEM!K274:K274)+SUM(MODELAGEM!U11:U236))</f>
        <v>-</v>
      </c>
      <c r="T162" s="535" t="s">
        <v>708</v>
      </c>
      <c r="U162" s="536">
        <f>O149</f>
        <v>2</v>
      </c>
      <c r="V162" s="534"/>
    </row>
    <row r="163" spans="5:22" x14ac:dyDescent="0.25">
      <c r="F163" s="1828" t="s">
        <v>723</v>
      </c>
      <c r="G163" s="1829"/>
      <c r="H163" s="1829" t="str">
        <f>T150</f>
        <v>Victor Ferreira</v>
      </c>
      <c r="I163" s="1829"/>
      <c r="J163" s="1832"/>
      <c r="L163" s="1828" t="s">
        <v>723</v>
      </c>
      <c r="M163" s="1829"/>
      <c r="N163" s="1829" t="str">
        <f>H163</f>
        <v>Victor Ferreira</v>
      </c>
      <c r="O163" s="1829"/>
      <c r="P163" s="1832"/>
      <c r="R163" s="1828" t="s">
        <v>723</v>
      </c>
      <c r="S163" s="1829"/>
      <c r="T163" s="1829" t="str">
        <f>N150</f>
        <v>Victor Ferreira</v>
      </c>
      <c r="U163" s="1829"/>
      <c r="V163" s="1832"/>
    </row>
    <row r="164" spans="5:22" ht="15.75" thickBot="1" x14ac:dyDescent="0.3">
      <c r="F164" s="531" t="s">
        <v>703</v>
      </c>
      <c r="G164" s="1825">
        <f>M151</f>
        <v>45182</v>
      </c>
      <c r="H164" s="1826"/>
      <c r="I164" s="1826"/>
      <c r="J164" s="1827"/>
      <c r="L164" s="531" t="s">
        <v>703</v>
      </c>
      <c r="M164" s="1825">
        <f>S151</f>
        <v>45182</v>
      </c>
      <c r="N164" s="1826"/>
      <c r="O164" s="1826"/>
      <c r="P164" s="1827"/>
      <c r="R164" s="531" t="s">
        <v>703</v>
      </c>
      <c r="S164" s="1825">
        <f>M151</f>
        <v>45182</v>
      </c>
      <c r="T164" s="1826"/>
      <c r="U164" s="1826"/>
      <c r="V164" s="1827"/>
    </row>
    <row r="165" spans="5:22" ht="15.75" thickBot="1" x14ac:dyDescent="0.3">
      <c r="F165" s="558" t="s">
        <v>725</v>
      </c>
      <c r="G165" s="1812" t="str">
        <f>IF(MODELAGEM!I271=0," ",MODELAGEM!I271)</f>
        <v xml:space="preserve"> </v>
      </c>
      <c r="H165" s="1812"/>
      <c r="I165" s="1812"/>
      <c r="J165" s="1813"/>
      <c r="L165" s="558" t="s">
        <v>725</v>
      </c>
      <c r="M165" s="1812" t="str">
        <f>IF(MODELAGEM!I271=0," ",MODELAGEM!I271)</f>
        <v xml:space="preserve"> </v>
      </c>
      <c r="N165" s="1812"/>
      <c r="O165" s="1812"/>
      <c r="P165" s="1813"/>
      <c r="R165" s="558" t="s">
        <v>725</v>
      </c>
      <c r="S165" s="1812" t="str">
        <f>IF(MODELAGEM!I278=0," ",MODELAGEM!I278)</f>
        <v>sw</v>
      </c>
      <c r="T165" s="1812"/>
      <c r="U165" s="1812"/>
      <c r="V165" s="1813"/>
    </row>
    <row r="166" spans="5:22" ht="15.75" thickBot="1" x14ac:dyDescent="0.3"/>
    <row r="167" spans="5:22" ht="15.75" thickBot="1" x14ac:dyDescent="0.3">
      <c r="E167">
        <f>Q154+1</f>
        <v>10</v>
      </c>
      <c r="F167" s="1833" t="str">
        <f>R154</f>
        <v>VMORDEKAI</v>
      </c>
      <c r="G167" s="1834"/>
      <c r="H167" s="1834"/>
      <c r="I167" s="1834"/>
      <c r="J167" s="1835"/>
      <c r="K167">
        <f>E167+1</f>
        <v>11</v>
      </c>
      <c r="L167" s="1833" t="str">
        <f>F167</f>
        <v>VMORDEKAI</v>
      </c>
      <c r="M167" s="1834"/>
      <c r="N167" s="1834"/>
      <c r="O167" s="1834"/>
      <c r="P167" s="1835"/>
      <c r="Q167">
        <f>K167+1</f>
        <v>12</v>
      </c>
      <c r="R167" s="1833" t="str">
        <f>L167</f>
        <v>VMORDEKAI</v>
      </c>
      <c r="S167" s="1834"/>
      <c r="T167" s="1834"/>
      <c r="U167" s="1834"/>
      <c r="V167" s="1835"/>
    </row>
    <row r="168" spans="5:22" x14ac:dyDescent="0.25">
      <c r="E168" s="814"/>
      <c r="F168" s="1822" t="str">
        <f>R155</f>
        <v>REF. NOME + Nº - 15H x 10B x 5L (cm)</v>
      </c>
      <c r="G168" s="1823"/>
      <c r="H168" s="1823"/>
      <c r="I168" s="1823"/>
      <c r="J168" s="1824"/>
      <c r="K168" s="814"/>
      <c r="L168" s="1822" t="str">
        <f>R155</f>
        <v>REF. NOME + Nº - 15H x 10B x 5L (cm)</v>
      </c>
      <c r="M168" s="1823"/>
      <c r="N168" s="1823"/>
      <c r="O168" s="1823"/>
      <c r="P168" s="1824"/>
      <c r="Q168" s="814"/>
      <c r="R168" s="1822" t="str">
        <f>F168</f>
        <v>REF. NOME + Nº - 15H x 10B x 5L (cm)</v>
      </c>
      <c r="S168" s="1823"/>
      <c r="T168" s="1823"/>
      <c r="U168" s="1823"/>
      <c r="V168" s="1824"/>
    </row>
    <row r="169" spans="5:22" x14ac:dyDescent="0.25">
      <c r="F169" s="533" t="s">
        <v>713</v>
      </c>
      <c r="G169" s="1814" t="str">
        <f>MODELAGEM!I275</f>
        <v>Nome Alça</v>
      </c>
      <c r="H169" s="1814"/>
      <c r="I169" s="1814"/>
      <c r="J169" s="1815"/>
      <c r="L169" s="533" t="s">
        <v>713</v>
      </c>
      <c r="M169" s="1814" t="str">
        <f>MODELAGEM!I276</f>
        <v>Nome Alça</v>
      </c>
      <c r="N169" s="1814"/>
      <c r="O169" s="1814"/>
      <c r="P169" s="1815"/>
      <c r="R169" s="533" t="s">
        <v>713</v>
      </c>
      <c r="S169" s="1814" t="str">
        <f>MODELAGEM!I277</f>
        <v>Nome Alça</v>
      </c>
      <c r="T169" s="1814"/>
      <c r="U169" s="1814"/>
      <c r="V169" s="1815"/>
    </row>
    <row r="170" spans="5:22" x14ac:dyDescent="0.25">
      <c r="F170" s="531" t="s">
        <v>701</v>
      </c>
      <c r="G170" s="541" t="str">
        <f>IF(MODELAGEM!H273="NÃO","",IF(MODELAGEM!J275&gt;0,MODELAGEM!J275,""))</f>
        <v/>
      </c>
      <c r="H170" s="542" t="str">
        <f>IF(MODELAGEM!H273="NÃO","",IF(MODELAGEM!J275&lt;=0,"","×"))</f>
        <v/>
      </c>
      <c r="I170" s="1818" t="str">
        <f>IF(MODELAGEM!H273="NÃO","",IF(MODELAGEM!J275&lt;=0,"",MODELAGEM!M273))</f>
        <v/>
      </c>
      <c r="J170" s="1819"/>
      <c r="L170" s="531" t="s">
        <v>701</v>
      </c>
      <c r="M170" s="541" t="str">
        <f>IF(MODELAGEM!H273="NÃO","",IF(MODELAGEM!J276&gt;0,MODELAGEM!J276,""))</f>
        <v/>
      </c>
      <c r="N170" s="542" t="str">
        <f>IF(MODELAGEM!H273="NÃO","",IF(MODELAGEM!J276&lt;=0,"","×"))</f>
        <v/>
      </c>
      <c r="O170" s="1818" t="str">
        <f>IF(MODELAGEM!H273="NÃO","",IF(MODELAGEM!J276&lt;=0,"",MODELAGEM!M273))</f>
        <v/>
      </c>
      <c r="P170" s="1819"/>
      <c r="R170" s="531" t="s">
        <v>701</v>
      </c>
      <c r="S170" s="541" t="str">
        <f>IF(MODELAGEM!H273="NÃO","",IF(MODELAGEM!J277&gt;0,MODELAGEM!J277,""))</f>
        <v/>
      </c>
      <c r="T170" s="542" t="str">
        <f>IF(MODELAGEM!H273="NÃO","",IF(MODELAGEM!J277&lt;=0,"","×"))</f>
        <v/>
      </c>
      <c r="U170" s="1818" t="str">
        <f>IF(MODELAGEM!H273="NÃO","",IF(MODELAGEM!J277&lt;=0,"",MODELAGEM!M273))</f>
        <v/>
      </c>
      <c r="V170" s="1819"/>
    </row>
    <row r="171" spans="5:22" x14ac:dyDescent="0.25">
      <c r="F171" s="531"/>
      <c r="G171" s="541" t="str">
        <f>IF(MODELAGEM!P275="NÃO","",IF(MODELAGEM!J275&gt;0,MODELAGEM!J275,""))</f>
        <v/>
      </c>
      <c r="H171" s="542" t="str">
        <f>IF(MODELAGEM!H273="NÃO","",IF(MODELAGEM!J275&lt;=0,"",IF(MODELAGEM!P275="NÃO","","×")))</f>
        <v/>
      </c>
      <c r="I171" s="1818" t="str">
        <f>IF(MODELAGEM!H273="NÃO","",IF(MODELAGEM!J275&lt;=0,"",IF(MODELAGEM!P275="NÃO","",MODELAGEM!X15)))</f>
        <v/>
      </c>
      <c r="J171" s="1819"/>
      <c r="L171" s="531"/>
      <c r="M171" s="541" t="str">
        <f>IF(MODELAGEM!P276="NÃO","",IF(MODELAGEM!J276&gt;0,MODELAGEM!J276,""))</f>
        <v/>
      </c>
      <c r="N171" s="542" t="str">
        <f>IF(MODELAGEM!H273="NÃO","",IF(MODELAGEM!J276&lt;=0,"",IF(MODELAGEM!P276="NÃO","","×")))</f>
        <v/>
      </c>
      <c r="O171" s="1818" t="str">
        <f>IF(MODELAGEM!H273="NÃO","",IF(MODELAGEM!J276&lt;=0,"",IF(MODELAGEM!P276="NÃO","",MODELAGEM!X15)))</f>
        <v/>
      </c>
      <c r="P171" s="1819"/>
      <c r="R171" s="531"/>
      <c r="S171" s="541">
        <f>IF(MODELAGEM!P277="NÃO","",IF(MODELAGEM!J277&gt;0,MODELAGEM!J277,""))</f>
        <v>1</v>
      </c>
      <c r="T171" s="542" t="str">
        <f>IF(MODELAGEM!H273="NÃO","",IF(MODELAGEM!J277&lt;=0,"",IF(MODELAGEM!P277="NÃO","","×")))</f>
        <v/>
      </c>
      <c r="U171" s="1818" t="str">
        <f>IF(MODELAGEM!H273="NÃO","",IF(MODELAGEM!J277&lt;=0,"",IF(MODELAGEM!P277="NÃO","",MODELAGEM!X15)))</f>
        <v/>
      </c>
      <c r="V171" s="1819"/>
    </row>
    <row r="172" spans="5:22" x14ac:dyDescent="0.25">
      <c r="F172" s="538" t="s">
        <v>714</v>
      </c>
      <c r="G172" s="547" t="str">
        <f>IF(MODELAGEM!H273="NÃO","",IF(MODELAGEM!J275&gt;0,MODELAGEM!J275,""))</f>
        <v/>
      </c>
      <c r="H172" s="548" t="str">
        <f>IF(MODELAGEM!H273="NÃO","",IF(MODELAGEM!J275&lt;=0,"","×"))</f>
        <v/>
      </c>
      <c r="I172" s="1840" t="str">
        <f>IF(MODELAGEM!H273="NÃO","",IF(MODELAGEM!J275&lt;=0,"",MODELAGEM!K273))</f>
        <v/>
      </c>
      <c r="J172" s="1841"/>
      <c r="L172" s="538" t="s">
        <v>714</v>
      </c>
      <c r="M172" s="547" t="str">
        <f>IF(MODELAGEM!H273="NÃO","",IF(MODELAGEM!J276&gt;0,MODELAGEM!J276,""))</f>
        <v/>
      </c>
      <c r="N172" s="548" t="str">
        <f>IF(MODELAGEM!H273="NÃO","",IF(MODELAGEM!J276&lt;=0,"","×"))</f>
        <v/>
      </c>
      <c r="O172" s="1840" t="str">
        <f>IF(MODELAGEM!H273="NÃO","",IF(MODELAGEM!J276&lt;=0,"",MODELAGEM!K273))</f>
        <v/>
      </c>
      <c r="P172" s="1841"/>
      <c r="R172" s="538" t="s">
        <v>714</v>
      </c>
      <c r="S172" s="547" t="str">
        <f>IF(MODELAGEM!H273="NÃO","",IF(MODELAGEM!J277&gt;0,MODELAGEM!J277,""))</f>
        <v/>
      </c>
      <c r="T172" s="548" t="str">
        <f>IF(MODELAGEM!H273="NÃO","",IF(MODELAGEM!J277&lt;=0,"","×"))</f>
        <v/>
      </c>
      <c r="U172" s="1840" t="str">
        <f>IF(MODELAGEM!H273="NÃO","",IF(MODELAGEM!J277&lt;=0,"",MODELAGEM!K273))</f>
        <v/>
      </c>
      <c r="V172" s="1841"/>
    </row>
    <row r="173" spans="5:22" x14ac:dyDescent="0.25">
      <c r="F173" s="532"/>
      <c r="G173" s="543"/>
      <c r="H173" s="544"/>
      <c r="I173" s="1842"/>
      <c r="J173" s="1843"/>
      <c r="L173" s="532"/>
      <c r="M173" s="543"/>
      <c r="N173" s="544"/>
      <c r="O173" s="1842"/>
      <c r="P173" s="1843"/>
      <c r="R173" s="532"/>
      <c r="S173" s="543"/>
      <c r="T173" s="544"/>
      <c r="U173" s="1842"/>
      <c r="V173" s="1843"/>
    </row>
    <row r="174" spans="5:22" x14ac:dyDescent="0.25">
      <c r="F174" s="533" t="s">
        <v>702</v>
      </c>
      <c r="G174" s="559">
        <f>MODELAGEM!S275</f>
        <v>15</v>
      </c>
      <c r="H174" s="559" t="s">
        <v>307</v>
      </c>
      <c r="I174" s="559">
        <f>MODELAGEM!T273</f>
        <v>8</v>
      </c>
      <c r="J174" s="534" t="s">
        <v>325</v>
      </c>
      <c r="L174" s="533" t="s">
        <v>702</v>
      </c>
      <c r="M174" s="559">
        <f>MODELAGEM!S276</f>
        <v>10</v>
      </c>
      <c r="N174" s="559" t="s">
        <v>307</v>
      </c>
      <c r="O174" s="559">
        <f>MODELAGEM!T273</f>
        <v>8</v>
      </c>
      <c r="P174" s="534" t="s">
        <v>325</v>
      </c>
      <c r="R174" s="533" t="s">
        <v>702</v>
      </c>
      <c r="S174" s="559">
        <f>MODELAGEM!S277</f>
        <v>7</v>
      </c>
      <c r="T174" s="559" t="s">
        <v>307</v>
      </c>
      <c r="U174" s="559">
        <f>MODELAGEM!T273</f>
        <v>8</v>
      </c>
      <c r="V174" s="534" t="s">
        <v>325</v>
      </c>
    </row>
    <row r="175" spans="5:22" x14ac:dyDescent="0.25">
      <c r="F175" s="533" t="s">
        <v>389</v>
      </c>
      <c r="G175" s="537" t="str">
        <f>IF(MODELAGEM!K275=0,"-",SUM(MODELAGEM!K260:K263)+SUM(MODELAGEM!K267:K270)+SUM(MODELAGEM!K274:K275)+SUM(MODELAGEM!U11:U236))</f>
        <v>-</v>
      </c>
      <c r="H175" s="535" t="s">
        <v>708</v>
      </c>
      <c r="I175" s="536">
        <f>U162</f>
        <v>2</v>
      </c>
      <c r="J175" s="534"/>
      <c r="L175" s="533" t="s">
        <v>389</v>
      </c>
      <c r="M175" s="537" t="str">
        <f>IF(MODELAGEM!K276=0,"-",SUM(MODELAGEM!K260:K263)+SUM(MODELAGEM!K267:K270)+SUM(MODELAGEM!K274:K276)+SUM(MODELAGEM!U11:U236))</f>
        <v>-</v>
      </c>
      <c r="N175" s="535" t="s">
        <v>708</v>
      </c>
      <c r="O175" s="536">
        <f>I175</f>
        <v>2</v>
      </c>
      <c r="P175" s="534"/>
      <c r="R175" s="533" t="s">
        <v>389</v>
      </c>
      <c r="S175" s="537" t="str">
        <f>IF(MODELAGEM!K277=0,"-",SUM(MODELAGEM!K260:K263)+SUM(MODELAGEM!K267:K270)+SUM(MODELAGEM!K274:K277)+SUM(MODELAGEM!U11:U236))</f>
        <v>-</v>
      </c>
      <c r="T175" s="535" t="s">
        <v>708</v>
      </c>
      <c r="U175" s="536">
        <f>O175</f>
        <v>2</v>
      </c>
      <c r="V175" s="534"/>
    </row>
    <row r="176" spans="5:22" x14ac:dyDescent="0.25">
      <c r="F176" s="1828" t="s">
        <v>723</v>
      </c>
      <c r="G176" s="1829"/>
      <c r="H176" s="1829" t="str">
        <f>T163</f>
        <v>Victor Ferreira</v>
      </c>
      <c r="I176" s="1829"/>
      <c r="J176" s="1832"/>
      <c r="L176" s="1828" t="s">
        <v>723</v>
      </c>
      <c r="M176" s="1829"/>
      <c r="N176" s="1829" t="str">
        <f>H176</f>
        <v>Victor Ferreira</v>
      </c>
      <c r="O176" s="1829"/>
      <c r="P176" s="1832"/>
      <c r="R176" s="1828" t="s">
        <v>723</v>
      </c>
      <c r="S176" s="1829"/>
      <c r="T176" s="1829" t="str">
        <f>N176</f>
        <v>Victor Ferreira</v>
      </c>
      <c r="U176" s="1829"/>
      <c r="V176" s="1832"/>
    </row>
    <row r="177" spans="5:22" ht="15.75" thickBot="1" x14ac:dyDescent="0.3">
      <c r="F177" s="531" t="s">
        <v>703</v>
      </c>
      <c r="G177" s="1825">
        <f>S164</f>
        <v>45182</v>
      </c>
      <c r="H177" s="1826"/>
      <c r="I177" s="1826"/>
      <c r="J177" s="1827"/>
      <c r="L177" s="531" t="s">
        <v>703</v>
      </c>
      <c r="M177" s="1825">
        <f>S164</f>
        <v>45182</v>
      </c>
      <c r="N177" s="1826"/>
      <c r="O177" s="1826"/>
      <c r="P177" s="1827"/>
      <c r="R177" s="531" t="s">
        <v>703</v>
      </c>
      <c r="S177" s="1825">
        <f>G177</f>
        <v>45182</v>
      </c>
      <c r="T177" s="1826"/>
      <c r="U177" s="1826"/>
      <c r="V177" s="1827"/>
    </row>
    <row r="178" spans="5:22" ht="15.75" thickBot="1" x14ac:dyDescent="0.3">
      <c r="F178" s="558" t="s">
        <v>725</v>
      </c>
      <c r="G178" s="1812" t="str">
        <f>IF(MODELAGEM!I278=0," ",MODELAGEM!I278)</f>
        <v>sw</v>
      </c>
      <c r="H178" s="1812"/>
      <c r="I178" s="1812"/>
      <c r="J178" s="1813"/>
      <c r="L178" s="558" t="s">
        <v>725</v>
      </c>
      <c r="M178" s="1812" t="str">
        <f>IF(MODELAGEM!I278=0," ",MODELAGEM!I278)</f>
        <v>sw</v>
      </c>
      <c r="N178" s="1812"/>
      <c r="O178" s="1812"/>
      <c r="P178" s="1813"/>
      <c r="R178" s="558" t="s">
        <v>725</v>
      </c>
      <c r="S178" s="1812" t="str">
        <f>IF(MODELAGEM!I278=0," ",MODELAGEM!I278)</f>
        <v>sw</v>
      </c>
      <c r="T178" s="1812"/>
      <c r="U178" s="1812"/>
      <c r="V178" s="1813"/>
    </row>
    <row r="179" spans="5:22" ht="15.75" thickBot="1" x14ac:dyDescent="0.3"/>
    <row r="180" spans="5:22" ht="15.75" thickBot="1" x14ac:dyDescent="0.3">
      <c r="E180" s="552">
        <f>Q167+1</f>
        <v>13</v>
      </c>
      <c r="F180" s="1833" t="str">
        <f>R154</f>
        <v>VMORDEKAI</v>
      </c>
      <c r="G180" s="1834"/>
      <c r="H180" s="1834"/>
      <c r="I180" s="1834"/>
      <c r="J180" s="1835"/>
      <c r="K180">
        <f>E180+1</f>
        <v>14</v>
      </c>
      <c r="L180" s="1833" t="str">
        <f>F180</f>
        <v>VMORDEKAI</v>
      </c>
      <c r="M180" s="1834"/>
      <c r="N180" s="1834"/>
      <c r="O180" s="1834"/>
      <c r="P180" s="1835"/>
      <c r="Q180">
        <f>K180+1</f>
        <v>15</v>
      </c>
      <c r="R180" s="1833" t="str">
        <f>L180</f>
        <v>VMORDEKAI</v>
      </c>
      <c r="S180" s="1834"/>
      <c r="T180" s="1834"/>
      <c r="U180" s="1834"/>
      <c r="V180" s="1835"/>
    </row>
    <row r="181" spans="5:22" x14ac:dyDescent="0.25">
      <c r="E181" s="814"/>
      <c r="F181" s="1822" t="str">
        <f>R155</f>
        <v>REF. NOME + Nº - 15H x 10B x 5L (cm)</v>
      </c>
      <c r="G181" s="1823"/>
      <c r="H181" s="1823"/>
      <c r="I181" s="1823"/>
      <c r="J181" s="1824"/>
      <c r="K181" s="814"/>
      <c r="L181" s="1822" t="str">
        <f>F181</f>
        <v>REF. NOME + Nº - 15H x 10B x 5L (cm)</v>
      </c>
      <c r="M181" s="1823"/>
      <c r="N181" s="1823"/>
      <c r="O181" s="1823"/>
      <c r="P181" s="1824"/>
      <c r="Q181" s="814"/>
      <c r="R181" s="1822" t="str">
        <f>F181</f>
        <v>REF. NOME + Nº - 15H x 10B x 5L (cm)</v>
      </c>
      <c r="S181" s="1823"/>
      <c r="T181" s="1823"/>
      <c r="U181" s="1823"/>
      <c r="V181" s="1824"/>
    </row>
    <row r="182" spans="5:22" x14ac:dyDescent="0.25">
      <c r="F182" s="533" t="s">
        <v>713</v>
      </c>
      <c r="G182" s="1814" t="str">
        <f>MODELAGEM!I281</f>
        <v>Nome Alça</v>
      </c>
      <c r="H182" s="1814"/>
      <c r="I182" s="1814"/>
      <c r="J182" s="1815"/>
      <c r="L182" s="533" t="s">
        <v>713</v>
      </c>
      <c r="M182" s="1814" t="str">
        <f>MODELAGEM!I282</f>
        <v>Nome Alça</v>
      </c>
      <c r="N182" s="1814"/>
      <c r="O182" s="1814"/>
      <c r="P182" s="1815"/>
      <c r="R182" s="533" t="s">
        <v>713</v>
      </c>
      <c r="S182" s="1814" t="str">
        <f>MODELAGEM!I283</f>
        <v>Nome Alça</v>
      </c>
      <c r="T182" s="1814"/>
      <c r="U182" s="1814"/>
      <c r="V182" s="1815"/>
    </row>
    <row r="183" spans="5:22" x14ac:dyDescent="0.25">
      <c r="F183" s="531" t="s">
        <v>701</v>
      </c>
      <c r="G183" s="541" t="str">
        <f>IF(MODELAGEM!H280="NÃO","",IF(MODELAGEM!J281&gt;0,MODELAGEM!J281,""))</f>
        <v/>
      </c>
      <c r="H183" s="542" t="str">
        <f>IF(MODELAGEM!H280="NÃO","",IF(MODELAGEM!J281&lt;=0,"","×"))</f>
        <v/>
      </c>
      <c r="I183" s="1818" t="str">
        <f>IF(MODELAGEM!H280="NÃO","",IF(MODELAGEM!J281&lt;=0,"",MODELAGEM!M280))</f>
        <v/>
      </c>
      <c r="J183" s="1819"/>
      <c r="L183" s="531" t="s">
        <v>701</v>
      </c>
      <c r="M183" s="541" t="str">
        <f>IF(MODELAGEM!H280="NÃO","",IF(MODELAGEM!J282&gt;0,MODELAGEM!J282,""))</f>
        <v/>
      </c>
      <c r="N183" s="542" t="str">
        <f>IF(MODELAGEM!H280="NÃO","",IF(MODELAGEM!J282&lt;=0,"","×"))</f>
        <v/>
      </c>
      <c r="O183" s="1818" t="str">
        <f>IF(MODELAGEM!H280="NÃO","",IF(MODELAGEM!J282&lt;=0,"",MODELAGEM!M280))</f>
        <v/>
      </c>
      <c r="P183" s="1819"/>
      <c r="R183" s="531" t="s">
        <v>701</v>
      </c>
      <c r="S183" s="541" t="str">
        <f>IF(MODELAGEM!H280="NÃO","",IF(MODELAGEM!J283&gt;0,MODELAGEM!J283,""))</f>
        <v/>
      </c>
      <c r="T183" s="542" t="str">
        <f>IF(MODELAGEM!H280="NÃO","",IF(MODELAGEM!J283&lt;=0,"","×"))</f>
        <v/>
      </c>
      <c r="U183" s="1818" t="str">
        <f>IF(MODELAGEM!H280="NÃO","",IF(MODELAGEM!J283&lt;=0,"",MODELAGEM!M280))</f>
        <v/>
      </c>
      <c r="V183" s="1819"/>
    </row>
    <row r="184" spans="5:22" x14ac:dyDescent="0.25">
      <c r="F184" s="531"/>
      <c r="G184" s="541">
        <f>IF(MODELAGEM!P281="NÃO","",IF(MODELAGEM!J281&gt;0,MODELAGEM!J281,""))</f>
        <v>1</v>
      </c>
      <c r="H184" s="542" t="str">
        <f>IF(MODELAGEM!H280="NÃO","",IF(MODELAGEM!J281&lt;=0,"",IF(MODELAGEM!P281="NÃO","","×")))</f>
        <v/>
      </c>
      <c r="I184" s="1818" t="str">
        <f>IF(MODELAGEM!H280="NÃO","",IF(MODELAGEM!J281&lt;=0,"",IF(MODELAGEM!P281="NÃO","",MODELAGEM!X15)))</f>
        <v/>
      </c>
      <c r="J184" s="1819"/>
      <c r="L184" s="531"/>
      <c r="M184" s="541">
        <f>IF(MODELAGEM!P282="NÃO","",IF(MODELAGEM!J282&gt;0,MODELAGEM!J282,""))</f>
        <v>1</v>
      </c>
      <c r="N184" s="542" t="str">
        <f>IF(MODELAGEM!H280="NÃO","",IF(MODELAGEM!J282&lt;=0,"",IF(MODELAGEM!P282="NÃO","","×")))</f>
        <v/>
      </c>
      <c r="O184" s="1818" t="str">
        <f>IF(MODELAGEM!H280="NÃO","",IF(MODELAGEM!J282&lt;=0,"",IF(MODELAGEM!P282="NÃO","",MODELAGEM!X15)))</f>
        <v/>
      </c>
      <c r="P184" s="1819"/>
      <c r="R184" s="531"/>
      <c r="S184" s="541">
        <f>IF(MODELAGEM!P283="NÃO","",IF(MODELAGEM!J283&gt;0,MODELAGEM!J283,""))</f>
        <v>1</v>
      </c>
      <c r="T184" s="542" t="str">
        <f>IF(MODELAGEM!H280="NÃO","",IF(MODELAGEM!J283&lt;=0,"",IF(MODELAGEM!P283="NÃO","","×")))</f>
        <v/>
      </c>
      <c r="U184" s="1818" t="str">
        <f>IF(MODELAGEM!H280="NÃO","",IF(MODELAGEM!J283&lt;=0,"",IF(MODELAGEM!P283="NÃO","",MODELAGEM!X15)))</f>
        <v/>
      </c>
      <c r="V184" s="1819"/>
    </row>
    <row r="185" spans="5:22" x14ac:dyDescent="0.25">
      <c r="F185" s="538" t="s">
        <v>714</v>
      </c>
      <c r="G185" s="547" t="str">
        <f>IF(MODELAGEM!H280="NÃO","",IF(MODELAGEM!J281&gt;0,MODELAGEM!J281,""))</f>
        <v/>
      </c>
      <c r="H185" s="548" t="str">
        <f>IF(MODELAGEM!H280="NÃO","",IF(MODELAGEM!J281&lt;=0,"","×"))</f>
        <v/>
      </c>
      <c r="I185" s="1840" t="str">
        <f>IF(MODELAGEM!H280="NÃO","",IF(MODELAGEM!J281&lt;=0,"",MODELAGEM!K280))</f>
        <v/>
      </c>
      <c r="J185" s="1841"/>
      <c r="L185" s="538" t="s">
        <v>714</v>
      </c>
      <c r="M185" s="547" t="str">
        <f>IF(MODELAGEM!H280="NÃO","",IF(MODELAGEM!J282&gt;0,MODELAGEM!J282,""))</f>
        <v/>
      </c>
      <c r="N185" s="548" t="str">
        <f>IF(MODELAGEM!H280="NÃO","",IF(MODELAGEM!J282&lt;=0,"","×"))</f>
        <v/>
      </c>
      <c r="O185" s="1840" t="str">
        <f>IF(MODELAGEM!H280="NÃO","",IF(MODELAGEM!J282&lt;=0,"",MODELAGEM!K280))</f>
        <v/>
      </c>
      <c r="P185" s="1841"/>
      <c r="R185" s="538" t="s">
        <v>714</v>
      </c>
      <c r="S185" s="547" t="str">
        <f>IF(MODELAGEM!H280="NÃO","",IF(MODELAGEM!J283&gt;0,MODELAGEM!J283,""))</f>
        <v/>
      </c>
      <c r="T185" s="548" t="str">
        <f>IF(MODELAGEM!H280="NÃO","",IF(MODELAGEM!J283&lt;=0,"","×"))</f>
        <v/>
      </c>
      <c r="U185" s="1840" t="str">
        <f>IF(MODELAGEM!H280="NÃO","",IF(MODELAGEM!J283&lt;=0,"",MODELAGEM!K280))</f>
        <v/>
      </c>
      <c r="V185" s="1841"/>
    </row>
    <row r="186" spans="5:22" x14ac:dyDescent="0.25">
      <c r="F186" s="532"/>
      <c r="G186" s="543"/>
      <c r="H186" s="544"/>
      <c r="I186" s="1842"/>
      <c r="J186" s="1843"/>
      <c r="L186" s="532"/>
      <c r="M186" s="543"/>
      <c r="N186" s="544"/>
      <c r="O186" s="1842"/>
      <c r="P186" s="1843"/>
      <c r="R186" s="532"/>
      <c r="S186" s="543"/>
      <c r="T186" s="544"/>
      <c r="U186" s="1842"/>
      <c r="V186" s="1843"/>
    </row>
    <row r="187" spans="5:22" x14ac:dyDescent="0.25">
      <c r="F187" s="533" t="s">
        <v>702</v>
      </c>
      <c r="G187" s="559">
        <f>MODELAGEM!S281</f>
        <v>50</v>
      </c>
      <c r="H187" s="559" t="s">
        <v>307</v>
      </c>
      <c r="I187" s="559">
        <f>MODELAGEM!T280</f>
        <v>12.4</v>
      </c>
      <c r="J187" s="534" t="s">
        <v>325</v>
      </c>
      <c r="L187" s="533" t="s">
        <v>702</v>
      </c>
      <c r="M187" s="559">
        <f>MODELAGEM!S282</f>
        <v>40</v>
      </c>
      <c r="N187" s="559" t="s">
        <v>307</v>
      </c>
      <c r="O187" s="559">
        <f>MODELAGEM!T280</f>
        <v>12.4</v>
      </c>
      <c r="P187" s="534" t="s">
        <v>325</v>
      </c>
      <c r="R187" s="533" t="s">
        <v>702</v>
      </c>
      <c r="S187" s="559">
        <f>MODELAGEM!S283</f>
        <v>30</v>
      </c>
      <c r="T187" s="559" t="s">
        <v>307</v>
      </c>
      <c r="U187" s="559">
        <f>MODELAGEM!T280</f>
        <v>12.4</v>
      </c>
      <c r="V187" s="534" t="s">
        <v>325</v>
      </c>
    </row>
    <row r="188" spans="5:22" x14ac:dyDescent="0.25">
      <c r="F188" s="533" t="s">
        <v>389</v>
      </c>
      <c r="G188" s="537" t="str">
        <f>IF(MODELAGEM!K281=0,"-",SUM(MODELAGEM!K260:K263)+SUM(MODELAGEM!K267:K270)+SUM(MODELAGEM!K274:K277)+SUM(MODELAGEM!K281:K281)+SUM(MODELAGEM!U11:U236))</f>
        <v>-</v>
      </c>
      <c r="H188" s="535" t="s">
        <v>708</v>
      </c>
      <c r="I188" s="536">
        <f>U162</f>
        <v>2</v>
      </c>
      <c r="J188" s="534"/>
      <c r="L188" s="533" t="s">
        <v>389</v>
      </c>
      <c r="M188" s="537" t="str">
        <f>IF(MODELAGEM!K282=0,"-",SUM(MODELAGEM!K260:K263)+SUM(MODELAGEM!K267:K270)+SUM(MODELAGEM!K274:K277)+SUM(MODELAGEM!K281:K282)+SUM(MODELAGEM!U11:U236))</f>
        <v>-</v>
      </c>
      <c r="N188" s="535" t="s">
        <v>708</v>
      </c>
      <c r="O188" s="536">
        <f>I188</f>
        <v>2</v>
      </c>
      <c r="P188" s="534"/>
      <c r="R188" s="533" t="s">
        <v>389</v>
      </c>
      <c r="S188" s="537" t="str">
        <f>IF(MODELAGEM!K283=0,"-",SUM(MODELAGEM!K260:K263)+SUM(MODELAGEM!K267:K270)+SUM(MODELAGEM!K274:K277)+SUM(MODELAGEM!K281:K283)+SUM(MODELAGEM!U11:U236))</f>
        <v>-</v>
      </c>
      <c r="T188" s="535" t="s">
        <v>708</v>
      </c>
      <c r="U188" s="536">
        <f>O188</f>
        <v>2</v>
      </c>
      <c r="V188" s="534"/>
    </row>
    <row r="189" spans="5:22" x14ac:dyDescent="0.25">
      <c r="F189" s="1828" t="s">
        <v>723</v>
      </c>
      <c r="G189" s="1829"/>
      <c r="H189" s="1829" t="str">
        <f>T163</f>
        <v>Victor Ferreira</v>
      </c>
      <c r="I189" s="1829"/>
      <c r="J189" s="1832"/>
      <c r="L189" s="1828" t="s">
        <v>723</v>
      </c>
      <c r="M189" s="1829"/>
      <c r="N189" s="1829" t="str">
        <f>H189</f>
        <v>Victor Ferreira</v>
      </c>
      <c r="O189" s="1829"/>
      <c r="P189" s="1832"/>
      <c r="R189" s="1828" t="s">
        <v>723</v>
      </c>
      <c r="S189" s="1829"/>
      <c r="T189" s="1829" t="str">
        <f>N189</f>
        <v>Victor Ferreira</v>
      </c>
      <c r="U189" s="1829"/>
      <c r="V189" s="1832"/>
    </row>
    <row r="190" spans="5:22" ht="15.75" thickBot="1" x14ac:dyDescent="0.3">
      <c r="F190" s="531" t="s">
        <v>703</v>
      </c>
      <c r="G190" s="1825">
        <f>S164</f>
        <v>45182</v>
      </c>
      <c r="H190" s="1826"/>
      <c r="I190" s="1826"/>
      <c r="J190" s="1827"/>
      <c r="L190" s="531" t="s">
        <v>703</v>
      </c>
      <c r="M190" s="1825">
        <f>G190</f>
        <v>45182</v>
      </c>
      <c r="N190" s="1826"/>
      <c r="O190" s="1826"/>
      <c r="P190" s="1827"/>
      <c r="R190" s="531" t="s">
        <v>703</v>
      </c>
      <c r="S190" s="1825">
        <f>G190</f>
        <v>45182</v>
      </c>
      <c r="T190" s="1826"/>
      <c r="U190" s="1826"/>
      <c r="V190" s="1827"/>
    </row>
    <row r="191" spans="5:22" ht="15.75" thickBot="1" x14ac:dyDescent="0.3">
      <c r="F191" s="558" t="s">
        <v>725</v>
      </c>
      <c r="G191" s="1812" t="str">
        <f>IF(MODELAGEM!I285=0," ",MODELAGEM!I285)</f>
        <v xml:space="preserve"> </v>
      </c>
      <c r="H191" s="1812"/>
      <c r="I191" s="1812"/>
      <c r="J191" s="1813"/>
      <c r="L191" s="558" t="s">
        <v>725</v>
      </c>
      <c r="M191" s="1812" t="str">
        <f>IF(MODELAGEM!I285=0," ",MODELAGEM!I285)</f>
        <v xml:space="preserve"> </v>
      </c>
      <c r="N191" s="1812"/>
      <c r="O191" s="1812"/>
      <c r="P191" s="1813"/>
      <c r="R191" s="558" t="s">
        <v>725</v>
      </c>
      <c r="S191" s="1812" t="str">
        <f>IF(MODELAGEM!I285=0," ",MODELAGEM!I285)</f>
        <v xml:space="preserve"> </v>
      </c>
      <c r="T191" s="1812"/>
      <c r="U191" s="1812"/>
      <c r="V191" s="1813"/>
    </row>
    <row r="192" spans="5:22" ht="15.75" thickBot="1" x14ac:dyDescent="0.3"/>
    <row r="193" spans="5:22" ht="15.75" thickBot="1" x14ac:dyDescent="0.3">
      <c r="E193">
        <f>Q180+1</f>
        <v>16</v>
      </c>
      <c r="F193" s="1833" t="str">
        <f>R180</f>
        <v>VMORDEKAI</v>
      </c>
      <c r="G193" s="1834"/>
      <c r="H193" s="1834"/>
      <c r="I193" s="1834"/>
      <c r="J193" s="1835"/>
    </row>
    <row r="194" spans="5:22" x14ac:dyDescent="0.25">
      <c r="E194" s="814"/>
      <c r="F194" s="1822" t="str">
        <f>L181</f>
        <v>REF. NOME + Nº - 15H x 10B x 5L (cm)</v>
      </c>
      <c r="G194" s="1823"/>
      <c r="H194" s="1823"/>
      <c r="I194" s="1823"/>
      <c r="J194" s="1824"/>
      <c r="K194" s="814"/>
      <c r="L194" s="1822"/>
      <c r="M194" s="1823"/>
      <c r="N194" s="1823"/>
      <c r="O194" s="1823"/>
      <c r="P194" s="1824"/>
      <c r="Q194" s="814"/>
      <c r="R194" s="1822"/>
      <c r="S194" s="1823"/>
      <c r="T194" s="1823"/>
      <c r="U194" s="1823"/>
      <c r="V194" s="1824"/>
    </row>
    <row r="195" spans="5:22" x14ac:dyDescent="0.25">
      <c r="F195" s="533" t="s">
        <v>713</v>
      </c>
      <c r="G195" s="1814" t="str">
        <f>MODELAGEM!I284</f>
        <v>Nome Alça</v>
      </c>
      <c r="H195" s="1814"/>
      <c r="I195" s="1814"/>
      <c r="J195" s="1815"/>
    </row>
    <row r="196" spans="5:22" x14ac:dyDescent="0.25">
      <c r="F196" s="531" t="s">
        <v>701</v>
      </c>
      <c r="G196" s="541" t="str">
        <f>IF(MODELAGEM!H280="NÃO","",IF(MODELAGEM!J284&gt;0,MODELAGEM!J284,""))</f>
        <v/>
      </c>
      <c r="H196" s="542" t="str">
        <f>IF(MODELAGEM!H280="NÃO","",IF(MODELAGEM!J284&lt;=0,"","×"))</f>
        <v/>
      </c>
      <c r="I196" s="1818" t="str">
        <f>IF(MODELAGEM!H280="NÃO","",IF(MODELAGEM!J284&lt;=0,"",MODELAGEM!M280))</f>
        <v/>
      </c>
      <c r="J196" s="1819"/>
    </row>
    <row r="197" spans="5:22" x14ac:dyDescent="0.25">
      <c r="F197" s="531"/>
      <c r="G197" s="541" t="str">
        <f>IF(MODELAGEM!P284="NÃO","",IF(MODELAGEM!J284&gt;0,MODELAGEM!J284,""))</f>
        <v/>
      </c>
      <c r="H197" s="542" t="str">
        <f>IF(MODELAGEM!H280="NÃO","",IF(MODELAGEM!J284&lt;=0,"",IF(MODELAGEM!P284="NÃO","","×")))</f>
        <v/>
      </c>
      <c r="I197" s="1818" t="str">
        <f>IF(MODELAGEM!H280="NÃO","",IF(MODELAGEM!J284&lt;=0,"",IF(MODELAGEM!P284="NÃO","",MODELAGEM!X15)))</f>
        <v/>
      </c>
      <c r="J197" s="1819"/>
    </row>
    <row r="198" spans="5:22" x14ac:dyDescent="0.25">
      <c r="F198" s="538" t="s">
        <v>714</v>
      </c>
      <c r="G198" s="547" t="str">
        <f>IF(MODELAGEM!H280="NÃO","",IF(MODELAGEM!J284&gt;0,MODELAGEM!J284,""))</f>
        <v/>
      </c>
      <c r="H198" s="548" t="str">
        <f>IF(MODELAGEM!H280="NÃO","",IF(MODELAGEM!J284&lt;=0,"","×"))</f>
        <v/>
      </c>
      <c r="I198" s="1840" t="str">
        <f>IF(MODELAGEM!H280="NÃO","",IF(MODELAGEM!J284&lt;=0,"",MODELAGEM!K280))</f>
        <v/>
      </c>
      <c r="J198" s="1841"/>
    </row>
    <row r="199" spans="5:22" x14ac:dyDescent="0.25">
      <c r="F199" s="532"/>
      <c r="G199" s="543"/>
      <c r="H199" s="544"/>
      <c r="I199" s="1842"/>
      <c r="J199" s="1843"/>
    </row>
    <row r="200" spans="5:22" x14ac:dyDescent="0.25">
      <c r="F200" s="533" t="s">
        <v>702</v>
      </c>
      <c r="G200" s="559">
        <f>MODELAGEM!S284</f>
        <v>10</v>
      </c>
      <c r="H200" s="559" t="s">
        <v>307</v>
      </c>
      <c r="I200" s="559">
        <f>MODELAGEM!T280</f>
        <v>12.4</v>
      </c>
      <c r="J200" s="534" t="s">
        <v>325</v>
      </c>
    </row>
    <row r="201" spans="5:22" x14ac:dyDescent="0.25">
      <c r="F201" s="533" t="s">
        <v>389</v>
      </c>
      <c r="G201" s="537" t="str">
        <f>IF(MODELAGEM!K284=0,"-",SUM(MODELAGEM!K260:K263)+SUM(MODELAGEM!K267:K270)+SUM(MODELAGEM!K274:K277)+SUM(MODELAGEM!K281:K284)+SUM(MODELAGEM!U11:U236))</f>
        <v>-</v>
      </c>
      <c r="H201" s="535" t="s">
        <v>708</v>
      </c>
      <c r="I201" s="536">
        <f>U188</f>
        <v>2</v>
      </c>
      <c r="J201" s="534"/>
    </row>
    <row r="202" spans="5:22" x14ac:dyDescent="0.25">
      <c r="F202" s="1828" t="s">
        <v>723</v>
      </c>
      <c r="G202" s="1829"/>
      <c r="H202" s="1829" t="str">
        <f>T189</f>
        <v>Victor Ferreira</v>
      </c>
      <c r="I202" s="1829"/>
      <c r="J202" s="1832"/>
    </row>
    <row r="203" spans="5:22" ht="15.75" thickBot="1" x14ac:dyDescent="0.3">
      <c r="F203" s="531" t="s">
        <v>703</v>
      </c>
      <c r="G203" s="1825">
        <f>M190</f>
        <v>45182</v>
      </c>
      <c r="H203" s="1826"/>
      <c r="I203" s="1826"/>
      <c r="J203" s="1827"/>
    </row>
    <row r="204" spans="5:22" ht="15.75" thickBot="1" x14ac:dyDescent="0.3">
      <c r="F204" s="558" t="s">
        <v>725</v>
      </c>
      <c r="G204" s="1812" t="str">
        <f>IF(MODELAGEM!I285=0," ",MODELAGEM!I285)</f>
        <v xml:space="preserve"> </v>
      </c>
      <c r="H204" s="1812"/>
      <c r="I204" s="1812"/>
      <c r="J204" s="1813"/>
    </row>
  </sheetData>
  <sheetProtection algorithmName="SHA-512" hashValue="EHhgl5fQk9LEJODbxTujTRVOV6j/RgHzDW/hwKdNXKG6kKVxTs7S/jqgGERp1STaMo9wE9CJG9osGhBol+C9FQ==" saltValue="beOqE4UQcTK6r4mMBv9eyw==" spinCount="100000" sheet="1" objects="1" scenarios="1"/>
  <mergeCells count="461">
    <mergeCell ref="I89:J89"/>
    <mergeCell ref="I90:J90"/>
    <mergeCell ref="O89:P89"/>
    <mergeCell ref="O90:P90"/>
    <mergeCell ref="U89:V89"/>
    <mergeCell ref="U90:V90"/>
    <mergeCell ref="I103:J103"/>
    <mergeCell ref="O103:P103"/>
    <mergeCell ref="U103:V103"/>
    <mergeCell ref="F101:J101"/>
    <mergeCell ref="L101:P101"/>
    <mergeCell ref="R101:V101"/>
    <mergeCell ref="G102:J102"/>
    <mergeCell ref="M102:P102"/>
    <mergeCell ref="S102:V102"/>
    <mergeCell ref="G97:J97"/>
    <mergeCell ref="M97:P97"/>
    <mergeCell ref="S97:V97"/>
    <mergeCell ref="G98:J98"/>
    <mergeCell ref="M98:P98"/>
    <mergeCell ref="S98:V98"/>
    <mergeCell ref="F100:J100"/>
    <mergeCell ref="L100:P100"/>
    <mergeCell ref="R100:V100"/>
    <mergeCell ref="I121:J121"/>
    <mergeCell ref="O121:P121"/>
    <mergeCell ref="U121:V121"/>
    <mergeCell ref="O117:P117"/>
    <mergeCell ref="O118:P118"/>
    <mergeCell ref="O119:P119"/>
    <mergeCell ref="U118:V118"/>
    <mergeCell ref="G112:J112"/>
    <mergeCell ref="M112:P112"/>
    <mergeCell ref="S112:V112"/>
    <mergeCell ref="F114:J114"/>
    <mergeCell ref="L114:P114"/>
    <mergeCell ref="R114:V114"/>
    <mergeCell ref="F115:J115"/>
    <mergeCell ref="L115:P115"/>
    <mergeCell ref="R115:V115"/>
    <mergeCell ref="G125:J125"/>
    <mergeCell ref="M125:P125"/>
    <mergeCell ref="S125:V125"/>
    <mergeCell ref="G126:J126"/>
    <mergeCell ref="M126:P126"/>
    <mergeCell ref="S126:V126"/>
    <mergeCell ref="L194:P194"/>
    <mergeCell ref="R194:V194"/>
    <mergeCell ref="I93:J93"/>
    <mergeCell ref="O93:P93"/>
    <mergeCell ref="I119:J119"/>
    <mergeCell ref="U119:V119"/>
    <mergeCell ref="F124:G124"/>
    <mergeCell ref="H124:J124"/>
    <mergeCell ref="L124:M124"/>
    <mergeCell ref="N124:P124"/>
    <mergeCell ref="R124:S124"/>
    <mergeCell ref="T124:V124"/>
    <mergeCell ref="G116:J116"/>
    <mergeCell ref="M116:P116"/>
    <mergeCell ref="S116:V116"/>
    <mergeCell ref="I117:J117"/>
    <mergeCell ref="U117:V117"/>
    <mergeCell ref="I118:J118"/>
    <mergeCell ref="T110:V110"/>
    <mergeCell ref="G111:J111"/>
    <mergeCell ref="M111:P111"/>
    <mergeCell ref="S111:V111"/>
    <mergeCell ref="I104:J104"/>
    <mergeCell ref="O104:P104"/>
    <mergeCell ref="U104:V104"/>
    <mergeCell ref="I105:J105"/>
    <mergeCell ref="O105:P105"/>
    <mergeCell ref="U105:V105"/>
    <mergeCell ref="I107:J107"/>
    <mergeCell ref="O107:P107"/>
    <mergeCell ref="U107:V107"/>
    <mergeCell ref="F110:G110"/>
    <mergeCell ref="H110:J110"/>
    <mergeCell ref="L110:M110"/>
    <mergeCell ref="N110:P110"/>
    <mergeCell ref="R110:S110"/>
    <mergeCell ref="I91:J91"/>
    <mergeCell ref="O91:P91"/>
    <mergeCell ref="U91:V91"/>
    <mergeCell ref="F96:G96"/>
    <mergeCell ref="H96:J96"/>
    <mergeCell ref="L96:M96"/>
    <mergeCell ref="N96:P96"/>
    <mergeCell ref="R96:S96"/>
    <mergeCell ref="T96:V96"/>
    <mergeCell ref="U93:V93"/>
    <mergeCell ref="G88:J88"/>
    <mergeCell ref="M88:P88"/>
    <mergeCell ref="S88:V88"/>
    <mergeCell ref="G84:J84"/>
    <mergeCell ref="M84:P84"/>
    <mergeCell ref="S84:V84"/>
    <mergeCell ref="F86:J86"/>
    <mergeCell ref="L86:P86"/>
    <mergeCell ref="R86:V86"/>
    <mergeCell ref="F87:J87"/>
    <mergeCell ref="L87:P87"/>
    <mergeCell ref="R87:V87"/>
    <mergeCell ref="G83:J83"/>
    <mergeCell ref="M83:P83"/>
    <mergeCell ref="S83:V83"/>
    <mergeCell ref="F73:J73"/>
    <mergeCell ref="L73:P73"/>
    <mergeCell ref="R73:V73"/>
    <mergeCell ref="G74:J74"/>
    <mergeCell ref="M74:P74"/>
    <mergeCell ref="S74:V74"/>
    <mergeCell ref="I79:J79"/>
    <mergeCell ref="O79:P79"/>
    <mergeCell ref="U79:V79"/>
    <mergeCell ref="F82:G82"/>
    <mergeCell ref="H82:J82"/>
    <mergeCell ref="L82:M82"/>
    <mergeCell ref="N82:P82"/>
    <mergeCell ref="R82:S82"/>
    <mergeCell ref="T82:V82"/>
    <mergeCell ref="I77:J77"/>
    <mergeCell ref="O77:P77"/>
    <mergeCell ref="U77:V77"/>
    <mergeCell ref="I75:J75"/>
    <mergeCell ref="O75:P75"/>
    <mergeCell ref="U75:V75"/>
    <mergeCell ref="I76:J76"/>
    <mergeCell ref="O76:P76"/>
    <mergeCell ref="U76:V76"/>
    <mergeCell ref="F72:J72"/>
    <mergeCell ref="L72:P72"/>
    <mergeCell ref="R72:V72"/>
    <mergeCell ref="G69:J69"/>
    <mergeCell ref="M69:P69"/>
    <mergeCell ref="S69:V69"/>
    <mergeCell ref="G70:J70"/>
    <mergeCell ref="M70:P70"/>
    <mergeCell ref="S70:V70"/>
    <mergeCell ref="I65:J65"/>
    <mergeCell ref="O65:P65"/>
    <mergeCell ref="U65:V65"/>
    <mergeCell ref="F68:G68"/>
    <mergeCell ref="H68:J68"/>
    <mergeCell ref="L68:M68"/>
    <mergeCell ref="N68:P68"/>
    <mergeCell ref="R68:S68"/>
    <mergeCell ref="T68:V68"/>
    <mergeCell ref="I61:J61"/>
    <mergeCell ref="O61:P61"/>
    <mergeCell ref="U61:V61"/>
    <mergeCell ref="I62:J62"/>
    <mergeCell ref="O62:P62"/>
    <mergeCell ref="U62:V62"/>
    <mergeCell ref="I63:J63"/>
    <mergeCell ref="O63:P63"/>
    <mergeCell ref="U63:V63"/>
    <mergeCell ref="F58:J58"/>
    <mergeCell ref="L58:P58"/>
    <mergeCell ref="R58:V58"/>
    <mergeCell ref="F59:J59"/>
    <mergeCell ref="L59:P59"/>
    <mergeCell ref="R59:V59"/>
    <mergeCell ref="G60:J60"/>
    <mergeCell ref="M60:P60"/>
    <mergeCell ref="S60:V60"/>
    <mergeCell ref="M55:P55"/>
    <mergeCell ref="S55:V55"/>
    <mergeCell ref="I51:J51"/>
    <mergeCell ref="O51:P51"/>
    <mergeCell ref="U51:V51"/>
    <mergeCell ref="F54:G54"/>
    <mergeCell ref="H54:J54"/>
    <mergeCell ref="L54:M54"/>
    <mergeCell ref="N54:P54"/>
    <mergeCell ref="R54:S54"/>
    <mergeCell ref="T54:V54"/>
    <mergeCell ref="O48:P48"/>
    <mergeCell ref="U48:V48"/>
    <mergeCell ref="I49:J49"/>
    <mergeCell ref="O49:P49"/>
    <mergeCell ref="U49:V49"/>
    <mergeCell ref="G46:J46"/>
    <mergeCell ref="M46:P46"/>
    <mergeCell ref="S46:V46"/>
    <mergeCell ref="I47:J47"/>
    <mergeCell ref="O47:P47"/>
    <mergeCell ref="U47:V47"/>
    <mergeCell ref="L44:P44"/>
    <mergeCell ref="R44:V44"/>
    <mergeCell ref="F45:J45"/>
    <mergeCell ref="L45:P45"/>
    <mergeCell ref="R45:V45"/>
    <mergeCell ref="U35:V35"/>
    <mergeCell ref="U37:V37"/>
    <mergeCell ref="R40:S40"/>
    <mergeCell ref="T40:V40"/>
    <mergeCell ref="S41:V41"/>
    <mergeCell ref="M41:P41"/>
    <mergeCell ref="I35:J35"/>
    <mergeCell ref="I37:J37"/>
    <mergeCell ref="F40:G40"/>
    <mergeCell ref="H40:J40"/>
    <mergeCell ref="G41:J41"/>
    <mergeCell ref="O35:P35"/>
    <mergeCell ref="O37:P37"/>
    <mergeCell ref="L40:M40"/>
    <mergeCell ref="N40:P40"/>
    <mergeCell ref="R30:V30"/>
    <mergeCell ref="R31:V31"/>
    <mergeCell ref="S32:V32"/>
    <mergeCell ref="U33:V33"/>
    <mergeCell ref="U34:V34"/>
    <mergeCell ref="O21:P21"/>
    <mergeCell ref="O23:P23"/>
    <mergeCell ref="L26:M26"/>
    <mergeCell ref="N26:P26"/>
    <mergeCell ref="U21:V21"/>
    <mergeCell ref="U23:V23"/>
    <mergeCell ref="R26:S26"/>
    <mergeCell ref="T26:V26"/>
    <mergeCell ref="S27:V27"/>
    <mergeCell ref="M27:P27"/>
    <mergeCell ref="O34:P34"/>
    <mergeCell ref="L30:P30"/>
    <mergeCell ref="L31:P31"/>
    <mergeCell ref="M32:P32"/>
    <mergeCell ref="O33:P33"/>
    <mergeCell ref="L12:M12"/>
    <mergeCell ref="L16:P16"/>
    <mergeCell ref="L17:P17"/>
    <mergeCell ref="M18:P18"/>
    <mergeCell ref="O19:P19"/>
    <mergeCell ref="O20:P20"/>
    <mergeCell ref="F16:J16"/>
    <mergeCell ref="F17:J17"/>
    <mergeCell ref="G18:J18"/>
    <mergeCell ref="I19:J19"/>
    <mergeCell ref="I20:J20"/>
    <mergeCell ref="G14:J14"/>
    <mergeCell ref="M14:P14"/>
    <mergeCell ref="U19:V19"/>
    <mergeCell ref="U20:V20"/>
    <mergeCell ref="R2:V2"/>
    <mergeCell ref="R3:V3"/>
    <mergeCell ref="S4:V4"/>
    <mergeCell ref="U5:V5"/>
    <mergeCell ref="U6:V6"/>
    <mergeCell ref="O7:P7"/>
    <mergeCell ref="O9:P9"/>
    <mergeCell ref="N12:P12"/>
    <mergeCell ref="L2:P2"/>
    <mergeCell ref="L3:P3"/>
    <mergeCell ref="M4:P4"/>
    <mergeCell ref="O5:P5"/>
    <mergeCell ref="O6:P6"/>
    <mergeCell ref="U7:V7"/>
    <mergeCell ref="U9:V9"/>
    <mergeCell ref="R12:S12"/>
    <mergeCell ref="T12:V12"/>
    <mergeCell ref="S13:V13"/>
    <mergeCell ref="M13:P13"/>
    <mergeCell ref="R16:V16"/>
    <mergeCell ref="R17:V17"/>
    <mergeCell ref="S18:V18"/>
    <mergeCell ref="F2:J2"/>
    <mergeCell ref="G4:J4"/>
    <mergeCell ref="I5:J5"/>
    <mergeCell ref="F12:G12"/>
    <mergeCell ref="G13:J13"/>
    <mergeCell ref="I6:J6"/>
    <mergeCell ref="I7:J7"/>
    <mergeCell ref="I9:J9"/>
    <mergeCell ref="H12:J12"/>
    <mergeCell ref="F202:G202"/>
    <mergeCell ref="H202:J202"/>
    <mergeCell ref="G203:J203"/>
    <mergeCell ref="F194:J194"/>
    <mergeCell ref="G195:J195"/>
    <mergeCell ref="I196:J196"/>
    <mergeCell ref="I197:J197"/>
    <mergeCell ref="I185:J186"/>
    <mergeCell ref="F3:J3"/>
    <mergeCell ref="I21:J21"/>
    <mergeCell ref="I23:J23"/>
    <mergeCell ref="F26:G26"/>
    <mergeCell ref="H26:J26"/>
    <mergeCell ref="G27:J27"/>
    <mergeCell ref="F30:J30"/>
    <mergeCell ref="F31:J31"/>
    <mergeCell ref="G32:J32"/>
    <mergeCell ref="I33:J33"/>
    <mergeCell ref="I34:J34"/>
    <mergeCell ref="F44:J44"/>
    <mergeCell ref="I48:J48"/>
    <mergeCell ref="G55:J55"/>
    <mergeCell ref="F180:J180"/>
    <mergeCell ref="H176:J176"/>
    <mergeCell ref="L180:P180"/>
    <mergeCell ref="R180:V180"/>
    <mergeCell ref="R163:S163"/>
    <mergeCell ref="T163:V163"/>
    <mergeCell ref="F176:G176"/>
    <mergeCell ref="F193:J193"/>
    <mergeCell ref="M164:P164"/>
    <mergeCell ref="R167:V167"/>
    <mergeCell ref="R168:V168"/>
    <mergeCell ref="S169:V169"/>
    <mergeCell ref="U170:V170"/>
    <mergeCell ref="U171:V171"/>
    <mergeCell ref="G190:J190"/>
    <mergeCell ref="M190:P190"/>
    <mergeCell ref="S190:V190"/>
    <mergeCell ref="L189:M189"/>
    <mergeCell ref="N189:P189"/>
    <mergeCell ref="R189:S189"/>
    <mergeCell ref="T189:V189"/>
    <mergeCell ref="F189:G189"/>
    <mergeCell ref="H189:J189"/>
    <mergeCell ref="I183:J183"/>
    <mergeCell ref="U183:V183"/>
    <mergeCell ref="I184:J184"/>
    <mergeCell ref="O184:P184"/>
    <mergeCell ref="U184:V184"/>
    <mergeCell ref="F181:J181"/>
    <mergeCell ref="L181:P181"/>
    <mergeCell ref="R181:V181"/>
    <mergeCell ref="G182:J182"/>
    <mergeCell ref="M182:P182"/>
    <mergeCell ref="S182:V182"/>
    <mergeCell ref="O183:P183"/>
    <mergeCell ref="L176:M176"/>
    <mergeCell ref="N176:P176"/>
    <mergeCell ref="R176:S176"/>
    <mergeCell ref="T176:V176"/>
    <mergeCell ref="S177:V177"/>
    <mergeCell ref="G177:J177"/>
    <mergeCell ref="M177:P177"/>
    <mergeCell ref="U172:V173"/>
    <mergeCell ref="O172:P173"/>
    <mergeCell ref="I172:J173"/>
    <mergeCell ref="O170:P170"/>
    <mergeCell ref="U158:V158"/>
    <mergeCell ref="I171:J171"/>
    <mergeCell ref="O171:P171"/>
    <mergeCell ref="S164:V164"/>
    <mergeCell ref="F168:J168"/>
    <mergeCell ref="L168:P168"/>
    <mergeCell ref="O157:P157"/>
    <mergeCell ref="O158:P158"/>
    <mergeCell ref="L163:M163"/>
    <mergeCell ref="N163:P163"/>
    <mergeCell ref="G169:J169"/>
    <mergeCell ref="M169:P169"/>
    <mergeCell ref="G164:J164"/>
    <mergeCell ref="F167:J167"/>
    <mergeCell ref="L167:P167"/>
    <mergeCell ref="F163:G163"/>
    <mergeCell ref="H163:J163"/>
    <mergeCell ref="S165:V165"/>
    <mergeCell ref="M165:P165"/>
    <mergeCell ref="I159:J160"/>
    <mergeCell ref="O159:P160"/>
    <mergeCell ref="U159:V160"/>
    <mergeCell ref="E1:V1"/>
    <mergeCell ref="U185:V186"/>
    <mergeCell ref="O185:P186"/>
    <mergeCell ref="I198:J199"/>
    <mergeCell ref="I133:J134"/>
    <mergeCell ref="O133:P134"/>
    <mergeCell ref="U133:V134"/>
    <mergeCell ref="U146:V147"/>
    <mergeCell ref="O146:P147"/>
    <mergeCell ref="I146:J147"/>
    <mergeCell ref="G138:J138"/>
    <mergeCell ref="M138:P138"/>
    <mergeCell ref="S138:V138"/>
    <mergeCell ref="L141:P141"/>
    <mergeCell ref="R141:V141"/>
    <mergeCell ref="F154:J154"/>
    <mergeCell ref="F137:G137"/>
    <mergeCell ref="H137:J137"/>
    <mergeCell ref="L137:M137"/>
    <mergeCell ref="N137:P137"/>
    <mergeCell ref="I157:J157"/>
    <mergeCell ref="I158:J158"/>
    <mergeCell ref="F155:J155"/>
    <mergeCell ref="M143:P143"/>
    <mergeCell ref="G204:J204"/>
    <mergeCell ref="G42:J42"/>
    <mergeCell ref="M42:P42"/>
    <mergeCell ref="S42:V42"/>
    <mergeCell ref="S56:V56"/>
    <mergeCell ref="M56:P56"/>
    <mergeCell ref="G56:J56"/>
    <mergeCell ref="S139:V139"/>
    <mergeCell ref="M139:P139"/>
    <mergeCell ref="G139:J139"/>
    <mergeCell ref="G152:J152"/>
    <mergeCell ref="M152:P152"/>
    <mergeCell ref="E127:V127"/>
    <mergeCell ref="F128:J128"/>
    <mergeCell ref="L128:P128"/>
    <mergeCell ref="R128:V128"/>
    <mergeCell ref="F129:J129"/>
    <mergeCell ref="L129:P129"/>
    <mergeCell ref="R129:V129"/>
    <mergeCell ref="I132:J132"/>
    <mergeCell ref="L142:P142"/>
    <mergeCell ref="R142:V142"/>
    <mergeCell ref="R155:V155"/>
    <mergeCell ref="U157:V157"/>
    <mergeCell ref="S14:V14"/>
    <mergeCell ref="S28:V28"/>
    <mergeCell ref="M28:P28"/>
    <mergeCell ref="G28:J28"/>
    <mergeCell ref="G165:J165"/>
    <mergeCell ref="R137:S137"/>
    <mergeCell ref="T137:V137"/>
    <mergeCell ref="O144:P144"/>
    <mergeCell ref="F141:J141"/>
    <mergeCell ref="S143:V143"/>
    <mergeCell ref="G156:J156"/>
    <mergeCell ref="R150:S150"/>
    <mergeCell ref="T150:V150"/>
    <mergeCell ref="S156:V156"/>
    <mergeCell ref="R154:V154"/>
    <mergeCell ref="L154:P154"/>
    <mergeCell ref="L155:P155"/>
    <mergeCell ref="M156:P156"/>
    <mergeCell ref="S152:V152"/>
    <mergeCell ref="H150:J150"/>
    <mergeCell ref="L150:M150"/>
    <mergeCell ref="N150:P150"/>
    <mergeCell ref="G151:J151"/>
    <mergeCell ref="U144:V144"/>
    <mergeCell ref="G178:J178"/>
    <mergeCell ref="M178:P178"/>
    <mergeCell ref="S178:V178"/>
    <mergeCell ref="S191:V191"/>
    <mergeCell ref="M191:P191"/>
    <mergeCell ref="G191:J191"/>
    <mergeCell ref="S130:V130"/>
    <mergeCell ref="I131:J131"/>
    <mergeCell ref="O131:P131"/>
    <mergeCell ref="U131:V131"/>
    <mergeCell ref="F142:J142"/>
    <mergeCell ref="G143:J143"/>
    <mergeCell ref="I144:J144"/>
    <mergeCell ref="I145:J145"/>
    <mergeCell ref="M151:P151"/>
    <mergeCell ref="S151:V151"/>
    <mergeCell ref="O145:P145"/>
    <mergeCell ref="U145:V145"/>
    <mergeCell ref="F150:G150"/>
    <mergeCell ref="O132:P132"/>
    <mergeCell ref="U132:V132"/>
    <mergeCell ref="G130:J130"/>
    <mergeCell ref="M130:P130"/>
    <mergeCell ref="I170:J170"/>
  </mergeCells>
  <phoneticPr fontId="20" type="noConversion"/>
  <conditionalFormatting sqref="F3:J3 G4:J9 G10:G11 I10:I11 H12:J12 G13:J14">
    <cfRule type="expression" dxfId="34" priority="31">
      <formula>$E$3=0</formula>
    </cfRule>
  </conditionalFormatting>
  <conditionalFormatting sqref="F17:J17 G18:J23 G24:G25 I24:I25 H26:J26 G27:J28">
    <cfRule type="expression" dxfId="33" priority="24">
      <formula>$E$17=0</formula>
    </cfRule>
  </conditionalFormatting>
  <conditionalFormatting sqref="F31:J31 G32:J37 G38:G39 I38:I39 H40:J40 G41:J42">
    <cfRule type="expression" dxfId="32" priority="21">
      <formula>$E$31=0</formula>
    </cfRule>
  </conditionalFormatting>
  <conditionalFormatting sqref="F45:J45 G46:J51 G52:G53 I52:I53 H54:J54 G55:J56">
    <cfRule type="expression" dxfId="31" priority="18">
      <formula>$E$45=0</formula>
    </cfRule>
  </conditionalFormatting>
  <conditionalFormatting sqref="F59:J59 G60:J65 G66:G67 I66:I67 H68:J68 G69:J70">
    <cfRule type="expression" dxfId="30" priority="15">
      <formula>$E$59=0</formula>
    </cfRule>
  </conditionalFormatting>
  <conditionalFormatting sqref="F73:J73 G74:J79 G80:G81 I80:I81 H82:J82 G83:J84">
    <cfRule type="expression" dxfId="29" priority="12">
      <formula>$E$73=0</formula>
    </cfRule>
  </conditionalFormatting>
  <conditionalFormatting sqref="F87:J87 G88:J93 G94:G95 I94:I95 H96:J96 G97:J98">
    <cfRule type="expression" dxfId="28" priority="9">
      <formula>$E$87=0</formula>
    </cfRule>
  </conditionalFormatting>
  <conditionalFormatting sqref="F101:J101 G102:J107 G108:G109 I108:I109 H110:J110 G111:J112">
    <cfRule type="expression" dxfId="27" priority="6">
      <formula>$E$101=0</formula>
    </cfRule>
  </conditionalFormatting>
  <conditionalFormatting sqref="F115:J115 G116:J121 G122:G123 I122:I123 H124:J124 G125:J126">
    <cfRule type="expression" dxfId="26" priority="3">
      <formula>$E$115=0</formula>
    </cfRule>
  </conditionalFormatting>
  <conditionalFormatting sqref="L3:P3 M4:P9 M10:M11 O10:O11 N12:P12 M13:P14">
    <cfRule type="expression" dxfId="25" priority="27">
      <formula>$K$3=0</formula>
    </cfRule>
  </conditionalFormatting>
  <conditionalFormatting sqref="L17:P17 M18:P23 M24:M25 O24:O25 N26:P26 M27:P28">
    <cfRule type="expression" dxfId="24" priority="23">
      <formula>$K$17=0</formula>
    </cfRule>
  </conditionalFormatting>
  <conditionalFormatting sqref="L31:P31 M32:P37 M38:M39 O38:O39 N40:P40 M41:P42">
    <cfRule type="expression" dxfId="23" priority="20">
      <formula>$K$31=0</formula>
    </cfRule>
  </conditionalFormatting>
  <conditionalFormatting sqref="L45:P45 M46:P51 M52:M53 O52:O53 N54:P54 M55:P56">
    <cfRule type="expression" dxfId="22" priority="17">
      <formula>$K$45=0</formula>
    </cfRule>
  </conditionalFormatting>
  <conditionalFormatting sqref="L59:P59 M60:P65 M66:M67 O66:O67 N68:P68 M69:P70">
    <cfRule type="expression" dxfId="21" priority="14">
      <formula>$K$59=0</formula>
    </cfRule>
  </conditionalFormatting>
  <conditionalFormatting sqref="L73:P73 M74:P79 M80:M81 O80:O81 N82:P82 M83:P84">
    <cfRule type="expression" dxfId="20" priority="11">
      <formula>$K$73=0</formula>
    </cfRule>
  </conditionalFormatting>
  <conditionalFormatting sqref="L87:P87 M88:P93 M94:M95 O94:O95 N96:P96 M97:P98">
    <cfRule type="expression" dxfId="19" priority="8">
      <formula>$K$87=0</formula>
    </cfRule>
  </conditionalFormatting>
  <conditionalFormatting sqref="L101:P101 M102:P107 M108:M109 O108:O109 N110:P110 M111:P112">
    <cfRule type="expression" dxfId="18" priority="5">
      <formula>$K$101=0</formula>
    </cfRule>
  </conditionalFormatting>
  <conditionalFormatting sqref="L115:P115 M116:P121 M122:M123 O122:O123 N124:P124 M125:P126">
    <cfRule type="expression" dxfId="17" priority="2">
      <formula>$K$115=0</formula>
    </cfRule>
  </conditionalFormatting>
  <conditionalFormatting sqref="R3:V3 S4:V9 S10:S11 U10:U11 T12:V12 S13:V14">
    <cfRule type="expression" dxfId="16" priority="26">
      <formula>$Q$3=0</formula>
    </cfRule>
  </conditionalFormatting>
  <conditionalFormatting sqref="R17:V17 S18:V23 S24:S25 U24:U25 T26:V26 S27:V28">
    <cfRule type="expression" dxfId="15" priority="22">
      <formula>$Q$17=0</formula>
    </cfRule>
  </conditionalFormatting>
  <conditionalFormatting sqref="R31:V31 S32:V37 S38:S39 U38:U39 T40:V40 S41:V42">
    <cfRule type="expression" dxfId="14" priority="19">
      <formula>$Q$31=0</formula>
    </cfRule>
  </conditionalFormatting>
  <conditionalFormatting sqref="R45:V45 S46:V51 S52:S53 U52:U53 T54:V54 S55:V56">
    <cfRule type="expression" dxfId="13" priority="16">
      <formula>$Q$45=0</formula>
    </cfRule>
  </conditionalFormatting>
  <conditionalFormatting sqref="R59:V59 S60:V65 S66:S67 U66:U67 T68:V68 S69:V70">
    <cfRule type="expression" dxfId="12" priority="13">
      <formula>$Q$59=0</formula>
    </cfRule>
  </conditionalFormatting>
  <conditionalFormatting sqref="R73:V73 S74:V79 S80:S81 U80:U81 T82:V82 S83:V84">
    <cfRule type="expression" dxfId="11" priority="10">
      <formula>$Q$73=0</formula>
    </cfRule>
  </conditionalFormatting>
  <conditionalFormatting sqref="R87:V87 S88:V93 S94:S95 U94:U95 T96:V96 S97:V98">
    <cfRule type="expression" dxfId="10" priority="7">
      <formula>$Q$87=0</formula>
    </cfRule>
  </conditionalFormatting>
  <conditionalFormatting sqref="R101:V101 S102:V107 S108:S109 U108:U109 T110:V110 S111:V112">
    <cfRule type="expression" dxfId="9" priority="4">
      <formula>$Q$101=0</formula>
    </cfRule>
  </conditionalFormatting>
  <conditionalFormatting sqref="R115:V115 S116:V121 S122:S123 U122:U123 T124:V124 S125:V126">
    <cfRule type="expression" dxfId="8" priority="1">
      <formula>$E$3=0</formula>
    </cfRule>
  </conditionalFormatting>
  <pageMargins left="0.511811024" right="0.511811024" top="0.78740157499999996" bottom="0.78740157499999996" header="0.31496062000000002" footer="0.31496062000000002"/>
  <pageSetup paperSize="9" scale="47"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0E10-33B1-491B-A551-71E54200EEB6}">
  <dimension ref="A1:AH637"/>
  <sheetViews>
    <sheetView showGridLines="0" tabSelected="1" topLeftCell="D228" zoomScaleNormal="100" workbookViewId="0">
      <selection activeCell="M4" sqref="M4"/>
    </sheetView>
  </sheetViews>
  <sheetFormatPr defaultColWidth="9.140625" defaultRowHeight="30" customHeight="1" outlineLevelCol="1" x14ac:dyDescent="0.25"/>
  <cols>
    <col min="1" max="2" width="14.85546875" style="106" customWidth="1" outlineLevel="1"/>
    <col min="3" max="3" width="22.85546875" style="39" customWidth="1" outlineLevel="1"/>
    <col min="4" max="4" width="17.28515625" style="36" customWidth="1" outlineLevel="1"/>
    <col min="5" max="6" width="18.5703125" style="107" customWidth="1" outlineLevel="1"/>
    <col min="7" max="7" width="26.85546875" style="18" customWidth="1" outlineLevel="1"/>
    <col min="8" max="8" width="48.85546875" style="108" customWidth="1" outlineLevel="1"/>
    <col min="9" max="9" width="26.5703125" style="108" customWidth="1" outlineLevel="1"/>
    <col min="10" max="12" width="20.7109375" style="18" customWidth="1" outlineLevel="1"/>
    <col min="13" max="13" width="16.7109375" style="109" customWidth="1" outlineLevel="1"/>
    <col min="14" max="14" width="17.5703125" style="39" customWidth="1" outlineLevel="1"/>
    <col min="15" max="15" width="41.7109375" style="110" customWidth="1" outlineLevel="1"/>
    <col min="16" max="16" width="9.140625" style="39"/>
    <col min="17" max="17" width="10.28515625" customWidth="1" outlineLevel="1"/>
    <col min="18" max="18" width="14.7109375" customWidth="1" outlineLevel="1"/>
    <col min="19" max="20" width="10.28515625" customWidth="1" outlineLevel="1"/>
    <col min="21" max="21" width="16.85546875" customWidth="1" outlineLevel="1"/>
    <col min="22" max="22" width="9.140625" style="39"/>
    <col min="23" max="23" width="12" customWidth="1" outlineLevel="1"/>
    <col min="24" max="24" width="15.85546875" customWidth="1" outlineLevel="1"/>
    <col min="25" max="25" width="20.140625" customWidth="1" outlineLevel="1"/>
    <col min="26" max="26" width="9.140625" outlineLevel="1"/>
    <col min="27" max="27" width="16.85546875" customWidth="1" outlineLevel="1"/>
    <col min="28" max="32" width="9.140625" outlineLevel="1"/>
    <col min="33" max="33" width="12" customWidth="1" outlineLevel="1"/>
    <col min="34" max="16384" width="9.140625" style="39"/>
  </cols>
  <sheetData>
    <row r="1" spans="1:34" ht="27" thickBot="1" x14ac:dyDescent="0.3">
      <c r="A1" s="1856" t="s">
        <v>356</v>
      </c>
      <c r="B1" s="1856"/>
      <c r="C1" s="1856"/>
      <c r="D1" s="1856"/>
      <c r="E1" s="1856"/>
      <c r="F1" s="1057"/>
      <c r="G1" s="1855" t="str">
        <f>'Programação Individual'!B21</f>
        <v>VMORDEKAI</v>
      </c>
      <c r="H1" s="1855"/>
      <c r="I1" s="1855"/>
      <c r="J1" s="1855"/>
      <c r="K1" s="1855"/>
      <c r="L1" s="1855"/>
      <c r="M1" s="1855"/>
      <c r="N1" s="1855"/>
      <c r="O1" s="1855"/>
      <c r="W1" s="39"/>
      <c r="X1" s="39"/>
      <c r="Y1" s="39"/>
      <c r="Z1" s="39"/>
      <c r="AA1" s="39"/>
      <c r="AB1" s="39"/>
      <c r="AC1" s="39"/>
      <c r="AD1" s="39"/>
      <c r="AE1" s="39"/>
      <c r="AF1" s="39"/>
      <c r="AG1" s="39"/>
    </row>
    <row r="2" spans="1:34" ht="18" thickTop="1" x14ac:dyDescent="0.3">
      <c r="Q2" s="18"/>
      <c r="R2" s="109"/>
      <c r="S2" s="39"/>
      <c r="T2" s="110"/>
      <c r="U2" s="39"/>
      <c r="W2" s="1867" t="s">
        <v>357</v>
      </c>
      <c r="X2" s="1867"/>
      <c r="Y2" s="1867"/>
      <c r="Z2" s="1867"/>
      <c r="AA2" s="1867"/>
      <c r="AB2" s="1867"/>
      <c r="AC2" s="1867"/>
      <c r="AD2" s="1867"/>
      <c r="AE2" s="1867"/>
      <c r="AF2" s="1867"/>
      <c r="AG2" s="1867"/>
    </row>
    <row r="3" spans="1:34" s="111" customFormat="1" ht="38.25" x14ac:dyDescent="0.3">
      <c r="A3" s="855" t="s">
        <v>901</v>
      </c>
      <c r="B3" s="855" t="s">
        <v>825</v>
      </c>
      <c r="C3" s="855" t="s">
        <v>902</v>
      </c>
      <c r="D3" s="845" t="s">
        <v>197</v>
      </c>
      <c r="E3" s="845" t="s">
        <v>826</v>
      </c>
      <c r="F3" s="845" t="s">
        <v>1622</v>
      </c>
      <c r="G3" s="855" t="s">
        <v>358</v>
      </c>
      <c r="H3" s="855" t="s">
        <v>384</v>
      </c>
      <c r="I3" s="855" t="s">
        <v>403</v>
      </c>
      <c r="J3" s="855" t="s">
        <v>359</v>
      </c>
      <c r="K3" s="855" t="s">
        <v>827</v>
      </c>
      <c r="L3" s="846" t="s">
        <v>611</v>
      </c>
      <c r="M3" s="845" t="s">
        <v>360</v>
      </c>
      <c r="N3" s="844" t="s">
        <v>361</v>
      </c>
      <c r="O3" s="847" t="s">
        <v>362</v>
      </c>
      <c r="Q3" s="1865" t="s">
        <v>664</v>
      </c>
      <c r="R3" s="1865"/>
      <c r="S3" s="1865"/>
      <c r="T3" s="1865"/>
      <c r="U3" s="1865"/>
      <c r="W3" s="1868" t="s">
        <v>828</v>
      </c>
      <c r="X3" s="1868"/>
      <c r="Y3" s="1868" t="s">
        <v>195</v>
      </c>
      <c r="Z3" s="1868"/>
      <c r="AA3" s="1868"/>
      <c r="AB3" s="1868"/>
      <c r="AC3" s="1868"/>
      <c r="AD3" s="1868"/>
      <c r="AE3" s="1868"/>
      <c r="AF3" s="1868"/>
      <c r="AG3" s="1868"/>
    </row>
    <row r="4" spans="1:34" ht="15" x14ac:dyDescent="0.25">
      <c r="A4" s="828"/>
      <c r="B4" s="828" t="s">
        <v>1148</v>
      </c>
      <c r="C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AVIIN0084-(?)-Color</v>
      </c>
      <c r="D4" s="828" t="s">
        <v>493</v>
      </c>
      <c r="E4" s="829"/>
      <c r="F4" s="829"/>
      <c r="G4" s="1058" t="s">
        <v>1624</v>
      </c>
      <c r="H4" s="829" t="s">
        <v>1149</v>
      </c>
      <c r="I4" s="829"/>
      <c r="J4" s="829" t="s">
        <v>442</v>
      </c>
      <c r="K4" s="829"/>
      <c r="L4" s="834">
        <v>44743</v>
      </c>
      <c r="M4" s="835">
        <v>0.36349999999999999</v>
      </c>
      <c r="N4" s="836"/>
      <c r="O4" s="833"/>
      <c r="Q4" s="1860" t="s">
        <v>666</v>
      </c>
      <c r="R4" s="1860"/>
      <c r="S4" s="1860"/>
      <c r="T4" s="1866"/>
      <c r="U4" s="1866"/>
      <c r="W4" s="821" t="s">
        <v>825</v>
      </c>
      <c r="X4" s="822" t="s">
        <v>829</v>
      </c>
      <c r="Y4" s="823" t="s">
        <v>241</v>
      </c>
      <c r="Z4" s="1869" t="s">
        <v>195</v>
      </c>
      <c r="AA4" s="1870"/>
      <c r="AB4" s="1870"/>
      <c r="AC4" s="1870"/>
      <c r="AD4" s="1870"/>
      <c r="AE4" s="1870"/>
      <c r="AF4" s="1871"/>
      <c r="AG4" s="854" t="s">
        <v>830</v>
      </c>
    </row>
    <row r="5" spans="1:34" x14ac:dyDescent="0.25">
      <c r="A5" s="828"/>
      <c r="B5" s="828" t="s">
        <v>1150</v>
      </c>
      <c r="C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AVIIN0303-(?)-Preto/</v>
      </c>
      <c r="D5" s="828" t="s">
        <v>493</v>
      </c>
      <c r="E5" s="829"/>
      <c r="F5" s="829"/>
      <c r="G5" s="1058" t="s">
        <v>1624</v>
      </c>
      <c r="H5" s="829" t="s">
        <v>1151</v>
      </c>
      <c r="I5" s="829"/>
      <c r="J5" s="829" t="s">
        <v>612</v>
      </c>
      <c r="K5" s="829"/>
      <c r="L5" s="834">
        <v>44743</v>
      </c>
      <c r="M5" s="835">
        <v>0.19329999999999997</v>
      </c>
      <c r="N5" s="832"/>
      <c r="O5" s="833"/>
      <c r="Q5" s="1328" t="s">
        <v>667</v>
      </c>
      <c r="R5" s="1328"/>
      <c r="S5" s="848" t="s">
        <v>60</v>
      </c>
      <c r="T5" s="851"/>
      <c r="U5" s="852" t="s">
        <v>668</v>
      </c>
      <c r="W5" s="1858" t="s">
        <v>831</v>
      </c>
      <c r="X5" s="824" t="s">
        <v>832</v>
      </c>
      <c r="Y5" s="825" t="s">
        <v>833</v>
      </c>
      <c r="Z5" s="1857" t="s">
        <v>834</v>
      </c>
      <c r="AA5" s="1857"/>
      <c r="AB5" s="1857"/>
      <c r="AC5" s="1857"/>
      <c r="AD5" s="1857"/>
      <c r="AE5" s="1857"/>
      <c r="AF5" s="1857"/>
      <c r="AG5" s="826" t="str">
        <f t="shared" ref="AG5:AG25" si="0">CONCATENATE(X5,"-",Y5)</f>
        <v>ACE-Acessórios para confecção</v>
      </c>
      <c r="AH5" s="39" t="s">
        <v>135</v>
      </c>
    </row>
    <row r="6" spans="1:34" x14ac:dyDescent="0.25">
      <c r="A6" s="828"/>
      <c r="B6" s="828" t="s">
        <v>1441</v>
      </c>
      <c r="C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AVIIN0089-(?)-Preto </v>
      </c>
      <c r="D6" s="828" t="s">
        <v>493</v>
      </c>
      <c r="E6" s="829"/>
      <c r="F6" s="829"/>
      <c r="G6" s="1058" t="s">
        <v>1624</v>
      </c>
      <c r="H6" s="829" t="s">
        <v>608</v>
      </c>
      <c r="I6" s="829"/>
      <c r="J6" s="829" t="s">
        <v>609</v>
      </c>
      <c r="K6" s="829"/>
      <c r="L6" s="834">
        <v>44762</v>
      </c>
      <c r="M6" s="835">
        <v>1.6196000000000002</v>
      </c>
      <c r="N6" s="836"/>
      <c r="O6" s="833"/>
      <c r="Q6" s="1860" t="s">
        <v>659</v>
      </c>
      <c r="R6" s="1860"/>
      <c r="S6" s="849">
        <f>'NOME + Nº'!K15</f>
        <v>90</v>
      </c>
      <c r="T6" s="851"/>
      <c r="U6" s="853">
        <f ca="1">TODAY()-S6</f>
        <v>45650</v>
      </c>
      <c r="W6" s="1859"/>
      <c r="X6" s="824" t="s">
        <v>835</v>
      </c>
      <c r="Y6" s="825" t="s">
        <v>836</v>
      </c>
      <c r="Z6" s="1857" t="s">
        <v>837</v>
      </c>
      <c r="AA6" s="1857"/>
      <c r="AB6" s="1857"/>
      <c r="AC6" s="1857"/>
      <c r="AD6" s="1857"/>
      <c r="AE6" s="1857"/>
      <c r="AF6" s="1857"/>
      <c r="AG6" s="826" t="str">
        <f t="shared" si="0"/>
        <v>EST-Acessórios para estamparia</v>
      </c>
      <c r="AH6" s="39" t="s">
        <v>135</v>
      </c>
    </row>
    <row r="7" spans="1:34" ht="15" x14ac:dyDescent="0.25">
      <c r="A7" s="828"/>
      <c r="B7" s="828" t="s">
        <v>1442</v>
      </c>
      <c r="C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AVIIN0086-(?)-Preto</v>
      </c>
      <c r="D7" s="828" t="s">
        <v>493</v>
      </c>
      <c r="E7" s="829"/>
      <c r="F7" s="829"/>
      <c r="G7" s="1058" t="s">
        <v>1624</v>
      </c>
      <c r="H7" s="829" t="s">
        <v>610</v>
      </c>
      <c r="I7" s="829"/>
      <c r="J7" s="829" t="s">
        <v>499</v>
      </c>
      <c r="K7" s="829"/>
      <c r="L7" s="834">
        <v>44743</v>
      </c>
      <c r="M7" s="835">
        <v>5.7048000000000005</v>
      </c>
      <c r="N7" s="836"/>
      <c r="O7" s="833"/>
      <c r="Q7" s="1861" t="s">
        <v>660</v>
      </c>
      <c r="R7" s="1861"/>
      <c r="S7" s="850">
        <f>'NOME + Nº'!K16</f>
        <v>7</v>
      </c>
      <c r="T7" s="851"/>
      <c r="U7" s="853">
        <f ca="1">TODAY()-S7</f>
        <v>45733</v>
      </c>
      <c r="W7" s="1859"/>
      <c r="X7" s="824" t="s">
        <v>838</v>
      </c>
      <c r="Y7" s="825" t="s">
        <v>839</v>
      </c>
      <c r="Z7" s="1857" t="s">
        <v>840</v>
      </c>
      <c r="AA7" s="1857"/>
      <c r="AB7" s="1857"/>
      <c r="AC7" s="1857"/>
      <c r="AD7" s="1857"/>
      <c r="AE7" s="1857"/>
      <c r="AF7" s="1857"/>
      <c r="AG7" s="826" t="str">
        <f t="shared" si="0"/>
        <v>MET-Aviamentos de metal</v>
      </c>
      <c r="AH7" s="39" t="s">
        <v>135</v>
      </c>
    </row>
    <row r="8" spans="1:34" ht="15" x14ac:dyDescent="0.25">
      <c r="A8" s="828"/>
      <c r="B8" s="828" t="s">
        <v>1443</v>
      </c>
      <c r="C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AVIIN0039-(?)-Preto</v>
      </c>
      <c r="D8" s="828" t="s">
        <v>493</v>
      </c>
      <c r="E8" s="829"/>
      <c r="F8" s="829"/>
      <c r="G8" s="1058" t="s">
        <v>1624</v>
      </c>
      <c r="H8" s="829" t="s">
        <v>506</v>
      </c>
      <c r="I8" s="829"/>
      <c r="J8" s="829" t="s">
        <v>499</v>
      </c>
      <c r="K8" s="829"/>
      <c r="L8" s="834">
        <v>44762</v>
      </c>
      <c r="M8" s="835">
        <v>7.0911999999999997</v>
      </c>
      <c r="N8" s="832"/>
      <c r="O8" s="833"/>
      <c r="Q8" s="1862" t="s">
        <v>661</v>
      </c>
      <c r="R8" s="1862"/>
      <c r="S8" s="850">
        <f>'NOME + Nº'!K17</f>
        <v>30</v>
      </c>
      <c r="T8" s="851"/>
      <c r="U8" s="853">
        <f ca="1">TODAY()-S8</f>
        <v>45710</v>
      </c>
      <c r="W8" s="1859"/>
      <c r="X8" s="824" t="s">
        <v>841</v>
      </c>
      <c r="Y8" s="825" t="s">
        <v>842</v>
      </c>
      <c r="Z8" s="1857" t="s">
        <v>843</v>
      </c>
      <c r="AA8" s="1857"/>
      <c r="AB8" s="1857"/>
      <c r="AC8" s="1857"/>
      <c r="AD8" s="1857"/>
      <c r="AE8" s="1857"/>
      <c r="AF8" s="1857"/>
      <c r="AG8" s="826" t="str">
        <f t="shared" si="0"/>
        <v>NYL-Aviamentos de nylon</v>
      </c>
      <c r="AH8" s="39" t="s">
        <v>135</v>
      </c>
    </row>
    <row r="9" spans="1:34" x14ac:dyDescent="0.25">
      <c r="A9" s="828"/>
      <c r="B9" s="828" t="s">
        <v>1444</v>
      </c>
      <c r="C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AVIIN0088-22mm-(?)</v>
      </c>
      <c r="D9" s="828" t="s">
        <v>628</v>
      </c>
      <c r="E9" s="829"/>
      <c r="F9" s="829"/>
      <c r="G9" s="1058" t="s">
        <v>1624</v>
      </c>
      <c r="H9" s="829" t="s">
        <v>635</v>
      </c>
      <c r="I9" s="829" t="s">
        <v>405</v>
      </c>
      <c r="J9" s="829"/>
      <c r="K9" s="829"/>
      <c r="L9" s="834">
        <v>44862</v>
      </c>
      <c r="M9" s="835">
        <v>0.28000000000000003</v>
      </c>
      <c r="N9" s="832"/>
      <c r="O9" s="833"/>
      <c r="Q9" s="1863" t="s">
        <v>662</v>
      </c>
      <c r="R9" s="1863"/>
      <c r="S9" s="850">
        <f>'NOME + Nº'!K18</f>
        <v>60</v>
      </c>
      <c r="T9" s="851"/>
      <c r="U9" s="853">
        <f ca="1">TODAY()-S9</f>
        <v>45680</v>
      </c>
      <c r="W9" s="1859"/>
      <c r="X9" s="824" t="s">
        <v>844</v>
      </c>
      <c r="Y9" s="825" t="s">
        <v>845</v>
      </c>
      <c r="Z9" s="1857" t="s">
        <v>843</v>
      </c>
      <c r="AA9" s="1857"/>
      <c r="AB9" s="1857"/>
      <c r="AC9" s="1857"/>
      <c r="AD9" s="1857"/>
      <c r="AE9" s="1857"/>
      <c r="AF9" s="1857"/>
      <c r="AG9" s="826" t="str">
        <f t="shared" si="0"/>
        <v>PLA-Aviamentos de plástico</v>
      </c>
      <c r="AH9" s="39" t="s">
        <v>135</v>
      </c>
    </row>
    <row r="10" spans="1:34" ht="15" x14ac:dyDescent="0.25">
      <c r="A10" s="828"/>
      <c r="B10" s="828" t="s">
        <v>1001</v>
      </c>
      <c r="C1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AVIIN0219-(?)-(?)</v>
      </c>
      <c r="D10" s="828"/>
      <c r="E10" s="829"/>
      <c r="F10" s="829"/>
      <c r="G10" s="1059" t="s">
        <v>1624</v>
      </c>
      <c r="H10" s="829" t="s">
        <v>1002</v>
      </c>
      <c r="I10" s="829"/>
      <c r="J10" s="829"/>
      <c r="K10" s="829"/>
      <c r="L10" s="834">
        <v>44531</v>
      </c>
      <c r="M10" s="835">
        <v>2</v>
      </c>
      <c r="N10" s="832" t="s">
        <v>365</v>
      </c>
      <c r="O10" s="833"/>
      <c r="Q10" s="1864" t="s">
        <v>663</v>
      </c>
      <c r="R10" s="1864"/>
      <c r="S10" s="85">
        <f>'NOME + Nº'!K19</f>
        <v>90</v>
      </c>
      <c r="T10" s="330"/>
      <c r="U10" s="373">
        <f ca="1">TODAY()-S10</f>
        <v>45650</v>
      </c>
      <c r="W10" s="1859"/>
      <c r="X10" s="824" t="s">
        <v>846</v>
      </c>
      <c r="Y10" s="825" t="s">
        <v>847</v>
      </c>
      <c r="Z10" s="1857" t="s">
        <v>848</v>
      </c>
      <c r="AA10" s="1857"/>
      <c r="AB10" s="1857"/>
      <c r="AC10" s="1857"/>
      <c r="AD10" s="1857"/>
      <c r="AE10" s="1857"/>
      <c r="AF10" s="1857"/>
      <c r="AG10" s="826" t="str">
        <f t="shared" si="0"/>
        <v>AVI-Aviamentos diversos</v>
      </c>
      <c r="AH10" s="39" t="s">
        <v>135</v>
      </c>
    </row>
    <row r="11" spans="1:34" x14ac:dyDescent="0.25">
      <c r="A11" s="828"/>
      <c r="B11" s="828" t="s">
        <v>1291</v>
      </c>
      <c r="C1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AVIIN0017-(?)-(?)</v>
      </c>
      <c r="D11" s="828" t="s">
        <v>1292</v>
      </c>
      <c r="E11" s="829"/>
      <c r="F11" s="829"/>
      <c r="G11" s="1059" t="s">
        <v>1624</v>
      </c>
      <c r="H11" s="829" t="s">
        <v>573</v>
      </c>
      <c r="I11" s="829"/>
      <c r="J11" s="829"/>
      <c r="K11" s="829"/>
      <c r="L11" s="834">
        <v>44531</v>
      </c>
      <c r="M11" s="837">
        <v>0.2</v>
      </c>
      <c r="N11" s="836"/>
      <c r="O11" s="833"/>
      <c r="W11" s="1859"/>
      <c r="X11" s="824" t="s">
        <v>849</v>
      </c>
      <c r="Y11" s="825" t="s">
        <v>850</v>
      </c>
      <c r="Z11" s="1857" t="s">
        <v>851</v>
      </c>
      <c r="AA11" s="1857"/>
      <c r="AB11" s="1857"/>
      <c r="AC11" s="1857"/>
      <c r="AD11" s="1857"/>
      <c r="AE11" s="1857"/>
      <c r="AF11" s="1857"/>
      <c r="AG11" s="826" t="str">
        <f t="shared" si="0"/>
        <v>CAC-Cadarços e cordas</v>
      </c>
      <c r="AH11" s="39" t="s">
        <v>135</v>
      </c>
    </row>
    <row r="12" spans="1:34" ht="15" x14ac:dyDescent="0.25">
      <c r="A12" s="828"/>
      <c r="B12" s="828" t="s">
        <v>956</v>
      </c>
      <c r="C1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AVIIN0302-(?)-(?)</v>
      </c>
      <c r="D12" s="828"/>
      <c r="E12" s="828"/>
      <c r="F12" s="828"/>
      <c r="G12" s="1058" t="s">
        <v>1624</v>
      </c>
      <c r="H12" s="828" t="s">
        <v>453</v>
      </c>
      <c r="I12" s="828"/>
      <c r="J12" s="828"/>
      <c r="K12" s="828"/>
      <c r="L12" s="830">
        <v>44531</v>
      </c>
      <c r="M12" s="831">
        <v>12</v>
      </c>
      <c r="N12" s="832"/>
      <c r="O12" s="833"/>
      <c r="W12" s="1859"/>
      <c r="X12" s="824" t="s">
        <v>852</v>
      </c>
      <c r="Y12" s="825" t="s">
        <v>853</v>
      </c>
      <c r="Z12" s="1857" t="s">
        <v>854</v>
      </c>
      <c r="AA12" s="1857"/>
      <c r="AB12" s="1857"/>
      <c r="AC12" s="1857"/>
      <c r="AD12" s="1857"/>
      <c r="AE12" s="1857"/>
      <c r="AF12" s="1857"/>
      <c r="AG12" s="826" t="str">
        <f t="shared" si="0"/>
        <v>COU-Couros e sintéticos</v>
      </c>
      <c r="AH12" s="39" t="s">
        <v>222</v>
      </c>
    </row>
    <row r="13" spans="1:34" x14ac:dyDescent="0.25">
      <c r="A13" s="828"/>
      <c r="B13" s="828" t="s">
        <v>1070</v>
      </c>
      <c r="C1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AVIIN0296-(?)-(?)</v>
      </c>
      <c r="D13" s="828" t="s">
        <v>1071</v>
      </c>
      <c r="E13" s="828"/>
      <c r="F13" s="828"/>
      <c r="G13" s="1058" t="s">
        <v>1624</v>
      </c>
      <c r="H13" s="828" t="s">
        <v>899</v>
      </c>
      <c r="I13" s="828"/>
      <c r="J13" s="828"/>
      <c r="K13" s="828"/>
      <c r="L13" s="830">
        <v>44862</v>
      </c>
      <c r="M13" s="831">
        <v>0.33333333333333331</v>
      </c>
      <c r="N13" s="832"/>
      <c r="O13" s="833"/>
      <c r="W13" s="1859"/>
      <c r="X13" s="824" t="s">
        <v>855</v>
      </c>
      <c r="Y13" s="825" t="s">
        <v>856</v>
      </c>
      <c r="Z13" s="1857" t="s">
        <v>857</v>
      </c>
      <c r="AA13" s="1857"/>
      <c r="AB13" s="1857"/>
      <c r="AC13" s="1857"/>
      <c r="AD13" s="1857"/>
      <c r="AE13" s="1857"/>
      <c r="AF13" s="1857"/>
      <c r="AG13" s="826" t="str">
        <f t="shared" si="0"/>
        <v>SEG-Equipamentos de segurança</v>
      </c>
      <c r="AH13" s="39" t="s">
        <v>135</v>
      </c>
    </row>
    <row r="14" spans="1:34" x14ac:dyDescent="0.25">
      <c r="A14" s="828"/>
      <c r="B14" s="828" t="s">
        <v>1072</v>
      </c>
      <c r="C1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AVIIN0118-(?)-(?)</v>
      </c>
      <c r="D14" s="828" t="s">
        <v>1073</v>
      </c>
      <c r="E14" s="828"/>
      <c r="F14" s="828"/>
      <c r="G14" s="1058" t="s">
        <v>1624</v>
      </c>
      <c r="H14" s="828" t="s">
        <v>1074</v>
      </c>
      <c r="I14" s="843"/>
      <c r="J14" s="828"/>
      <c r="K14" s="828"/>
      <c r="L14" s="830">
        <v>45017</v>
      </c>
      <c r="M14" s="831">
        <v>1.5</v>
      </c>
      <c r="N14" s="828"/>
      <c r="O14" s="828"/>
      <c r="W14" s="1859"/>
      <c r="X14" s="824" t="s">
        <v>858</v>
      </c>
      <c r="Y14" s="825" t="s">
        <v>859</v>
      </c>
      <c r="Z14" s="1857" t="s">
        <v>860</v>
      </c>
      <c r="AA14" s="1857"/>
      <c r="AB14" s="1857"/>
      <c r="AC14" s="1857"/>
      <c r="AD14" s="1857"/>
      <c r="AE14" s="1857"/>
      <c r="AF14" s="1857"/>
      <c r="AG14" s="826" t="str">
        <f t="shared" si="0"/>
        <v>FER-Ferramentas e maquinários</v>
      </c>
      <c r="AH14" s="39" t="s">
        <v>135</v>
      </c>
    </row>
    <row r="15" spans="1:34" ht="15" x14ac:dyDescent="0.25">
      <c r="A15" s="828"/>
      <c r="B15" s="828" t="s">
        <v>1152</v>
      </c>
      <c r="C1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AVIIN0136-(?)-(?)</v>
      </c>
      <c r="D15" s="828"/>
      <c r="E15" s="828"/>
      <c r="F15" s="828"/>
      <c r="G15" s="1058" t="s">
        <v>1624</v>
      </c>
      <c r="H15" s="828" t="s">
        <v>451</v>
      </c>
      <c r="I15" s="828"/>
      <c r="J15" s="828"/>
      <c r="K15" s="828"/>
      <c r="L15" s="830">
        <v>44531</v>
      </c>
      <c r="M15" s="831"/>
      <c r="N15" s="832"/>
      <c r="O15" s="833"/>
      <c r="W15" s="1859"/>
      <c r="X15" s="824" t="s">
        <v>861</v>
      </c>
      <c r="Y15" s="825" t="s">
        <v>862</v>
      </c>
      <c r="Z15" s="1857" t="s">
        <v>863</v>
      </c>
      <c r="AA15" s="1857"/>
      <c r="AB15" s="1857"/>
      <c r="AC15" s="1857"/>
      <c r="AD15" s="1857"/>
      <c r="AE15" s="1857"/>
      <c r="AF15" s="1857"/>
      <c r="AG15" s="826" t="str">
        <f t="shared" si="0"/>
        <v>FIB-Fibras e enchimentos</v>
      </c>
      <c r="AH15" s="39" t="s">
        <v>135</v>
      </c>
    </row>
    <row r="16" spans="1:34" ht="15" x14ac:dyDescent="0.25">
      <c r="A16" s="828"/>
      <c r="B16" s="828" t="s">
        <v>1401</v>
      </c>
      <c r="C1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AVIIN0018-(?)-(?)</v>
      </c>
      <c r="D16" s="828"/>
      <c r="E16" s="838"/>
      <c r="F16" s="838"/>
      <c r="G16" s="1058" t="s">
        <v>1624</v>
      </c>
      <c r="H16" s="838" t="s">
        <v>452</v>
      </c>
      <c r="I16" s="838"/>
      <c r="J16" s="838"/>
      <c r="K16" s="838"/>
      <c r="L16" s="834">
        <v>44531</v>
      </c>
      <c r="M16" s="839">
        <v>10</v>
      </c>
      <c r="N16" s="832"/>
      <c r="O16" s="833"/>
      <c r="W16" s="1859"/>
      <c r="X16" s="824" t="s">
        <v>864</v>
      </c>
      <c r="Y16" s="825" t="s">
        <v>865</v>
      </c>
      <c r="Z16" s="1857" t="s">
        <v>866</v>
      </c>
      <c r="AA16" s="1857"/>
      <c r="AB16" s="1857"/>
      <c r="AC16" s="1857"/>
      <c r="AD16" s="1857"/>
      <c r="AE16" s="1857"/>
      <c r="AF16" s="1857"/>
      <c r="AG16" s="826" t="str">
        <f t="shared" si="0"/>
        <v>LIN-Linhas</v>
      </c>
      <c r="AH16" s="39" t="s">
        <v>135</v>
      </c>
    </row>
    <row r="17" spans="1:34" ht="15" x14ac:dyDescent="0.25">
      <c r="A17" s="828"/>
      <c r="B17" s="828" t="s">
        <v>1409</v>
      </c>
      <c r="C1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AVIIN0064-7,5cm-(?)</v>
      </c>
      <c r="D17" s="828"/>
      <c r="E17" s="838"/>
      <c r="F17" s="838"/>
      <c r="G17" s="1058" t="s">
        <v>1624</v>
      </c>
      <c r="H17" s="838" t="s">
        <v>1410</v>
      </c>
      <c r="I17" s="838" t="s">
        <v>439</v>
      </c>
      <c r="J17" s="838"/>
      <c r="K17" s="838"/>
      <c r="L17" s="834">
        <v>44862</v>
      </c>
      <c r="M17" s="837">
        <v>1</v>
      </c>
      <c r="N17" s="836"/>
      <c r="O17" s="833"/>
      <c r="W17" s="1859"/>
      <c r="X17" s="824" t="s">
        <v>867</v>
      </c>
      <c r="Y17" s="825" t="s">
        <v>868</v>
      </c>
      <c r="Z17" s="1857" t="s">
        <v>869</v>
      </c>
      <c r="AA17" s="1857"/>
      <c r="AB17" s="1857"/>
      <c r="AC17" s="1857"/>
      <c r="AD17" s="1857"/>
      <c r="AE17" s="1857"/>
      <c r="AF17" s="1857"/>
      <c r="AG17" s="826" t="str">
        <f t="shared" si="0"/>
        <v>MAL-Malhas</v>
      </c>
      <c r="AH17" s="39" t="s">
        <v>135</v>
      </c>
    </row>
    <row r="18" spans="1:34" ht="15" x14ac:dyDescent="0.25">
      <c r="A18" s="828"/>
      <c r="B18" s="828" t="s">
        <v>1411</v>
      </c>
      <c r="C1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AVIIN0007-5cm-(?)</v>
      </c>
      <c r="D18" s="828"/>
      <c r="E18" s="829"/>
      <c r="F18" s="829"/>
      <c r="G18" s="1058" t="s">
        <v>1624</v>
      </c>
      <c r="H18" s="829" t="s">
        <v>1412</v>
      </c>
      <c r="I18" s="829" t="s">
        <v>440</v>
      </c>
      <c r="J18" s="829"/>
      <c r="K18" s="829"/>
      <c r="L18" s="834">
        <v>44862</v>
      </c>
      <c r="M18" s="837">
        <v>2.9</v>
      </c>
      <c r="N18" s="832"/>
      <c r="O18" s="833"/>
      <c r="W18" s="1859"/>
      <c r="X18" s="824" t="s">
        <v>870</v>
      </c>
      <c r="Y18" s="825" t="s">
        <v>871</v>
      </c>
      <c r="Z18" s="1857" t="s">
        <v>872</v>
      </c>
      <c r="AA18" s="1857"/>
      <c r="AB18" s="1857"/>
      <c r="AC18" s="1857"/>
      <c r="AD18" s="1857"/>
      <c r="AE18" s="1857"/>
      <c r="AF18" s="1857"/>
      <c r="AG18" s="826" t="str">
        <f t="shared" si="0"/>
        <v>PAP-Papéis e embalagens</v>
      </c>
      <c r="AH18" s="39" t="s">
        <v>135</v>
      </c>
    </row>
    <row r="19" spans="1:34" ht="15" x14ac:dyDescent="0.25">
      <c r="A19" s="828"/>
      <c r="B19" s="828" t="s">
        <v>1430</v>
      </c>
      <c r="C1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AVIIN0029-(?)-(?)</v>
      </c>
      <c r="D19" s="828"/>
      <c r="E19" s="828"/>
      <c r="F19" s="828"/>
      <c r="G19" s="1058" t="s">
        <v>1624</v>
      </c>
      <c r="H19" s="828" t="s">
        <v>450</v>
      </c>
      <c r="I19" s="828"/>
      <c r="J19" s="828"/>
      <c r="K19" s="843"/>
      <c r="L19" s="830">
        <v>44805</v>
      </c>
      <c r="M19" s="831">
        <v>7</v>
      </c>
      <c r="N19" s="832"/>
      <c r="O19" s="833"/>
      <c r="W19" s="1859"/>
      <c r="X19" s="824" t="s">
        <v>873</v>
      </c>
      <c r="Y19" s="825" t="s">
        <v>874</v>
      </c>
      <c r="Z19" s="1857" t="s">
        <v>875</v>
      </c>
      <c r="AA19" s="1857"/>
      <c r="AB19" s="1857"/>
      <c r="AC19" s="1857"/>
      <c r="AD19" s="1857"/>
      <c r="AE19" s="1857"/>
      <c r="AF19" s="1857"/>
      <c r="AG19" s="826" t="str">
        <f t="shared" si="0"/>
        <v>PEP-Peças prontas</v>
      </c>
      <c r="AH19" s="39" t="s">
        <v>222</v>
      </c>
    </row>
    <row r="20" spans="1:34" ht="15" x14ac:dyDescent="0.25">
      <c r="A20" s="828"/>
      <c r="B20" s="828" t="s">
        <v>933</v>
      </c>
      <c r="C2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CACIN0068-30mm-Cores</v>
      </c>
      <c r="D20" s="828" t="s">
        <v>493</v>
      </c>
      <c r="E20" s="828"/>
      <c r="F20" s="828"/>
      <c r="G20" s="1058" t="s">
        <v>1623</v>
      </c>
      <c r="H20" s="828" t="s">
        <v>605</v>
      </c>
      <c r="I20" s="828" t="s">
        <v>404</v>
      </c>
      <c r="J20" s="828" t="s">
        <v>606</v>
      </c>
      <c r="K20" s="828"/>
      <c r="L20" s="830">
        <v>44839</v>
      </c>
      <c r="M20" s="831">
        <v>2.3839999999999999</v>
      </c>
      <c r="N20" s="832"/>
      <c r="O20" s="833"/>
      <c r="W20" s="1859"/>
      <c r="X20" s="824" t="s">
        <v>876</v>
      </c>
      <c r="Y20" s="825" t="s">
        <v>877</v>
      </c>
      <c r="Z20" s="1857" t="s">
        <v>878</v>
      </c>
      <c r="AA20" s="1857"/>
      <c r="AB20" s="1857"/>
      <c r="AC20" s="1857"/>
      <c r="AD20" s="1857"/>
      <c r="AE20" s="1857"/>
      <c r="AF20" s="1857"/>
      <c r="AG20" s="826" t="str">
        <f t="shared" si="0"/>
        <v>QUI-Produtos químicos</v>
      </c>
      <c r="AH20" s="39" t="s">
        <v>135</v>
      </c>
    </row>
    <row r="21" spans="1:34" ht="15" x14ac:dyDescent="0.25">
      <c r="A21" s="828"/>
      <c r="B21" s="828" t="s">
        <v>934</v>
      </c>
      <c r="C2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CACIN0067-40mm-Cores</v>
      </c>
      <c r="D21" s="828" t="s">
        <v>493</v>
      </c>
      <c r="E21" s="829"/>
      <c r="F21" s="829"/>
      <c r="G21" s="1058" t="s">
        <v>1623</v>
      </c>
      <c r="H21" s="829" t="s">
        <v>620</v>
      </c>
      <c r="I21" s="829" t="s">
        <v>673</v>
      </c>
      <c r="J21" s="829" t="s">
        <v>606</v>
      </c>
      <c r="K21" s="829"/>
      <c r="L21" s="834">
        <v>44839</v>
      </c>
      <c r="M21" s="835">
        <v>3.1080000000000001</v>
      </c>
      <c r="N21" s="832"/>
      <c r="O21" s="833"/>
      <c r="W21" s="1859"/>
      <c r="X21" s="824" t="s">
        <v>879</v>
      </c>
      <c r="Y21" s="825" t="s">
        <v>880</v>
      </c>
      <c r="Z21" s="1857" t="s">
        <v>881</v>
      </c>
      <c r="AA21" s="1857"/>
      <c r="AB21" s="1857"/>
      <c r="AC21" s="1857"/>
      <c r="AD21" s="1857"/>
      <c r="AE21" s="1857"/>
      <c r="AF21" s="1857"/>
      <c r="AG21" s="826" t="str">
        <f t="shared" si="0"/>
        <v>TEE-Tecidos especiais</v>
      </c>
      <c r="AH21" s="39" t="s">
        <v>135</v>
      </c>
    </row>
    <row r="22" spans="1:34" x14ac:dyDescent="0.25">
      <c r="A22" s="828"/>
      <c r="B22" s="828" t="s">
        <v>976</v>
      </c>
      <c r="C2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CACIN0069-20mm-Preto </v>
      </c>
      <c r="D22" s="828" t="s">
        <v>494</v>
      </c>
      <c r="E22" s="828"/>
      <c r="F22" s="828"/>
      <c r="G22" s="1058" t="s">
        <v>1623</v>
      </c>
      <c r="H22" s="828" t="s">
        <v>977</v>
      </c>
      <c r="I22" s="828" t="s">
        <v>674</v>
      </c>
      <c r="J22" s="828" t="s">
        <v>495</v>
      </c>
      <c r="K22" s="828"/>
      <c r="L22" s="830">
        <v>44743</v>
      </c>
      <c r="M22" s="831">
        <v>0.36700000000000005</v>
      </c>
      <c r="N22" s="832"/>
      <c r="O22" s="833"/>
      <c r="W22" s="1859"/>
      <c r="X22" s="824" t="s">
        <v>882</v>
      </c>
      <c r="Y22" s="825" t="s">
        <v>883</v>
      </c>
      <c r="Z22" s="1857" t="s">
        <v>884</v>
      </c>
      <c r="AA22" s="1857"/>
      <c r="AB22" s="1857"/>
      <c r="AC22" s="1857"/>
      <c r="AD22" s="1857"/>
      <c r="AE22" s="1857"/>
      <c r="AF22" s="1857"/>
      <c r="AG22" s="826" t="str">
        <f t="shared" si="0"/>
        <v>TEP-Tecidos planos</v>
      </c>
      <c r="AH22" s="39" t="s">
        <v>135</v>
      </c>
    </row>
    <row r="23" spans="1:34" ht="15" x14ac:dyDescent="0.25">
      <c r="A23" s="828"/>
      <c r="B23" s="828" t="s">
        <v>978</v>
      </c>
      <c r="C2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CACIN0307-25mm-Rami</v>
      </c>
      <c r="D23" s="828" t="s">
        <v>493</v>
      </c>
      <c r="E23" s="829"/>
      <c r="F23" s="829"/>
      <c r="G23" s="1058" t="s">
        <v>1623</v>
      </c>
      <c r="H23" s="829" t="s">
        <v>720</v>
      </c>
      <c r="I23" s="829" t="s">
        <v>675</v>
      </c>
      <c r="J23" s="829" t="s">
        <v>721</v>
      </c>
      <c r="K23" s="829"/>
      <c r="L23" s="834">
        <v>44883</v>
      </c>
      <c r="M23" s="835">
        <v>0.77300000000000002</v>
      </c>
      <c r="N23" s="832"/>
      <c r="O23" s="833"/>
      <c r="W23" s="1859"/>
      <c r="X23" s="824" t="s">
        <v>886</v>
      </c>
      <c r="Y23" s="825" t="s">
        <v>887</v>
      </c>
      <c r="Z23" s="1857" t="s">
        <v>888</v>
      </c>
      <c r="AA23" s="1857"/>
      <c r="AB23" s="1857"/>
      <c r="AC23" s="1857"/>
      <c r="AD23" s="1857"/>
      <c r="AE23" s="1857"/>
      <c r="AF23" s="1857"/>
      <c r="AG23" s="826" t="str">
        <f t="shared" si="0"/>
        <v>TNT-TNT e Afins</v>
      </c>
      <c r="AH23" s="39" t="s">
        <v>135</v>
      </c>
    </row>
    <row r="24" spans="1:34" ht="15" x14ac:dyDescent="0.25">
      <c r="A24" s="828"/>
      <c r="B24" s="828" t="s">
        <v>979</v>
      </c>
      <c r="C2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CACIN0070-25mm-Preto </v>
      </c>
      <c r="D24" s="828" t="s">
        <v>493</v>
      </c>
      <c r="E24" s="829"/>
      <c r="F24" s="829"/>
      <c r="G24" s="1058" t="s">
        <v>1623</v>
      </c>
      <c r="H24" s="829" t="s">
        <v>496</v>
      </c>
      <c r="I24" s="829" t="s">
        <v>675</v>
      </c>
      <c r="J24" s="829" t="s">
        <v>495</v>
      </c>
      <c r="K24" s="829"/>
      <c r="L24" s="834">
        <v>44743</v>
      </c>
      <c r="M24" s="835">
        <v>0.44</v>
      </c>
      <c r="N24" s="832"/>
      <c r="O24" s="833"/>
      <c r="W24" s="1859"/>
      <c r="X24" s="824" t="s">
        <v>889</v>
      </c>
      <c r="Y24" s="825" t="s">
        <v>890</v>
      </c>
      <c r="Z24" s="1857" t="s">
        <v>891</v>
      </c>
      <c r="AA24" s="1857"/>
      <c r="AB24" s="1857"/>
      <c r="AC24" s="1857"/>
      <c r="AD24" s="1857"/>
      <c r="AE24" s="1857"/>
      <c r="AF24" s="1857"/>
      <c r="AG24" s="826" t="str">
        <f t="shared" si="0"/>
        <v>ZIP-Zíperes</v>
      </c>
      <c r="AH24" s="39" t="s">
        <v>135</v>
      </c>
    </row>
    <row r="25" spans="1:34" ht="15" x14ac:dyDescent="0.25">
      <c r="A25" s="828"/>
      <c r="B25" s="828" t="s">
        <v>980</v>
      </c>
      <c r="C2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CACIN0306-30mm-Rami</v>
      </c>
      <c r="D25" s="828" t="s">
        <v>493</v>
      </c>
      <c r="E25" s="828"/>
      <c r="F25" s="828"/>
      <c r="G25" s="1058" t="s">
        <v>1623</v>
      </c>
      <c r="H25" s="828" t="s">
        <v>718</v>
      </c>
      <c r="I25" s="828" t="s">
        <v>404</v>
      </c>
      <c r="J25" s="828" t="s">
        <v>721</v>
      </c>
      <c r="K25" s="828"/>
      <c r="L25" s="830">
        <v>44883</v>
      </c>
      <c r="M25" s="831">
        <v>0.92799999999999994</v>
      </c>
      <c r="N25" s="832"/>
      <c r="O25" s="833"/>
      <c r="W25" s="1859"/>
      <c r="X25" s="824" t="s">
        <v>892</v>
      </c>
      <c r="Y25" s="825" t="s">
        <v>364</v>
      </c>
      <c r="Z25" s="1857" t="s">
        <v>893</v>
      </c>
      <c r="AA25" s="1857"/>
      <c r="AB25" s="1857"/>
      <c r="AC25" s="1857"/>
      <c r="AD25" s="1857"/>
      <c r="AE25" s="1857"/>
      <c r="AF25" s="1857"/>
      <c r="AG25" s="826" t="str">
        <f t="shared" si="0"/>
        <v>DIV-Diversos</v>
      </c>
      <c r="AH25" s="39" t="s">
        <v>135</v>
      </c>
    </row>
    <row r="26" spans="1:34" ht="30" customHeight="1" x14ac:dyDescent="0.25">
      <c r="A26" s="828"/>
      <c r="B26" s="828" t="s">
        <v>981</v>
      </c>
      <c r="C2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CACIN0071-30mm-Color</v>
      </c>
      <c r="D26" s="828" t="s">
        <v>493</v>
      </c>
      <c r="E26" s="828"/>
      <c r="F26" s="828"/>
      <c r="G26" s="1058" t="s">
        <v>1623</v>
      </c>
      <c r="H26" s="828" t="s">
        <v>607</v>
      </c>
      <c r="I26" s="828" t="s">
        <v>404</v>
      </c>
      <c r="J26" s="828" t="s">
        <v>442</v>
      </c>
      <c r="K26" s="828"/>
      <c r="L26" s="830">
        <v>45086</v>
      </c>
      <c r="M26" s="831">
        <v>0.77159999999999995</v>
      </c>
      <c r="N26" s="832"/>
      <c r="O26" s="833"/>
      <c r="AH26" s="39" t="s">
        <v>135</v>
      </c>
    </row>
    <row r="27" spans="1:34" ht="30" customHeight="1" x14ac:dyDescent="0.25">
      <c r="A27" s="828"/>
      <c r="B27" s="828" t="s">
        <v>982</v>
      </c>
      <c r="C2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CACIN0072-30mm-Preto </v>
      </c>
      <c r="D27" s="828" t="s">
        <v>493</v>
      </c>
      <c r="E27" s="828"/>
      <c r="F27" s="828"/>
      <c r="G27" s="1058" t="s">
        <v>1623</v>
      </c>
      <c r="H27" s="828" t="s">
        <v>497</v>
      </c>
      <c r="I27" s="828" t="s">
        <v>404</v>
      </c>
      <c r="J27" s="828" t="s">
        <v>495</v>
      </c>
      <c r="K27" s="828"/>
      <c r="L27" s="830">
        <v>45086</v>
      </c>
      <c r="M27" s="831">
        <v>0.77159999999999995</v>
      </c>
      <c r="N27" s="832"/>
      <c r="O27" s="833"/>
      <c r="AH27" s="39" t="s">
        <v>135</v>
      </c>
    </row>
    <row r="28" spans="1:34" ht="30" customHeight="1" x14ac:dyDescent="0.25">
      <c r="A28" s="828"/>
      <c r="B28" s="828" t="s">
        <v>983</v>
      </c>
      <c r="C2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CACIN0108-40mm-Preto </v>
      </c>
      <c r="D28" s="828" t="s">
        <v>493</v>
      </c>
      <c r="E28" s="829"/>
      <c r="F28" s="829"/>
      <c r="G28" s="1058" t="s">
        <v>1623</v>
      </c>
      <c r="H28" s="829" t="s">
        <v>621</v>
      </c>
      <c r="I28" s="829" t="s">
        <v>673</v>
      </c>
      <c r="J28" s="829" t="s">
        <v>495</v>
      </c>
      <c r="K28" s="829"/>
      <c r="L28" s="834">
        <v>44809</v>
      </c>
      <c r="M28" s="835">
        <v>1.0290000000000001</v>
      </c>
      <c r="N28" s="832"/>
      <c r="O28" s="833"/>
      <c r="AH28" s="39" t="s">
        <v>135</v>
      </c>
    </row>
    <row r="29" spans="1:34" ht="30" customHeight="1" x14ac:dyDescent="0.25">
      <c r="A29" s="828"/>
      <c r="B29" s="828" t="s">
        <v>984</v>
      </c>
      <c r="C2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CACIN0147-16mm-Cru</v>
      </c>
      <c r="D29" s="828" t="s">
        <v>1011</v>
      </c>
      <c r="E29" s="829"/>
      <c r="F29" s="829"/>
      <c r="G29" s="1058" t="s">
        <v>1623</v>
      </c>
      <c r="H29" s="829" t="s">
        <v>681</v>
      </c>
      <c r="I29" s="829" t="s">
        <v>678</v>
      </c>
      <c r="J29" s="829" t="s">
        <v>679</v>
      </c>
      <c r="K29" s="829"/>
      <c r="L29" s="834">
        <v>44866</v>
      </c>
      <c r="M29" s="835">
        <v>0.59599999999999997</v>
      </c>
      <c r="N29" s="832"/>
      <c r="O29" s="833"/>
      <c r="AH29" s="39" t="s">
        <v>135</v>
      </c>
    </row>
    <row r="30" spans="1:34" x14ac:dyDescent="0.25">
      <c r="A30" s="828"/>
      <c r="B30" s="828" t="s">
        <v>985</v>
      </c>
      <c r="C3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CACIN0001-16mm-Preto</v>
      </c>
      <c r="D30" s="828" t="s">
        <v>1011</v>
      </c>
      <c r="E30" s="828"/>
      <c r="F30" s="828"/>
      <c r="G30" s="1058" t="s">
        <v>1623</v>
      </c>
      <c r="H30" s="828" t="s">
        <v>680</v>
      </c>
      <c r="I30" s="828" t="s">
        <v>678</v>
      </c>
      <c r="J30" s="828" t="s">
        <v>499</v>
      </c>
      <c r="K30" s="828"/>
      <c r="L30" s="830">
        <v>44866</v>
      </c>
      <c r="M30" s="831">
        <v>0.47600000000000003</v>
      </c>
      <c r="N30" s="832"/>
      <c r="O30" s="833"/>
    </row>
    <row r="31" spans="1:34" ht="15" x14ac:dyDescent="0.25">
      <c r="A31" s="828"/>
      <c r="B31" s="828" t="s">
        <v>987</v>
      </c>
      <c r="C3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CACIN0094-25mm-Color</v>
      </c>
      <c r="D31" s="828" t="s">
        <v>493</v>
      </c>
      <c r="E31" s="829"/>
      <c r="F31" s="829"/>
      <c r="G31" s="1058" t="s">
        <v>1623</v>
      </c>
      <c r="H31" s="829" t="s">
        <v>616</v>
      </c>
      <c r="I31" s="829" t="s">
        <v>675</v>
      </c>
      <c r="J31" s="829" t="s">
        <v>442</v>
      </c>
      <c r="K31" s="829"/>
      <c r="L31" s="834">
        <v>44862</v>
      </c>
      <c r="M31" s="837">
        <v>0.434</v>
      </c>
      <c r="N31" s="832"/>
      <c r="O31" s="833"/>
    </row>
    <row r="32" spans="1:34" ht="30" customHeight="1" x14ac:dyDescent="0.25">
      <c r="A32" s="828"/>
      <c r="B32" s="828" t="s">
        <v>988</v>
      </c>
      <c r="C3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CACIN0095-25mm-Preto/</v>
      </c>
      <c r="D32" s="828" t="s">
        <v>493</v>
      </c>
      <c r="E32" s="829"/>
      <c r="F32" s="829"/>
      <c r="G32" s="1058" t="s">
        <v>1623</v>
      </c>
      <c r="H32" s="829" t="s">
        <v>617</v>
      </c>
      <c r="I32" s="829" t="s">
        <v>675</v>
      </c>
      <c r="J32" s="829" t="s">
        <v>612</v>
      </c>
      <c r="K32" s="829"/>
      <c r="L32" s="834">
        <v>44862</v>
      </c>
      <c r="M32" s="835">
        <v>0.37979999999999997</v>
      </c>
      <c r="N32" s="836"/>
      <c r="O32" s="833"/>
    </row>
    <row r="33" spans="1:15" ht="30" customHeight="1" x14ac:dyDescent="0.25">
      <c r="A33" s="828"/>
      <c r="B33" s="828" t="s">
        <v>989</v>
      </c>
      <c r="C3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CACIN0085-30mm-Color</v>
      </c>
      <c r="D33" s="828" t="s">
        <v>493</v>
      </c>
      <c r="E33" s="829"/>
      <c r="F33" s="829"/>
      <c r="G33" s="1058" t="s">
        <v>1623</v>
      </c>
      <c r="H33" s="829" t="s">
        <v>615</v>
      </c>
      <c r="I33" s="829" t="s">
        <v>404</v>
      </c>
      <c r="J33" s="829" t="s">
        <v>442</v>
      </c>
      <c r="K33" s="829"/>
      <c r="L33" s="834">
        <v>44862</v>
      </c>
      <c r="M33" s="837">
        <v>0.52</v>
      </c>
      <c r="N33" s="832"/>
      <c r="O33" s="833"/>
    </row>
    <row r="34" spans="1:15" ht="30" customHeight="1" x14ac:dyDescent="0.25">
      <c r="A34" s="828"/>
      <c r="B34" s="828" t="s">
        <v>990</v>
      </c>
      <c r="C3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CACIN0082-30mm-Preto/</v>
      </c>
      <c r="D34" s="828" t="s">
        <v>493</v>
      </c>
      <c r="E34" s="829"/>
      <c r="F34" s="829"/>
      <c r="G34" s="1058" t="s">
        <v>1623</v>
      </c>
      <c r="H34" s="829" t="s">
        <v>613</v>
      </c>
      <c r="I34" s="829" t="s">
        <v>404</v>
      </c>
      <c r="J34" s="829" t="s">
        <v>614</v>
      </c>
      <c r="K34" s="829"/>
      <c r="L34" s="834">
        <v>44852</v>
      </c>
      <c r="M34" s="835">
        <v>0.46600000000000003</v>
      </c>
      <c r="N34" s="832"/>
      <c r="O34" s="833"/>
    </row>
    <row r="35" spans="1:15" ht="30" customHeight="1" x14ac:dyDescent="0.25">
      <c r="A35" s="828"/>
      <c r="B35" s="828" t="s">
        <v>991</v>
      </c>
      <c r="C3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CACIN0107-40mm-Color</v>
      </c>
      <c r="D35" s="828" t="s">
        <v>493</v>
      </c>
      <c r="E35" s="829"/>
      <c r="F35" s="829"/>
      <c r="G35" s="1058" t="s">
        <v>1623</v>
      </c>
      <c r="H35" s="829" t="s">
        <v>619</v>
      </c>
      <c r="I35" s="829" t="s">
        <v>673</v>
      </c>
      <c r="J35" s="829" t="s">
        <v>442</v>
      </c>
      <c r="K35" s="829"/>
      <c r="L35" s="834">
        <v>44862</v>
      </c>
      <c r="M35" s="835">
        <v>0.61</v>
      </c>
      <c r="N35" s="832"/>
      <c r="O35" s="833"/>
    </row>
    <row r="36" spans="1:15" ht="30" customHeight="1" x14ac:dyDescent="0.25">
      <c r="A36" s="828"/>
      <c r="B36" s="828" t="s">
        <v>992</v>
      </c>
      <c r="C3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CACIN0101-40mm-Preto/</v>
      </c>
      <c r="D36" s="828" t="s">
        <v>493</v>
      </c>
      <c r="E36" s="829"/>
      <c r="F36" s="829"/>
      <c r="G36" s="1058" t="s">
        <v>1623</v>
      </c>
      <c r="H36" s="829" t="s">
        <v>618</v>
      </c>
      <c r="I36" s="829" t="s">
        <v>673</v>
      </c>
      <c r="J36" s="829" t="s">
        <v>612</v>
      </c>
      <c r="K36" s="829"/>
      <c r="L36" s="834">
        <v>44862</v>
      </c>
      <c r="M36" s="835">
        <v>0.60040000000000004</v>
      </c>
      <c r="N36" s="832"/>
      <c r="O36" s="833"/>
    </row>
    <row r="37" spans="1:15" ht="30" customHeight="1" x14ac:dyDescent="0.25">
      <c r="A37" s="828"/>
      <c r="B37" s="828" t="s">
        <v>993</v>
      </c>
      <c r="C3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CACIN0073-10mm-Preto</v>
      </c>
      <c r="D37" s="828" t="s">
        <v>493</v>
      </c>
      <c r="E37" s="829"/>
      <c r="F37" s="829"/>
      <c r="G37" s="1058" t="s">
        <v>1623</v>
      </c>
      <c r="H37" s="829" t="s">
        <v>498</v>
      </c>
      <c r="I37" s="829" t="s">
        <v>676</v>
      </c>
      <c r="J37" s="829" t="s">
        <v>499</v>
      </c>
      <c r="K37" s="829"/>
      <c r="L37" s="834">
        <v>44531</v>
      </c>
      <c r="M37" s="835">
        <v>0.2248</v>
      </c>
      <c r="N37" s="836"/>
      <c r="O37" s="833"/>
    </row>
    <row r="38" spans="1:15" ht="30" customHeight="1" x14ac:dyDescent="0.25">
      <c r="A38" s="828"/>
      <c r="B38" s="828" t="s">
        <v>994</v>
      </c>
      <c r="C3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CACIN0074-20mm-Preto</v>
      </c>
      <c r="D38" s="828" t="s">
        <v>493</v>
      </c>
      <c r="E38" s="828"/>
      <c r="F38" s="828"/>
      <c r="G38" s="1058" t="s">
        <v>1623</v>
      </c>
      <c r="H38" s="828" t="s">
        <v>500</v>
      </c>
      <c r="I38" s="828" t="s">
        <v>674</v>
      </c>
      <c r="J38" s="828" t="s">
        <v>499</v>
      </c>
      <c r="K38" s="828"/>
      <c r="L38" s="830">
        <v>44531</v>
      </c>
      <c r="M38" s="831">
        <v>0.30174000000000001</v>
      </c>
      <c r="N38" s="832"/>
      <c r="O38" s="833"/>
    </row>
    <row r="39" spans="1:15" ht="30" customHeight="1" x14ac:dyDescent="0.25">
      <c r="A39" s="828"/>
      <c r="B39" s="828" t="s">
        <v>995</v>
      </c>
      <c r="C3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CACIN0075-20mm-Preto</v>
      </c>
      <c r="D39" s="828" t="s">
        <v>493</v>
      </c>
      <c r="E39" s="828"/>
      <c r="F39" s="828"/>
      <c r="G39" s="1058" t="s">
        <v>1623</v>
      </c>
      <c r="H39" s="828" t="s">
        <v>501</v>
      </c>
      <c r="I39" s="828" t="s">
        <v>674</v>
      </c>
      <c r="J39" s="828" t="s">
        <v>499</v>
      </c>
      <c r="K39" s="828"/>
      <c r="L39" s="830">
        <v>44531</v>
      </c>
      <c r="M39" s="831">
        <v>0.752</v>
      </c>
      <c r="N39" s="832"/>
      <c r="O39" s="833"/>
    </row>
    <row r="40" spans="1:15" ht="30" customHeight="1" x14ac:dyDescent="0.25">
      <c r="A40" s="828"/>
      <c r="B40" s="828" t="s">
        <v>996</v>
      </c>
      <c r="C4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CACIN0076-25mm-Preto</v>
      </c>
      <c r="D40" s="828" t="s">
        <v>493</v>
      </c>
      <c r="E40" s="828"/>
      <c r="F40" s="828"/>
      <c r="G40" s="1058" t="s">
        <v>1623</v>
      </c>
      <c r="H40" s="828" t="s">
        <v>502</v>
      </c>
      <c r="I40" s="828" t="s">
        <v>675</v>
      </c>
      <c r="J40" s="828" t="s">
        <v>499</v>
      </c>
      <c r="K40" s="828"/>
      <c r="L40" s="830">
        <v>44531</v>
      </c>
      <c r="M40" s="831">
        <v>0.97</v>
      </c>
      <c r="N40" s="832"/>
      <c r="O40" s="833"/>
    </row>
    <row r="41" spans="1:15" ht="30" customHeight="1" x14ac:dyDescent="0.25">
      <c r="A41" s="828"/>
      <c r="B41" s="828" t="s">
        <v>997</v>
      </c>
      <c r="C4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CACIN0077-30mm-Preto</v>
      </c>
      <c r="D41" s="828" t="s">
        <v>493</v>
      </c>
      <c r="E41" s="828"/>
      <c r="F41" s="828"/>
      <c r="G41" s="1058" t="s">
        <v>1623</v>
      </c>
      <c r="H41" s="828" t="s">
        <v>503</v>
      </c>
      <c r="I41" s="828" t="s">
        <v>404</v>
      </c>
      <c r="J41" s="828" t="s">
        <v>499</v>
      </c>
      <c r="K41" s="828"/>
      <c r="L41" s="830">
        <v>44531</v>
      </c>
      <c r="M41" s="831">
        <v>1.1764000000000001</v>
      </c>
      <c r="N41" s="832"/>
      <c r="O41" s="833"/>
    </row>
    <row r="42" spans="1:15" ht="30" customHeight="1" x14ac:dyDescent="0.25">
      <c r="A42" s="828"/>
      <c r="B42" s="828" t="s">
        <v>1005</v>
      </c>
      <c r="C4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CACIN0248-Diversos-Divers</v>
      </c>
      <c r="D42" s="828"/>
      <c r="E42" s="829"/>
      <c r="F42" s="829"/>
      <c r="G42" s="1058" t="s">
        <v>1623</v>
      </c>
      <c r="H42" s="829" t="s">
        <v>1006</v>
      </c>
      <c r="I42" s="829" t="s">
        <v>364</v>
      </c>
      <c r="J42" s="829" t="s">
        <v>364</v>
      </c>
      <c r="K42" s="829"/>
      <c r="L42" s="834">
        <v>44531</v>
      </c>
      <c r="M42" s="835"/>
      <c r="N42" s="832"/>
      <c r="O42" s="833"/>
    </row>
    <row r="43" spans="1:15" ht="30" customHeight="1" x14ac:dyDescent="0.25">
      <c r="A43" s="828"/>
      <c r="B43" s="828" t="s">
        <v>1007</v>
      </c>
      <c r="C4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CACIN0078-(?)-Azul M</v>
      </c>
      <c r="D43" s="828" t="s">
        <v>493</v>
      </c>
      <c r="E43" s="829"/>
      <c r="F43" s="829"/>
      <c r="G43" s="1058" t="s">
        <v>1623</v>
      </c>
      <c r="H43" s="829" t="s">
        <v>1008</v>
      </c>
      <c r="I43" s="829"/>
      <c r="J43" s="829" t="s">
        <v>1009</v>
      </c>
      <c r="K43" s="829"/>
      <c r="L43" s="834">
        <v>44531</v>
      </c>
      <c r="M43" s="835">
        <v>7.535E-2</v>
      </c>
      <c r="N43" s="836"/>
      <c r="O43" s="833"/>
    </row>
    <row r="44" spans="1:15" ht="30" customHeight="1" x14ac:dyDescent="0.25">
      <c r="A44" s="828"/>
      <c r="B44" s="828" t="s">
        <v>1010</v>
      </c>
      <c r="C4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CACIN0041-5mm-Color</v>
      </c>
      <c r="D44" s="828" t="s">
        <v>1011</v>
      </c>
      <c r="E44" s="828"/>
      <c r="F44" s="828"/>
      <c r="G44" s="1058" t="s">
        <v>1623</v>
      </c>
      <c r="H44" s="828" t="s">
        <v>1012</v>
      </c>
      <c r="I44" s="828" t="s">
        <v>647</v>
      </c>
      <c r="J44" s="828" t="s">
        <v>442</v>
      </c>
      <c r="K44" s="828"/>
      <c r="L44" s="830">
        <v>44910</v>
      </c>
      <c r="M44" s="831">
        <v>0.36413793103448272</v>
      </c>
      <c r="N44" s="832"/>
      <c r="O44" s="833"/>
    </row>
    <row r="45" spans="1:15" ht="30" customHeight="1" x14ac:dyDescent="0.25">
      <c r="A45" s="828"/>
      <c r="B45" s="828" t="s">
        <v>1013</v>
      </c>
      <c r="C4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CACIN0079-(?)-(?)</v>
      </c>
      <c r="D45" s="828" t="s">
        <v>1011</v>
      </c>
      <c r="E45" s="828"/>
      <c r="F45" s="828"/>
      <c r="G45" s="1058" t="s">
        <v>1623</v>
      </c>
      <c r="H45" s="828" t="s">
        <v>1014</v>
      </c>
      <c r="I45" s="828"/>
      <c r="J45" s="828"/>
      <c r="K45" s="828"/>
      <c r="L45" s="830">
        <v>44862</v>
      </c>
      <c r="M45" s="831">
        <v>0.34</v>
      </c>
      <c r="N45" s="832"/>
      <c r="O45" s="833"/>
    </row>
    <row r="46" spans="1:15" ht="30" customHeight="1" x14ac:dyDescent="0.25">
      <c r="A46" s="828"/>
      <c r="B46" s="828" t="s">
        <v>1015</v>
      </c>
      <c r="C4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CACIN0261-(?)-(?)</v>
      </c>
      <c r="D46" s="828" t="s">
        <v>1011</v>
      </c>
      <c r="E46" s="828"/>
      <c r="F46" s="828"/>
      <c r="G46" s="1058" t="s">
        <v>1623</v>
      </c>
      <c r="H46" s="828" t="s">
        <v>1016</v>
      </c>
      <c r="I46" s="828"/>
      <c r="J46" s="828"/>
      <c r="K46" s="828"/>
      <c r="L46" s="830">
        <v>44743</v>
      </c>
      <c r="M46" s="831">
        <v>0.2</v>
      </c>
      <c r="N46" s="832"/>
      <c r="O46" s="833"/>
    </row>
    <row r="47" spans="1:15" ht="30" customHeight="1" x14ac:dyDescent="0.25">
      <c r="A47" s="828"/>
      <c r="B47" s="828" t="s">
        <v>1051</v>
      </c>
      <c r="C4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CACIN0080-30mm-(?)</v>
      </c>
      <c r="D47" s="828" t="s">
        <v>493</v>
      </c>
      <c r="E47" s="828"/>
      <c r="F47" s="828"/>
      <c r="G47" s="1058" t="s">
        <v>1623</v>
      </c>
      <c r="H47" s="828" t="s">
        <v>638</v>
      </c>
      <c r="I47" s="828" t="s">
        <v>404</v>
      </c>
      <c r="J47" s="828"/>
      <c r="K47" s="828"/>
      <c r="L47" s="830">
        <v>44862</v>
      </c>
      <c r="M47" s="831"/>
      <c r="N47" s="828"/>
      <c r="O47" s="828"/>
    </row>
    <row r="48" spans="1:15" ht="30" customHeight="1" x14ac:dyDescent="0.25">
      <c r="A48" s="828"/>
      <c r="B48" s="828" t="s">
        <v>1052</v>
      </c>
      <c r="C4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CACIN0081-(?)-Preto </v>
      </c>
      <c r="D48" s="828" t="s">
        <v>493</v>
      </c>
      <c r="E48" s="828"/>
      <c r="F48" s="828"/>
      <c r="G48" s="1058" t="s">
        <v>1623</v>
      </c>
      <c r="H48" s="828" t="s">
        <v>504</v>
      </c>
      <c r="I48" s="828"/>
      <c r="J48" s="828" t="s">
        <v>495</v>
      </c>
      <c r="K48" s="828"/>
      <c r="L48" s="830">
        <v>44531</v>
      </c>
      <c r="M48" s="831">
        <v>0.26844000000000001</v>
      </c>
      <c r="N48" s="828"/>
      <c r="O48" s="828"/>
    </row>
    <row r="49" spans="1:15" ht="30" customHeight="1" x14ac:dyDescent="0.25">
      <c r="A49" s="828"/>
      <c r="B49" s="828" t="s">
        <v>1053</v>
      </c>
      <c r="C4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CACIN0300-(?)-Preto </v>
      </c>
      <c r="D49" s="828" t="s">
        <v>493</v>
      </c>
      <c r="E49" s="828"/>
      <c r="F49" s="828"/>
      <c r="G49" s="1058" t="s">
        <v>1623</v>
      </c>
      <c r="H49" s="828" t="s">
        <v>505</v>
      </c>
      <c r="I49" s="828"/>
      <c r="J49" s="828" t="s">
        <v>495</v>
      </c>
      <c r="K49" s="828"/>
      <c r="L49" s="830">
        <v>44531</v>
      </c>
      <c r="M49" s="831">
        <v>0.22</v>
      </c>
      <c r="N49" s="828"/>
      <c r="O49" s="828"/>
    </row>
    <row r="50" spans="1:15" ht="30" customHeight="1" x14ac:dyDescent="0.25">
      <c r="A50" s="828"/>
      <c r="B50" s="828" t="s">
        <v>1054</v>
      </c>
      <c r="C5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CACIN0344-20mm-Branco</v>
      </c>
      <c r="D50" s="828" t="s">
        <v>1011</v>
      </c>
      <c r="E50" s="828"/>
      <c r="F50" s="828"/>
      <c r="G50" s="1058" t="s">
        <v>1623</v>
      </c>
      <c r="H50" s="828" t="s">
        <v>818</v>
      </c>
      <c r="I50" s="828" t="s">
        <v>674</v>
      </c>
      <c r="J50" s="828" t="s">
        <v>556</v>
      </c>
      <c r="K50" s="828"/>
      <c r="L50" s="830">
        <v>45092</v>
      </c>
      <c r="M50" s="831">
        <v>2.3919999999999999</v>
      </c>
      <c r="N50" s="832"/>
      <c r="O50" s="833"/>
    </row>
    <row r="51" spans="1:15" ht="30" customHeight="1" x14ac:dyDescent="0.25">
      <c r="A51" s="828"/>
      <c r="B51" s="828" t="s">
        <v>1055</v>
      </c>
      <c r="C5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CACIN0345-20mm-Preto</v>
      </c>
      <c r="D51" s="828" t="s">
        <v>1011</v>
      </c>
      <c r="E51" s="828"/>
      <c r="F51" s="828"/>
      <c r="G51" s="1058" t="s">
        <v>1623</v>
      </c>
      <c r="H51" s="828" t="s">
        <v>819</v>
      </c>
      <c r="I51" s="828" t="s">
        <v>674</v>
      </c>
      <c r="J51" s="828" t="s">
        <v>499</v>
      </c>
      <c r="K51" s="828"/>
      <c r="L51" s="830">
        <v>45092</v>
      </c>
      <c r="M51" s="831">
        <v>2.5920000000000001</v>
      </c>
      <c r="N51" s="832"/>
      <c r="O51" s="833"/>
    </row>
    <row r="52" spans="1:15" ht="30" customHeight="1" x14ac:dyDescent="0.25">
      <c r="A52" s="828"/>
      <c r="B52" s="828" t="s">
        <v>1056</v>
      </c>
      <c r="C5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CACIN0346-25mm-Branco</v>
      </c>
      <c r="D52" s="828" t="s">
        <v>1011</v>
      </c>
      <c r="E52" s="828"/>
      <c r="F52" s="828"/>
      <c r="G52" s="1058" t="s">
        <v>1623</v>
      </c>
      <c r="H52" s="828" t="s">
        <v>820</v>
      </c>
      <c r="I52" s="828" t="s">
        <v>675</v>
      </c>
      <c r="J52" s="828" t="s">
        <v>556</v>
      </c>
      <c r="K52" s="828"/>
      <c r="L52" s="830">
        <v>45092</v>
      </c>
      <c r="M52" s="831">
        <v>2.7119999999999997</v>
      </c>
      <c r="N52" s="832"/>
      <c r="O52" s="833"/>
    </row>
    <row r="53" spans="1:15" ht="30" customHeight="1" x14ac:dyDescent="0.25">
      <c r="A53" s="828"/>
      <c r="B53" s="828" t="s">
        <v>1057</v>
      </c>
      <c r="C5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CACIN0347-25mm-Preto</v>
      </c>
      <c r="D53" s="828" t="s">
        <v>1011</v>
      </c>
      <c r="E53" s="828"/>
      <c r="F53" s="828"/>
      <c r="G53" s="1058" t="s">
        <v>1623</v>
      </c>
      <c r="H53" s="829" t="s">
        <v>821</v>
      </c>
      <c r="I53" s="828" t="s">
        <v>675</v>
      </c>
      <c r="J53" s="828" t="s">
        <v>499</v>
      </c>
      <c r="K53" s="828"/>
      <c r="L53" s="830">
        <v>45092</v>
      </c>
      <c r="M53" s="831">
        <v>2.8319999999999999</v>
      </c>
      <c r="N53" s="832"/>
      <c r="O53" s="833"/>
    </row>
    <row r="54" spans="1:15" ht="30" customHeight="1" x14ac:dyDescent="0.25">
      <c r="A54" s="828"/>
      <c r="B54" s="828" t="s">
        <v>1142</v>
      </c>
      <c r="C5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COUIN0038-140-(?)</v>
      </c>
      <c r="D54" s="828" t="s">
        <v>428</v>
      </c>
      <c r="E54" s="828"/>
      <c r="F54" s="828"/>
      <c r="G54" s="1058" t="s">
        <v>1629</v>
      </c>
      <c r="H54" s="828" t="s">
        <v>424</v>
      </c>
      <c r="I54" s="828">
        <v>140</v>
      </c>
      <c r="J54" s="828"/>
      <c r="K54" s="828"/>
      <c r="L54" s="830">
        <v>44862</v>
      </c>
      <c r="M54" s="831">
        <v>78</v>
      </c>
      <c r="N54" s="832"/>
      <c r="O54" s="833"/>
    </row>
    <row r="55" spans="1:15" ht="30" customHeight="1" x14ac:dyDescent="0.25">
      <c r="A55" s="828"/>
      <c r="B55" s="828" t="s">
        <v>939</v>
      </c>
      <c r="C5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FERIN0244-(?)-(?)</v>
      </c>
      <c r="D55" s="828" t="s">
        <v>493</v>
      </c>
      <c r="E55" s="829"/>
      <c r="F55" s="829"/>
      <c r="G55" s="1059" t="s">
        <v>1634</v>
      </c>
      <c r="H55" s="829" t="s">
        <v>579</v>
      </c>
      <c r="I55" s="829"/>
      <c r="J55" s="829"/>
      <c r="K55" s="829"/>
      <c r="L55" s="834">
        <v>44531</v>
      </c>
      <c r="M55" s="835">
        <v>0.1</v>
      </c>
      <c r="N55" s="832"/>
      <c r="O55" s="833"/>
    </row>
    <row r="56" spans="1:15" ht="30" customHeight="1" x14ac:dyDescent="0.25">
      <c r="A56" s="828"/>
      <c r="B56" s="828" t="s">
        <v>940</v>
      </c>
      <c r="C5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FERIN0245-(?)-(?)</v>
      </c>
      <c r="D56" s="828"/>
      <c r="E56" s="829"/>
      <c r="F56" s="829"/>
      <c r="G56" s="1059" t="s">
        <v>1634</v>
      </c>
      <c r="H56" s="829" t="s">
        <v>941</v>
      </c>
      <c r="I56" s="829"/>
      <c r="J56" s="829"/>
      <c r="K56" s="829"/>
      <c r="L56" s="834">
        <v>44531</v>
      </c>
      <c r="M56" s="835">
        <v>20</v>
      </c>
      <c r="N56" s="832"/>
      <c r="O56" s="833"/>
    </row>
    <row r="57" spans="1:15" ht="30" customHeight="1" x14ac:dyDescent="0.25">
      <c r="A57" s="828"/>
      <c r="B57" s="828" t="s">
        <v>986</v>
      </c>
      <c r="C5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FERIN0246-(?)-(?)</v>
      </c>
      <c r="D57" s="828" t="s">
        <v>1011</v>
      </c>
      <c r="E57" s="828"/>
      <c r="F57" s="828"/>
      <c r="G57" s="1059" t="s">
        <v>1634</v>
      </c>
      <c r="H57" s="828" t="s">
        <v>220</v>
      </c>
      <c r="I57" s="828"/>
      <c r="J57" s="828"/>
      <c r="K57" s="828"/>
      <c r="L57" s="830">
        <v>44862</v>
      </c>
      <c r="M57" s="831">
        <v>10</v>
      </c>
      <c r="N57" s="832" t="s">
        <v>365</v>
      </c>
      <c r="O57" s="833"/>
    </row>
    <row r="58" spans="1:15" ht="30" customHeight="1" x14ac:dyDescent="0.25">
      <c r="A58" s="828"/>
      <c r="B58" s="828" t="s">
        <v>1003</v>
      </c>
      <c r="C5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FERIN0301-(?)-(?)</v>
      </c>
      <c r="D58" s="828"/>
      <c r="E58" s="829"/>
      <c r="F58" s="829"/>
      <c r="G58" s="1059" t="s">
        <v>1634</v>
      </c>
      <c r="H58" s="829" t="s">
        <v>655</v>
      </c>
      <c r="I58" s="829"/>
      <c r="J58" s="829"/>
      <c r="K58" s="829"/>
      <c r="L58" s="834">
        <v>44862</v>
      </c>
      <c r="M58" s="835">
        <v>35</v>
      </c>
      <c r="N58" s="832"/>
      <c r="O58" s="833"/>
    </row>
    <row r="59" spans="1:15" ht="30" customHeight="1" x14ac:dyDescent="0.25">
      <c r="A59" s="828"/>
      <c r="B59" s="828" t="s">
        <v>1004</v>
      </c>
      <c r="C5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FERIN0247-(?)-(?)</v>
      </c>
      <c r="D59" s="828" t="s">
        <v>493</v>
      </c>
      <c r="E59" s="829"/>
      <c r="F59" s="829"/>
      <c r="G59" s="1059" t="s">
        <v>1634</v>
      </c>
      <c r="H59" s="829" t="s">
        <v>580</v>
      </c>
      <c r="I59" s="829"/>
      <c r="J59" s="829"/>
      <c r="K59" s="829"/>
      <c r="L59" s="834">
        <v>44531</v>
      </c>
      <c r="M59" s="835">
        <v>7</v>
      </c>
      <c r="N59" s="832"/>
      <c r="O59" s="833"/>
    </row>
    <row r="60" spans="1:15" ht="30" customHeight="1" x14ac:dyDescent="0.25">
      <c r="A60" s="828"/>
      <c r="B60" s="828" t="s">
        <v>1147</v>
      </c>
      <c r="C6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FERIN0083-(?)-(?)</v>
      </c>
      <c r="D60" s="828" t="s">
        <v>513</v>
      </c>
      <c r="E60" s="829"/>
      <c r="F60" s="829"/>
      <c r="G60" s="1059" t="s">
        <v>1634</v>
      </c>
      <c r="H60" s="829" t="s">
        <v>581</v>
      </c>
      <c r="I60" s="829"/>
      <c r="J60" s="829"/>
      <c r="K60" s="829"/>
      <c r="L60" s="834">
        <v>44531</v>
      </c>
      <c r="M60" s="837">
        <v>1</v>
      </c>
      <c r="N60" s="832"/>
      <c r="O60" s="833"/>
    </row>
    <row r="61" spans="1:15" ht="30" customHeight="1" x14ac:dyDescent="0.25">
      <c r="A61" s="828"/>
      <c r="B61" s="828" t="s">
        <v>1168</v>
      </c>
      <c r="C6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FERIN0046-(?)-(?)</v>
      </c>
      <c r="D61" s="828"/>
      <c r="E61" s="829"/>
      <c r="F61" s="829"/>
      <c r="G61" s="1059" t="s">
        <v>1634</v>
      </c>
      <c r="H61" s="829" t="s">
        <v>582</v>
      </c>
      <c r="I61" s="829"/>
      <c r="J61" s="829"/>
      <c r="K61" s="829"/>
      <c r="L61" s="834">
        <v>44531</v>
      </c>
      <c r="M61" s="835">
        <v>5.4</v>
      </c>
      <c r="N61" s="832"/>
      <c r="O61" s="833"/>
    </row>
    <row r="62" spans="1:15" ht="30" customHeight="1" x14ac:dyDescent="0.25">
      <c r="A62" s="828"/>
      <c r="B62" s="828" t="s">
        <v>1170</v>
      </c>
      <c r="C6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FERIN0252-(?)-(?)</v>
      </c>
      <c r="D62" s="828" t="s">
        <v>493</v>
      </c>
      <c r="E62" s="828"/>
      <c r="F62" s="828"/>
      <c r="G62" s="1059" t="s">
        <v>1634</v>
      </c>
      <c r="H62" s="828" t="s">
        <v>583</v>
      </c>
      <c r="I62" s="828"/>
      <c r="J62" s="828"/>
      <c r="K62" s="828"/>
      <c r="L62" s="830">
        <v>44531</v>
      </c>
      <c r="M62" s="831">
        <v>40</v>
      </c>
      <c r="N62" s="832"/>
      <c r="O62" s="833"/>
    </row>
    <row r="63" spans="1:15" ht="30" customHeight="1" x14ac:dyDescent="0.25">
      <c r="A63" s="828"/>
      <c r="B63" s="828" t="s">
        <v>1171</v>
      </c>
      <c r="C6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FERIN0253-(?)-(?)</v>
      </c>
      <c r="D63" s="828" t="s">
        <v>493</v>
      </c>
      <c r="E63" s="829"/>
      <c r="F63" s="829"/>
      <c r="G63" s="1059" t="s">
        <v>1634</v>
      </c>
      <c r="H63" s="829" t="s">
        <v>584</v>
      </c>
      <c r="I63" s="829"/>
      <c r="J63" s="829"/>
      <c r="K63" s="829"/>
      <c r="L63" s="834">
        <v>44531</v>
      </c>
      <c r="M63" s="835">
        <v>45</v>
      </c>
      <c r="N63" s="832"/>
      <c r="O63" s="833"/>
    </row>
    <row r="64" spans="1:15" ht="30" customHeight="1" x14ac:dyDescent="0.25">
      <c r="A64" s="828"/>
      <c r="B64" s="828" t="s">
        <v>1172</v>
      </c>
      <c r="C6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FERIN0254-(?)-(?)</v>
      </c>
      <c r="D64" s="828"/>
      <c r="E64" s="828"/>
      <c r="F64" s="828"/>
      <c r="G64" s="1059" t="s">
        <v>1634</v>
      </c>
      <c r="H64" s="828" t="s">
        <v>585</v>
      </c>
      <c r="I64" s="828"/>
      <c r="J64" s="828"/>
      <c r="K64" s="828"/>
      <c r="L64" s="830">
        <v>44531</v>
      </c>
      <c r="M64" s="831">
        <v>10</v>
      </c>
      <c r="N64" s="832"/>
      <c r="O64" s="833"/>
    </row>
    <row r="65" spans="1:15" ht="30" customHeight="1" x14ac:dyDescent="0.25">
      <c r="A65" s="828"/>
      <c r="B65" s="828" t="s">
        <v>1173</v>
      </c>
      <c r="C6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FERIN0255-(?)-(?)</v>
      </c>
      <c r="D65" s="828"/>
      <c r="E65" s="829"/>
      <c r="F65" s="829"/>
      <c r="G65" s="1059" t="s">
        <v>1634</v>
      </c>
      <c r="H65" s="829" t="s">
        <v>586</v>
      </c>
      <c r="I65" s="829"/>
      <c r="J65" s="829"/>
      <c r="K65" s="829"/>
      <c r="L65" s="834">
        <v>44531</v>
      </c>
      <c r="M65" s="835">
        <v>30</v>
      </c>
      <c r="N65" s="832"/>
      <c r="O65" s="833"/>
    </row>
    <row r="66" spans="1:15" ht="30" customHeight="1" x14ac:dyDescent="0.25">
      <c r="A66" s="828"/>
      <c r="B66" s="828" t="s">
        <v>1174</v>
      </c>
      <c r="C6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FERIN0256-(?)-(?)</v>
      </c>
      <c r="D66" s="828"/>
      <c r="E66" s="828"/>
      <c r="F66" s="828"/>
      <c r="G66" s="1059" t="s">
        <v>1634</v>
      </c>
      <c r="H66" s="828" t="s">
        <v>587</v>
      </c>
      <c r="I66" s="828"/>
      <c r="J66" s="828"/>
      <c r="K66" s="828"/>
      <c r="L66" s="830">
        <v>44531</v>
      </c>
      <c r="M66" s="831">
        <v>10</v>
      </c>
      <c r="N66" s="832"/>
      <c r="O66" s="833"/>
    </row>
    <row r="67" spans="1:15" ht="30" customHeight="1" x14ac:dyDescent="0.25">
      <c r="A67" s="828"/>
      <c r="B67" s="828" t="s">
        <v>1175</v>
      </c>
      <c r="C6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FERIN0257-(?)-(?)</v>
      </c>
      <c r="D67" s="828"/>
      <c r="E67" s="865"/>
      <c r="F67" s="865"/>
      <c r="G67" s="1059" t="s">
        <v>1634</v>
      </c>
      <c r="H67" s="828" t="s">
        <v>588</v>
      </c>
      <c r="I67" s="828"/>
      <c r="J67" s="828"/>
      <c r="K67" s="828"/>
      <c r="L67" s="830">
        <v>44531</v>
      </c>
      <c r="M67" s="831">
        <v>10</v>
      </c>
      <c r="N67" s="828"/>
      <c r="O67" s="828"/>
    </row>
    <row r="68" spans="1:15" ht="30" customHeight="1" x14ac:dyDescent="0.25">
      <c r="A68" s="828"/>
      <c r="B68" s="828" t="s">
        <v>1176</v>
      </c>
      <c r="C6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FERIN0258-(?)-(?)</v>
      </c>
      <c r="D68" s="828"/>
      <c r="E68" s="828"/>
      <c r="F68" s="828"/>
      <c r="G68" s="1059" t="s">
        <v>1634</v>
      </c>
      <c r="H68" s="828" t="s">
        <v>589</v>
      </c>
      <c r="I68" s="828"/>
      <c r="J68" s="828"/>
      <c r="K68" s="828"/>
      <c r="L68" s="830">
        <v>44531</v>
      </c>
      <c r="M68" s="831">
        <v>10</v>
      </c>
      <c r="N68" s="832"/>
      <c r="O68" s="833"/>
    </row>
    <row r="69" spans="1:15" ht="30" customHeight="1" x14ac:dyDescent="0.25">
      <c r="A69" s="828"/>
      <c r="B69" s="828" t="s">
        <v>1177</v>
      </c>
      <c r="C6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FERIN0148-(?)-(?)</v>
      </c>
      <c r="D69" s="828"/>
      <c r="E69" s="828"/>
      <c r="F69" s="828"/>
      <c r="G69" s="1059" t="s">
        <v>1634</v>
      </c>
      <c r="H69" s="828" t="s">
        <v>590</v>
      </c>
      <c r="I69" s="828"/>
      <c r="J69" s="828"/>
      <c r="K69" s="828"/>
      <c r="L69" s="830">
        <v>44531</v>
      </c>
      <c r="M69" s="831">
        <v>10</v>
      </c>
      <c r="N69" s="832"/>
      <c r="O69" s="833"/>
    </row>
    <row r="70" spans="1:15" ht="30" customHeight="1" x14ac:dyDescent="0.25">
      <c r="A70" s="828"/>
      <c r="B70" s="828" t="s">
        <v>1066</v>
      </c>
      <c r="C7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FIBIN0241-(?)-Níquel</v>
      </c>
      <c r="D70" s="828" t="s">
        <v>493</v>
      </c>
      <c r="E70" s="828"/>
      <c r="F70" s="828"/>
      <c r="G70" s="1058" t="s">
        <v>1633</v>
      </c>
      <c r="H70" s="828" t="s">
        <v>1067</v>
      </c>
      <c r="I70" s="828"/>
      <c r="J70" s="828" t="s">
        <v>363</v>
      </c>
      <c r="K70" s="828"/>
      <c r="L70" s="830">
        <v>44531</v>
      </c>
      <c r="M70" s="831">
        <v>5.2610000000000001</v>
      </c>
      <c r="N70" s="828"/>
      <c r="O70" s="828"/>
    </row>
    <row r="71" spans="1:15" ht="30" customHeight="1" x14ac:dyDescent="0.25">
      <c r="A71" s="828"/>
      <c r="B71" s="828" t="s">
        <v>1068</v>
      </c>
      <c r="C7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FIBIN0242-(?)-(?)</v>
      </c>
      <c r="D71" s="828" t="s">
        <v>493</v>
      </c>
      <c r="E71" s="828"/>
      <c r="F71" s="828"/>
      <c r="G71" s="1058" t="s">
        <v>1633</v>
      </c>
      <c r="H71" s="828" t="s">
        <v>576</v>
      </c>
      <c r="I71" s="828"/>
      <c r="J71" s="828"/>
      <c r="K71" s="828"/>
      <c r="L71" s="830">
        <v>44531</v>
      </c>
      <c r="M71" s="831">
        <v>2.4140999999999999</v>
      </c>
      <c r="N71" s="828"/>
      <c r="O71" s="828"/>
    </row>
    <row r="72" spans="1:15" ht="30" customHeight="1" x14ac:dyDescent="0.25">
      <c r="A72" s="828"/>
      <c r="B72" s="828" t="s">
        <v>1069</v>
      </c>
      <c r="C7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FIBIN0295-(?)-(?)</v>
      </c>
      <c r="D72" s="828" t="s">
        <v>493</v>
      </c>
      <c r="E72" s="828"/>
      <c r="F72" s="828"/>
      <c r="G72" s="1058" t="s">
        <v>1633</v>
      </c>
      <c r="H72" s="828" t="s">
        <v>577</v>
      </c>
      <c r="I72" s="828"/>
      <c r="J72" s="828"/>
      <c r="K72" s="828"/>
      <c r="L72" s="830">
        <v>44531</v>
      </c>
      <c r="M72" s="831">
        <v>5.97</v>
      </c>
      <c r="N72" s="832"/>
      <c r="O72" s="833"/>
    </row>
    <row r="73" spans="1:15" ht="30" customHeight="1" x14ac:dyDescent="0.25">
      <c r="A73" s="828"/>
      <c r="B73" s="828" t="s">
        <v>1252</v>
      </c>
      <c r="C7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FIBIN0285-(?)-Preto</v>
      </c>
      <c r="D73" s="828" t="s">
        <v>493</v>
      </c>
      <c r="E73" s="829"/>
      <c r="F73" s="829"/>
      <c r="G73" s="1058" t="s">
        <v>1633</v>
      </c>
      <c r="H73" s="829" t="s">
        <v>578</v>
      </c>
      <c r="I73" s="829"/>
      <c r="J73" s="829" t="s">
        <v>499</v>
      </c>
      <c r="K73" s="829"/>
      <c r="L73" s="834">
        <v>44531</v>
      </c>
      <c r="M73" s="835">
        <v>54.149000000000001</v>
      </c>
      <c r="N73" s="832"/>
      <c r="O73" s="833"/>
    </row>
    <row r="74" spans="1:15" ht="30" customHeight="1" x14ac:dyDescent="0.25">
      <c r="A74" s="828"/>
      <c r="B74" s="828" t="s">
        <v>1123</v>
      </c>
      <c r="C7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LININ0239-(?)-Color</v>
      </c>
      <c r="D74" s="828"/>
      <c r="E74" s="828"/>
      <c r="F74" s="828"/>
      <c r="G74" s="1058" t="s">
        <v>1630</v>
      </c>
      <c r="H74" s="828" t="s">
        <v>221</v>
      </c>
      <c r="I74" s="828"/>
      <c r="J74" s="828" t="s">
        <v>442</v>
      </c>
      <c r="K74" s="828"/>
      <c r="L74" s="830">
        <v>45087</v>
      </c>
      <c r="M74" s="831">
        <v>0.5</v>
      </c>
      <c r="N74" s="832" t="s">
        <v>365</v>
      </c>
      <c r="O74" s="833"/>
    </row>
    <row r="75" spans="1:15" ht="30" customHeight="1" x14ac:dyDescent="0.25">
      <c r="A75" s="828"/>
      <c r="B75" s="828" t="s">
        <v>942</v>
      </c>
      <c r="C7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METIN0231-28mm-Dourad</v>
      </c>
      <c r="D75" s="828" t="s">
        <v>943</v>
      </c>
      <c r="E75" s="829"/>
      <c r="F75" s="829"/>
      <c r="G75" s="1059" t="s">
        <v>1625</v>
      </c>
      <c r="H75" s="829" t="s">
        <v>648</v>
      </c>
      <c r="I75" s="829" t="s">
        <v>885</v>
      </c>
      <c r="J75" s="829" t="s">
        <v>441</v>
      </c>
      <c r="K75" s="829"/>
      <c r="L75" s="834">
        <v>44862</v>
      </c>
      <c r="M75" s="835">
        <v>1.24</v>
      </c>
      <c r="N75" s="832"/>
      <c r="O75" s="833"/>
    </row>
    <row r="76" spans="1:15" ht="30" customHeight="1" x14ac:dyDescent="0.25">
      <c r="A76" s="828"/>
      <c r="B76" s="828" t="s">
        <v>944</v>
      </c>
      <c r="C7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METIN0090-25mm-Ouro V</v>
      </c>
      <c r="D76" s="828"/>
      <c r="E76" s="829"/>
      <c r="F76" s="829"/>
      <c r="G76" s="1059" t="s">
        <v>1625</v>
      </c>
      <c r="H76" s="829" t="s">
        <v>945</v>
      </c>
      <c r="I76" s="829" t="s">
        <v>675</v>
      </c>
      <c r="J76" s="829" t="s">
        <v>507</v>
      </c>
      <c r="K76" s="829"/>
      <c r="L76" s="834">
        <v>44531</v>
      </c>
      <c r="M76" s="835">
        <v>0.15</v>
      </c>
      <c r="N76" s="832"/>
      <c r="O76" s="833"/>
    </row>
    <row r="77" spans="1:15" ht="30" customHeight="1" x14ac:dyDescent="0.25">
      <c r="A77" s="828"/>
      <c r="B77" s="828" t="s">
        <v>946</v>
      </c>
      <c r="C7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METIN0091-30mm-Ouro V</v>
      </c>
      <c r="D77" s="829"/>
      <c r="E77" s="829"/>
      <c r="F77" s="829"/>
      <c r="G77" s="1059" t="s">
        <v>1625</v>
      </c>
      <c r="H77" s="829" t="s">
        <v>947</v>
      </c>
      <c r="I77" s="829" t="s">
        <v>404</v>
      </c>
      <c r="J77" s="829" t="s">
        <v>507</v>
      </c>
      <c r="K77" s="829"/>
      <c r="L77" s="834">
        <v>44531</v>
      </c>
      <c r="M77" s="835">
        <v>0.15</v>
      </c>
      <c r="N77" s="836" t="s">
        <v>365</v>
      </c>
      <c r="O77" s="833"/>
    </row>
    <row r="78" spans="1:15" ht="30" customHeight="1" x14ac:dyDescent="0.25">
      <c r="A78" s="828"/>
      <c r="B78" s="828" t="s">
        <v>948</v>
      </c>
      <c r="C7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METIN0092-25mm-Níquel</v>
      </c>
      <c r="D78" s="828"/>
      <c r="E78" s="828"/>
      <c r="F78" s="828"/>
      <c r="G78" s="1059" t="s">
        <v>1625</v>
      </c>
      <c r="H78" s="828" t="s">
        <v>949</v>
      </c>
      <c r="I78" s="828" t="s">
        <v>675</v>
      </c>
      <c r="J78" s="828" t="s">
        <v>363</v>
      </c>
      <c r="K78" s="828"/>
      <c r="L78" s="830">
        <v>44531</v>
      </c>
      <c r="M78" s="831">
        <v>0.15</v>
      </c>
      <c r="N78" s="832"/>
      <c r="O78" s="833"/>
    </row>
    <row r="79" spans="1:15" ht="30" customHeight="1" x14ac:dyDescent="0.25">
      <c r="A79" s="828"/>
      <c r="B79" s="828" t="s">
        <v>950</v>
      </c>
      <c r="C7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METIN0232-42mm-Dourad</v>
      </c>
      <c r="D79" s="828" t="s">
        <v>943</v>
      </c>
      <c r="E79" s="828"/>
      <c r="F79" s="828"/>
      <c r="G79" s="1059" t="s">
        <v>1625</v>
      </c>
      <c r="H79" s="828" t="s">
        <v>691</v>
      </c>
      <c r="I79" s="828" t="s">
        <v>894</v>
      </c>
      <c r="J79" s="828" t="s">
        <v>441</v>
      </c>
      <c r="K79" s="828"/>
      <c r="L79" s="830">
        <v>44862</v>
      </c>
      <c r="M79" s="831">
        <v>0.97</v>
      </c>
      <c r="N79" s="832"/>
      <c r="O79" s="833"/>
    </row>
    <row r="80" spans="1:15" ht="30" customHeight="1" x14ac:dyDescent="0.25">
      <c r="A80" s="828"/>
      <c r="B80" s="828" t="s">
        <v>951</v>
      </c>
      <c r="C8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METIN0233-42mm-Prata</v>
      </c>
      <c r="D80" s="828" t="s">
        <v>943</v>
      </c>
      <c r="E80" s="828"/>
      <c r="F80" s="828"/>
      <c r="G80" s="1059" t="s">
        <v>1625</v>
      </c>
      <c r="H80" s="828" t="s">
        <v>692</v>
      </c>
      <c r="I80" s="828" t="s">
        <v>894</v>
      </c>
      <c r="J80" s="828" t="s">
        <v>454</v>
      </c>
      <c r="K80" s="828"/>
      <c r="L80" s="830">
        <v>44862</v>
      </c>
      <c r="M80" s="831">
        <v>2.67</v>
      </c>
      <c r="N80" s="832"/>
      <c r="O80" s="833"/>
    </row>
    <row r="81" spans="1:15" ht="30" customHeight="1" x14ac:dyDescent="0.25">
      <c r="A81" s="828"/>
      <c r="B81" s="828" t="s">
        <v>952</v>
      </c>
      <c r="C8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METIN0093-(?)-Níquel</v>
      </c>
      <c r="D81" s="828"/>
      <c r="E81" s="828"/>
      <c r="F81" s="828"/>
      <c r="G81" s="1059" t="s">
        <v>1625</v>
      </c>
      <c r="H81" s="828" t="s">
        <v>953</v>
      </c>
      <c r="I81" s="828"/>
      <c r="J81" s="828" t="s">
        <v>363</v>
      </c>
      <c r="K81" s="828"/>
      <c r="L81" s="830">
        <v>44531</v>
      </c>
      <c r="M81" s="831">
        <v>0.2</v>
      </c>
      <c r="N81" s="832"/>
      <c r="O81" s="833"/>
    </row>
    <row r="82" spans="1:15" ht="30" customHeight="1" x14ac:dyDescent="0.25">
      <c r="A82" s="828"/>
      <c r="B82" s="828" t="s">
        <v>954</v>
      </c>
      <c r="C8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METIN0234-(?)-Dourad</v>
      </c>
      <c r="D82" s="828" t="s">
        <v>943</v>
      </c>
      <c r="E82" s="828"/>
      <c r="F82" s="828"/>
      <c r="G82" s="1059" t="s">
        <v>1625</v>
      </c>
      <c r="H82" s="828" t="s">
        <v>955</v>
      </c>
      <c r="I82" s="828"/>
      <c r="J82" s="828" t="s">
        <v>441</v>
      </c>
      <c r="K82" s="828"/>
      <c r="L82" s="830">
        <v>44862</v>
      </c>
      <c r="M82" s="831">
        <v>2.0099999999999998</v>
      </c>
      <c r="N82" s="832"/>
      <c r="O82" s="833"/>
    </row>
    <row r="83" spans="1:15" ht="30" customHeight="1" x14ac:dyDescent="0.25">
      <c r="A83" s="828"/>
      <c r="B83" s="828" t="s">
        <v>957</v>
      </c>
      <c r="C8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METIN0096-(?)-Níquel</v>
      </c>
      <c r="D83" s="828" t="s">
        <v>493</v>
      </c>
      <c r="E83" s="828"/>
      <c r="F83" s="828"/>
      <c r="G83" s="1059" t="s">
        <v>1625</v>
      </c>
      <c r="H83" s="828" t="s">
        <v>508</v>
      </c>
      <c r="I83" s="828"/>
      <c r="J83" s="828" t="s">
        <v>363</v>
      </c>
      <c r="K83" s="828"/>
      <c r="L83" s="830">
        <v>44531</v>
      </c>
      <c r="M83" s="831">
        <v>0.36729999999999996</v>
      </c>
      <c r="N83" s="832"/>
      <c r="O83" s="833"/>
    </row>
    <row r="84" spans="1:15" ht="30" customHeight="1" x14ac:dyDescent="0.25">
      <c r="A84" s="828"/>
      <c r="B84" s="828" t="s">
        <v>958</v>
      </c>
      <c r="C8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METIN0097-(?)-Ouro V</v>
      </c>
      <c r="D84" s="828" t="s">
        <v>493</v>
      </c>
      <c r="E84" s="828"/>
      <c r="F84" s="828"/>
      <c r="G84" s="1059" t="s">
        <v>1625</v>
      </c>
      <c r="H84" s="828" t="s">
        <v>509</v>
      </c>
      <c r="I84" s="828"/>
      <c r="J84" s="828" t="s">
        <v>507</v>
      </c>
      <c r="K84" s="828"/>
      <c r="L84" s="830">
        <v>44531</v>
      </c>
      <c r="M84" s="831">
        <v>0.36725000000000002</v>
      </c>
      <c r="N84" s="832"/>
      <c r="O84" s="833"/>
    </row>
    <row r="85" spans="1:15" ht="30" customHeight="1" x14ac:dyDescent="0.25">
      <c r="A85" s="828"/>
      <c r="B85" s="828" t="s">
        <v>959</v>
      </c>
      <c r="C8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METIN0098-(?)-Níquel</v>
      </c>
      <c r="D85" s="828" t="s">
        <v>943</v>
      </c>
      <c r="E85" s="828"/>
      <c r="F85" s="828"/>
      <c r="G85" s="1059" t="s">
        <v>1625</v>
      </c>
      <c r="H85" s="828" t="s">
        <v>510</v>
      </c>
      <c r="I85" s="828"/>
      <c r="J85" s="828" t="s">
        <v>363</v>
      </c>
      <c r="K85" s="828"/>
      <c r="L85" s="830">
        <v>44531</v>
      </c>
      <c r="M85" s="831">
        <v>0.91000000000000014</v>
      </c>
      <c r="N85" s="832"/>
      <c r="O85" s="833"/>
    </row>
    <row r="86" spans="1:15" ht="30" customHeight="1" x14ac:dyDescent="0.25">
      <c r="A86" s="828"/>
      <c r="B86" s="828" t="s">
        <v>960</v>
      </c>
      <c r="C8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METIN0099-(?)-Ouro V</v>
      </c>
      <c r="D86" s="828" t="s">
        <v>943</v>
      </c>
      <c r="E86" s="828"/>
      <c r="F86" s="828"/>
      <c r="G86" s="1059" t="s">
        <v>1625</v>
      </c>
      <c r="H86" s="828" t="s">
        <v>511</v>
      </c>
      <c r="I86" s="828"/>
      <c r="J86" s="828" t="s">
        <v>507</v>
      </c>
      <c r="K86" s="828"/>
      <c r="L86" s="830">
        <v>44531</v>
      </c>
      <c r="M86" s="831">
        <v>0.91000000000000014</v>
      </c>
      <c r="N86" s="832"/>
      <c r="O86" s="833"/>
    </row>
    <row r="87" spans="1:15" ht="30" customHeight="1" x14ac:dyDescent="0.25">
      <c r="A87" s="828"/>
      <c r="B87" s="828" t="s">
        <v>961</v>
      </c>
      <c r="C8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METIN0100-(?)-Níquel</v>
      </c>
      <c r="D87" s="828" t="s">
        <v>493</v>
      </c>
      <c r="E87" s="828"/>
      <c r="F87" s="828"/>
      <c r="G87" s="1059" t="s">
        <v>1625</v>
      </c>
      <c r="H87" s="828" t="s">
        <v>512</v>
      </c>
      <c r="I87" s="828"/>
      <c r="J87" s="828" t="s">
        <v>363</v>
      </c>
      <c r="K87" s="828"/>
      <c r="L87" s="830">
        <v>44531</v>
      </c>
      <c r="M87" s="831">
        <v>0.25485000000000002</v>
      </c>
      <c r="N87" s="832"/>
      <c r="O87" s="833"/>
    </row>
    <row r="88" spans="1:15" ht="30" customHeight="1" x14ac:dyDescent="0.25">
      <c r="A88" s="828"/>
      <c r="B88" s="828" t="s">
        <v>962</v>
      </c>
      <c r="C8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METIN0222-(?)-Dourad</v>
      </c>
      <c r="D88" s="828" t="s">
        <v>943</v>
      </c>
      <c r="E88" s="828"/>
      <c r="F88" s="828"/>
      <c r="G88" s="1059" t="s">
        <v>1625</v>
      </c>
      <c r="H88" s="828" t="s">
        <v>688</v>
      </c>
      <c r="I88" s="828"/>
      <c r="J88" s="828" t="s">
        <v>441</v>
      </c>
      <c r="K88" s="828"/>
      <c r="L88" s="830">
        <v>44862</v>
      </c>
      <c r="M88" s="831">
        <v>8.19</v>
      </c>
      <c r="N88" s="832"/>
      <c r="O88" s="833"/>
    </row>
    <row r="89" spans="1:15" ht="30" customHeight="1" x14ac:dyDescent="0.25">
      <c r="A89" s="828"/>
      <c r="B89" s="828" t="s">
        <v>963</v>
      </c>
      <c r="C8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METIN0227-(?)-Grafit</v>
      </c>
      <c r="D89" s="828" t="s">
        <v>943</v>
      </c>
      <c r="E89" s="828"/>
      <c r="F89" s="828"/>
      <c r="G89" s="1059" t="s">
        <v>1625</v>
      </c>
      <c r="H89" s="828" t="s">
        <v>689</v>
      </c>
      <c r="I89" s="828"/>
      <c r="J89" s="828" t="s">
        <v>541</v>
      </c>
      <c r="K89" s="828"/>
      <c r="L89" s="830">
        <v>44862</v>
      </c>
      <c r="M89" s="831">
        <v>7.02</v>
      </c>
      <c r="N89" s="832"/>
      <c r="O89" s="833"/>
    </row>
    <row r="90" spans="1:15" ht="30" customHeight="1" x14ac:dyDescent="0.25">
      <c r="A90" s="828"/>
      <c r="B90" s="828" t="s">
        <v>964</v>
      </c>
      <c r="C9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METIN0221-(?)-Prata</v>
      </c>
      <c r="D90" s="828" t="s">
        <v>943</v>
      </c>
      <c r="E90" s="828"/>
      <c r="F90" s="828"/>
      <c r="G90" s="1059" t="s">
        <v>1625</v>
      </c>
      <c r="H90" s="828" t="s">
        <v>687</v>
      </c>
      <c r="I90" s="828"/>
      <c r="J90" s="828" t="s">
        <v>454</v>
      </c>
      <c r="K90" s="828"/>
      <c r="L90" s="830">
        <v>44862</v>
      </c>
      <c r="M90" s="831">
        <v>6.44</v>
      </c>
      <c r="N90" s="832"/>
      <c r="O90" s="833"/>
    </row>
    <row r="91" spans="1:15" ht="30" customHeight="1" x14ac:dyDescent="0.25">
      <c r="A91" s="828"/>
      <c r="B91" s="828" t="s">
        <v>965</v>
      </c>
      <c r="C9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METIN0103-(?)-Dourad</v>
      </c>
      <c r="D91" s="828" t="s">
        <v>493</v>
      </c>
      <c r="E91" s="828"/>
      <c r="F91" s="828"/>
      <c r="G91" s="1059" t="s">
        <v>1625</v>
      </c>
      <c r="H91" s="828" t="s">
        <v>966</v>
      </c>
      <c r="I91" s="828"/>
      <c r="J91" s="828" t="s">
        <v>967</v>
      </c>
      <c r="K91" s="828"/>
      <c r="L91" s="830">
        <v>44862</v>
      </c>
      <c r="M91" s="831">
        <v>0.49099999999999999</v>
      </c>
      <c r="N91" s="832"/>
      <c r="O91" s="833"/>
    </row>
    <row r="92" spans="1:15" ht="30" customHeight="1" x14ac:dyDescent="0.25">
      <c r="A92" s="828"/>
      <c r="B92" s="828" t="s">
        <v>968</v>
      </c>
      <c r="C9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METIN0102-(?)-Níquel</v>
      </c>
      <c r="D92" s="828" t="s">
        <v>493</v>
      </c>
      <c r="E92" s="828"/>
      <c r="F92" s="828"/>
      <c r="G92" s="1059" t="s">
        <v>1625</v>
      </c>
      <c r="H92" s="828" t="s">
        <v>690</v>
      </c>
      <c r="I92" s="828"/>
      <c r="J92" s="828" t="s">
        <v>969</v>
      </c>
      <c r="K92" s="828"/>
      <c r="L92" s="830">
        <v>44862</v>
      </c>
      <c r="M92" s="831">
        <v>0.65900000000000003</v>
      </c>
      <c r="N92" s="832" t="s">
        <v>365</v>
      </c>
      <c r="O92" s="833"/>
    </row>
    <row r="93" spans="1:15" ht="30" customHeight="1" x14ac:dyDescent="0.25">
      <c r="A93" s="828"/>
      <c r="B93" s="828" t="s">
        <v>970</v>
      </c>
      <c r="C9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METIN0104-(?)-Níquel</v>
      </c>
      <c r="D93" s="828" t="s">
        <v>493</v>
      </c>
      <c r="E93" s="828"/>
      <c r="F93" s="828"/>
      <c r="G93" s="1059" t="s">
        <v>1625</v>
      </c>
      <c r="H93" s="828" t="s">
        <v>971</v>
      </c>
      <c r="I93" s="828"/>
      <c r="J93" s="828" t="s">
        <v>363</v>
      </c>
      <c r="K93" s="828"/>
      <c r="L93" s="830">
        <v>44862</v>
      </c>
      <c r="M93" s="831">
        <v>0.47899999999999998</v>
      </c>
      <c r="N93" s="832"/>
      <c r="O93" s="833"/>
    </row>
    <row r="94" spans="1:15" ht="30" customHeight="1" x14ac:dyDescent="0.25">
      <c r="A94" s="828"/>
      <c r="B94" s="828" t="s">
        <v>972</v>
      </c>
      <c r="C9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METIN0105-(?)-Níquel</v>
      </c>
      <c r="D94" s="828" t="s">
        <v>513</v>
      </c>
      <c r="E94" s="828"/>
      <c r="F94" s="828"/>
      <c r="G94" s="1059" t="s">
        <v>1625</v>
      </c>
      <c r="H94" s="828" t="s">
        <v>973</v>
      </c>
      <c r="I94" s="828"/>
      <c r="J94" s="828" t="s">
        <v>514</v>
      </c>
      <c r="K94" s="828"/>
      <c r="L94" s="830">
        <v>44531</v>
      </c>
      <c r="M94" s="831">
        <v>0.48</v>
      </c>
      <c r="N94" s="832" t="s">
        <v>365</v>
      </c>
      <c r="O94" s="833"/>
    </row>
    <row r="95" spans="1:15" ht="30" customHeight="1" x14ac:dyDescent="0.25">
      <c r="A95" s="828"/>
      <c r="B95" s="828" t="s">
        <v>974</v>
      </c>
      <c r="C9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METIN0106-(?)-Ouro V</v>
      </c>
      <c r="D95" s="828" t="s">
        <v>513</v>
      </c>
      <c r="E95" s="828"/>
      <c r="F95" s="828"/>
      <c r="G95" s="1059" t="s">
        <v>1625</v>
      </c>
      <c r="H95" s="828" t="s">
        <v>975</v>
      </c>
      <c r="I95" s="828"/>
      <c r="J95" s="828" t="s">
        <v>507</v>
      </c>
      <c r="K95" s="828"/>
      <c r="L95" s="830">
        <v>44531</v>
      </c>
      <c r="M95" s="831">
        <v>0.48</v>
      </c>
      <c r="N95" s="832"/>
      <c r="O95" s="833"/>
    </row>
    <row r="96" spans="1:15" ht="30" customHeight="1" x14ac:dyDescent="0.25">
      <c r="A96" s="828"/>
      <c r="B96" s="828" t="s">
        <v>998</v>
      </c>
      <c r="C9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METIN0228-(?)-Dourad</v>
      </c>
      <c r="D96" s="828" t="s">
        <v>943</v>
      </c>
      <c r="E96" s="829"/>
      <c r="F96" s="829"/>
      <c r="G96" s="1059" t="s">
        <v>1625</v>
      </c>
      <c r="H96" s="829" t="s">
        <v>693</v>
      </c>
      <c r="I96" s="829"/>
      <c r="J96" s="829" t="s">
        <v>441</v>
      </c>
      <c r="K96" s="829"/>
      <c r="L96" s="834">
        <v>44862</v>
      </c>
      <c r="M96" s="835">
        <v>2.9</v>
      </c>
      <c r="N96" s="832"/>
      <c r="O96" s="833"/>
    </row>
    <row r="97" spans="1:15" ht="30" customHeight="1" x14ac:dyDescent="0.25">
      <c r="A97" s="828"/>
      <c r="B97" s="828" t="s">
        <v>999</v>
      </c>
      <c r="C9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METIN0230-(?)-Grafit</v>
      </c>
      <c r="D97" s="828" t="s">
        <v>943</v>
      </c>
      <c r="E97" s="829"/>
      <c r="F97" s="829"/>
      <c r="G97" s="1059" t="s">
        <v>1625</v>
      </c>
      <c r="H97" s="829" t="s">
        <v>695</v>
      </c>
      <c r="I97" s="829"/>
      <c r="J97" s="829" t="s">
        <v>541</v>
      </c>
      <c r="K97" s="829"/>
      <c r="L97" s="834">
        <v>44862</v>
      </c>
      <c r="M97" s="835">
        <v>2.4900000000000002</v>
      </c>
      <c r="N97" s="836"/>
      <c r="O97" s="833"/>
    </row>
    <row r="98" spans="1:15" ht="30" customHeight="1" x14ac:dyDescent="0.25">
      <c r="A98" s="828"/>
      <c r="B98" s="828" t="s">
        <v>1000</v>
      </c>
      <c r="C9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METIN0229-(?)-Prata</v>
      </c>
      <c r="D98" s="828" t="s">
        <v>943</v>
      </c>
      <c r="E98" s="829"/>
      <c r="F98" s="829"/>
      <c r="G98" s="1059" t="s">
        <v>1625</v>
      </c>
      <c r="H98" s="829" t="s">
        <v>694</v>
      </c>
      <c r="I98" s="829"/>
      <c r="J98" s="829" t="s">
        <v>454</v>
      </c>
      <c r="K98" s="829"/>
      <c r="L98" s="834">
        <v>44862</v>
      </c>
      <c r="M98" s="835">
        <v>2.4900000000000002</v>
      </c>
      <c r="N98" s="836"/>
      <c r="O98" s="833"/>
    </row>
    <row r="99" spans="1:15" ht="30" customHeight="1" x14ac:dyDescent="0.25">
      <c r="A99" s="828"/>
      <c r="B99" s="828" t="s">
        <v>1021</v>
      </c>
      <c r="C9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METIN0288-(?)-Onix</v>
      </c>
      <c r="D99" s="828" t="s">
        <v>943</v>
      </c>
      <c r="E99" s="829"/>
      <c r="F99" s="829"/>
      <c r="G99" s="1059" t="s">
        <v>1625</v>
      </c>
      <c r="H99" s="829" t="s">
        <v>1022</v>
      </c>
      <c r="I99" s="829"/>
      <c r="J99" s="829" t="s">
        <v>656</v>
      </c>
      <c r="K99" s="829"/>
      <c r="L99" s="834">
        <v>44862</v>
      </c>
      <c r="M99" s="835">
        <v>33.68</v>
      </c>
      <c r="N99" s="832"/>
      <c r="O99" s="833"/>
    </row>
    <row r="100" spans="1:15" ht="30" customHeight="1" x14ac:dyDescent="0.25">
      <c r="A100" s="828"/>
      <c r="B100" s="828" t="s">
        <v>1023</v>
      </c>
      <c r="C10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METIN0051-(?)-Dourad</v>
      </c>
      <c r="D100" s="828" t="s">
        <v>943</v>
      </c>
      <c r="E100" s="829"/>
      <c r="F100" s="829"/>
      <c r="G100" s="1059" t="s">
        <v>1625</v>
      </c>
      <c r="H100" s="829" t="s">
        <v>1024</v>
      </c>
      <c r="I100" s="829"/>
      <c r="J100" s="829" t="s">
        <v>441</v>
      </c>
      <c r="K100" s="829"/>
      <c r="L100" s="834">
        <v>44862</v>
      </c>
      <c r="M100" s="835">
        <v>36.659999999999997</v>
      </c>
      <c r="N100" s="832"/>
      <c r="O100" s="833"/>
    </row>
    <row r="101" spans="1:15" ht="30" customHeight="1" x14ac:dyDescent="0.25">
      <c r="A101" s="828"/>
      <c r="B101" s="828" t="s">
        <v>1034</v>
      </c>
      <c r="C10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METIN0111-n.4 IMPORTADO-Níquel</v>
      </c>
      <c r="D101" s="828" t="s">
        <v>493</v>
      </c>
      <c r="E101" s="829"/>
      <c r="F101" s="829"/>
      <c r="G101" s="1059" t="s">
        <v>1625</v>
      </c>
      <c r="H101" s="829" t="s">
        <v>1035</v>
      </c>
      <c r="I101" s="829" t="s">
        <v>1036</v>
      </c>
      <c r="J101" s="829" t="s">
        <v>363</v>
      </c>
      <c r="K101" s="829"/>
      <c r="L101" s="834">
        <v>44531</v>
      </c>
      <c r="M101" s="835">
        <v>0.05</v>
      </c>
      <c r="N101" s="832"/>
      <c r="O101" s="833"/>
    </row>
    <row r="102" spans="1:15" ht="30" customHeight="1" x14ac:dyDescent="0.25">
      <c r="A102" s="828"/>
      <c r="B102" s="828" t="s">
        <v>1037</v>
      </c>
      <c r="C10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METIN0112-n.6 FZP-Dourad</v>
      </c>
      <c r="D102" s="828" t="s">
        <v>493</v>
      </c>
      <c r="E102" s="829"/>
      <c r="F102" s="829"/>
      <c r="G102" s="1059" t="s">
        <v>1625</v>
      </c>
      <c r="H102" s="829" t="s">
        <v>1038</v>
      </c>
      <c r="I102" s="829" t="s">
        <v>1039</v>
      </c>
      <c r="J102" s="829" t="s">
        <v>967</v>
      </c>
      <c r="K102" s="829"/>
      <c r="L102" s="834">
        <v>44985</v>
      </c>
      <c r="M102" s="835">
        <v>0.18</v>
      </c>
      <c r="N102" s="832" t="s">
        <v>365</v>
      </c>
      <c r="O102" s="833"/>
    </row>
    <row r="103" spans="1:15" ht="30" customHeight="1" x14ac:dyDescent="0.25">
      <c r="A103" s="828"/>
      <c r="B103" s="828" t="s">
        <v>1040</v>
      </c>
      <c r="C10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METIN0114-n.6 FZP-Preto/</v>
      </c>
      <c r="D103" s="828" t="s">
        <v>493</v>
      </c>
      <c r="E103" s="829"/>
      <c r="F103" s="829"/>
      <c r="G103" s="1059" t="s">
        <v>1625</v>
      </c>
      <c r="H103" s="829" t="s">
        <v>1041</v>
      </c>
      <c r="I103" s="829" t="s">
        <v>1039</v>
      </c>
      <c r="J103" s="829" t="s">
        <v>516</v>
      </c>
      <c r="K103" s="829"/>
      <c r="L103" s="834">
        <v>44985</v>
      </c>
      <c r="M103" s="835">
        <v>0.17</v>
      </c>
      <c r="N103" s="832"/>
      <c r="O103" s="833"/>
    </row>
    <row r="104" spans="1:15" ht="30" customHeight="1" x14ac:dyDescent="0.25">
      <c r="A104" s="828"/>
      <c r="B104" s="828" t="s">
        <v>1042</v>
      </c>
      <c r="C10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METIN0115-n.8 FZP-Preto </v>
      </c>
      <c r="D104" s="828" t="s">
        <v>493</v>
      </c>
      <c r="E104" s="829"/>
      <c r="F104" s="829"/>
      <c r="G104" s="1059" t="s">
        <v>1625</v>
      </c>
      <c r="H104" s="829" t="s">
        <v>1043</v>
      </c>
      <c r="I104" s="829" t="s">
        <v>1044</v>
      </c>
      <c r="J104" s="829" t="s">
        <v>495</v>
      </c>
      <c r="K104" s="829"/>
      <c r="L104" s="834">
        <v>44692</v>
      </c>
      <c r="M104" s="835">
        <v>0.44</v>
      </c>
      <c r="N104" s="832"/>
      <c r="O104" s="833"/>
    </row>
    <row r="105" spans="1:15" ht="30" customHeight="1" x14ac:dyDescent="0.25">
      <c r="A105" s="828"/>
      <c r="B105" s="828" t="s">
        <v>1045</v>
      </c>
      <c r="C10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METIN0116-n.6 DIVERSOS-Color</v>
      </c>
      <c r="D105" s="828" t="s">
        <v>493</v>
      </c>
      <c r="E105" s="828"/>
      <c r="F105" s="828"/>
      <c r="G105" s="1059" t="s">
        <v>1625</v>
      </c>
      <c r="H105" s="828" t="s">
        <v>1046</v>
      </c>
      <c r="I105" s="828" t="s">
        <v>1047</v>
      </c>
      <c r="J105" s="828" t="s">
        <v>442</v>
      </c>
      <c r="K105" s="828"/>
      <c r="L105" s="830">
        <v>44692</v>
      </c>
      <c r="M105" s="831">
        <v>0.85</v>
      </c>
      <c r="N105" s="828"/>
      <c r="O105" s="828"/>
    </row>
    <row r="106" spans="1:15" ht="30" customHeight="1" x14ac:dyDescent="0.25">
      <c r="A106" s="828"/>
      <c r="B106" s="828" t="s">
        <v>1048</v>
      </c>
      <c r="C10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METIN0049-n.6 GOTA-Color</v>
      </c>
      <c r="D106" s="828" t="s">
        <v>493</v>
      </c>
      <c r="E106" s="828"/>
      <c r="F106" s="828"/>
      <c r="G106" s="1059" t="s">
        <v>1625</v>
      </c>
      <c r="H106" s="828" t="s">
        <v>1049</v>
      </c>
      <c r="I106" s="828" t="s">
        <v>1050</v>
      </c>
      <c r="J106" s="828" t="s">
        <v>442</v>
      </c>
      <c r="K106" s="828"/>
      <c r="L106" s="830">
        <v>44692</v>
      </c>
      <c r="M106" s="831">
        <v>0.85</v>
      </c>
      <c r="N106" s="828"/>
      <c r="O106" s="828"/>
    </row>
    <row r="107" spans="1:15" ht="30" customHeight="1" x14ac:dyDescent="0.25">
      <c r="A107" s="828"/>
      <c r="B107" s="828" t="s">
        <v>1060</v>
      </c>
      <c r="C10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METIN0011-(?)-Níquel</v>
      </c>
      <c r="D107" s="828" t="s">
        <v>943</v>
      </c>
      <c r="E107" s="828"/>
      <c r="F107" s="828"/>
      <c r="G107" s="1059" t="s">
        <v>1625</v>
      </c>
      <c r="H107" s="828" t="s">
        <v>1061</v>
      </c>
      <c r="I107" s="828"/>
      <c r="J107" s="828" t="s">
        <v>363</v>
      </c>
      <c r="K107" s="828"/>
      <c r="L107" s="830">
        <v>44531</v>
      </c>
      <c r="M107" s="831">
        <v>2.5</v>
      </c>
      <c r="N107" s="832"/>
      <c r="O107" s="833"/>
    </row>
    <row r="108" spans="1:15" ht="30" customHeight="1" x14ac:dyDescent="0.25">
      <c r="A108" s="828"/>
      <c r="B108" s="828" t="s">
        <v>1077</v>
      </c>
      <c r="C10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METIN0197-(?)-Níquel</v>
      </c>
      <c r="D108" s="828"/>
      <c r="E108" s="828"/>
      <c r="F108" s="828"/>
      <c r="G108" s="1059" t="s">
        <v>1625</v>
      </c>
      <c r="H108" s="828" t="s">
        <v>1078</v>
      </c>
      <c r="I108" s="828"/>
      <c r="J108" s="828" t="s">
        <v>363</v>
      </c>
      <c r="K108" s="828"/>
      <c r="L108" s="830">
        <v>44531</v>
      </c>
      <c r="M108" s="831">
        <v>0.5</v>
      </c>
      <c r="N108" s="832"/>
      <c r="O108" s="833"/>
    </row>
    <row r="109" spans="1:15" ht="30" customHeight="1" x14ac:dyDescent="0.25">
      <c r="A109" s="828"/>
      <c r="B109" s="828" t="s">
        <v>1092</v>
      </c>
      <c r="C10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METIN0120-(?)-Níquel</v>
      </c>
      <c r="D109" s="828"/>
      <c r="E109" s="829"/>
      <c r="F109" s="829"/>
      <c r="G109" s="1059" t="s">
        <v>1625</v>
      </c>
      <c r="H109" s="829" t="s">
        <v>1093</v>
      </c>
      <c r="I109" s="829"/>
      <c r="J109" s="829" t="s">
        <v>514</v>
      </c>
      <c r="K109" s="829"/>
      <c r="L109" s="834">
        <v>44531</v>
      </c>
      <c r="M109" s="835">
        <v>0.5</v>
      </c>
      <c r="N109" s="836"/>
      <c r="O109" s="833"/>
    </row>
    <row r="110" spans="1:15" ht="30" customHeight="1" x14ac:dyDescent="0.25">
      <c r="A110" s="828"/>
      <c r="B110" s="828" t="s">
        <v>1094</v>
      </c>
      <c r="C11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METIN0121-(?)-Níquel</v>
      </c>
      <c r="D110" s="828"/>
      <c r="E110" s="828"/>
      <c r="F110" s="828"/>
      <c r="G110" s="1059" t="s">
        <v>1625</v>
      </c>
      <c r="H110" s="828" t="s">
        <v>1095</v>
      </c>
      <c r="I110" s="828"/>
      <c r="J110" s="828" t="s">
        <v>363</v>
      </c>
      <c r="K110" s="828"/>
      <c r="L110" s="830">
        <v>44531</v>
      </c>
      <c r="M110" s="831">
        <v>0.5</v>
      </c>
      <c r="N110" s="832"/>
      <c r="O110" s="833"/>
    </row>
    <row r="111" spans="1:15" ht="30" customHeight="1" x14ac:dyDescent="0.25">
      <c r="A111" s="828"/>
      <c r="B111" s="828" t="s">
        <v>1096</v>
      </c>
      <c r="C11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METIN0201-(?)-Ouro V</v>
      </c>
      <c r="D111" s="828"/>
      <c r="E111" s="829"/>
      <c r="F111" s="829"/>
      <c r="G111" s="1059" t="s">
        <v>1625</v>
      </c>
      <c r="H111" s="829" t="s">
        <v>1097</v>
      </c>
      <c r="I111" s="829"/>
      <c r="J111" s="829" t="s">
        <v>1098</v>
      </c>
      <c r="K111" s="829"/>
      <c r="L111" s="834">
        <v>44531</v>
      </c>
      <c r="M111" s="835">
        <v>0.5</v>
      </c>
      <c r="N111" s="832"/>
      <c r="O111" s="833"/>
    </row>
    <row r="112" spans="1:15" ht="30" customHeight="1" x14ac:dyDescent="0.25">
      <c r="A112" s="828"/>
      <c r="B112" s="828" t="s">
        <v>1125</v>
      </c>
      <c r="C11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METIN0123-(?)-Ouro V</v>
      </c>
      <c r="D112" s="828"/>
      <c r="E112" s="828"/>
      <c r="F112" s="828"/>
      <c r="G112" s="1059" t="s">
        <v>1625</v>
      </c>
      <c r="H112" s="828" t="s">
        <v>517</v>
      </c>
      <c r="I112" s="828"/>
      <c r="J112" s="828" t="s">
        <v>507</v>
      </c>
      <c r="K112" s="828"/>
      <c r="L112" s="830">
        <v>44531</v>
      </c>
      <c r="M112" s="831">
        <v>1</v>
      </c>
      <c r="N112" s="832"/>
      <c r="O112" s="833"/>
    </row>
    <row r="113" spans="1:15" ht="30" customHeight="1" x14ac:dyDescent="0.25">
      <c r="A113" s="828"/>
      <c r="B113" s="828" t="s">
        <v>1126</v>
      </c>
      <c r="C11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METIN0124-(?)-Níquel</v>
      </c>
      <c r="D113" s="828" t="s">
        <v>943</v>
      </c>
      <c r="E113" s="829"/>
      <c r="F113" s="829"/>
      <c r="G113" s="1059" t="s">
        <v>1625</v>
      </c>
      <c r="H113" s="829" t="s">
        <v>518</v>
      </c>
      <c r="I113" s="829"/>
      <c r="J113" s="829" t="s">
        <v>363</v>
      </c>
      <c r="K113" s="829"/>
      <c r="L113" s="834">
        <v>44531</v>
      </c>
      <c r="M113" s="835">
        <v>2.5</v>
      </c>
      <c r="N113" s="836"/>
      <c r="O113" s="833"/>
    </row>
    <row r="114" spans="1:15" ht="30" customHeight="1" x14ac:dyDescent="0.25">
      <c r="A114" s="828"/>
      <c r="B114" s="828" t="s">
        <v>1127</v>
      </c>
      <c r="C11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METIN0125-(?)-Níquel</v>
      </c>
      <c r="D114" s="828" t="s">
        <v>943</v>
      </c>
      <c r="E114" s="828"/>
      <c r="F114" s="828"/>
      <c r="G114" s="1059" t="s">
        <v>1625</v>
      </c>
      <c r="H114" s="828" t="s">
        <v>519</v>
      </c>
      <c r="I114" s="828"/>
      <c r="J114" s="828" t="s">
        <v>363</v>
      </c>
      <c r="K114" s="828"/>
      <c r="L114" s="830">
        <v>44531</v>
      </c>
      <c r="M114" s="831">
        <v>1.5</v>
      </c>
      <c r="N114" s="832"/>
      <c r="O114" s="833"/>
    </row>
    <row r="115" spans="1:15" ht="30" customHeight="1" x14ac:dyDescent="0.25">
      <c r="A115" s="828"/>
      <c r="B115" s="828" t="s">
        <v>1128</v>
      </c>
      <c r="C11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METIN0126-(?)-Níquel</v>
      </c>
      <c r="D115" s="828"/>
      <c r="E115" s="828"/>
      <c r="F115" s="828"/>
      <c r="G115" s="1059" t="s">
        <v>1625</v>
      </c>
      <c r="H115" s="828" t="s">
        <v>520</v>
      </c>
      <c r="I115" s="828"/>
      <c r="J115" s="828" t="s">
        <v>363</v>
      </c>
      <c r="K115" s="828"/>
      <c r="L115" s="830">
        <v>44531</v>
      </c>
      <c r="M115" s="831">
        <v>0.1</v>
      </c>
      <c r="N115" s="836"/>
      <c r="O115" s="833"/>
    </row>
    <row r="116" spans="1:15" ht="30" customHeight="1" x14ac:dyDescent="0.25">
      <c r="A116" s="828"/>
      <c r="B116" s="828" t="s">
        <v>1129</v>
      </c>
      <c r="C11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METIN0127-(?)-Níquel</v>
      </c>
      <c r="D116" s="828"/>
      <c r="E116" s="828"/>
      <c r="F116" s="828"/>
      <c r="G116" s="1059" t="s">
        <v>1625</v>
      </c>
      <c r="H116" s="828" t="s">
        <v>521</v>
      </c>
      <c r="I116" s="828"/>
      <c r="J116" s="828" t="s">
        <v>363</v>
      </c>
      <c r="K116" s="828"/>
      <c r="L116" s="830">
        <v>44531</v>
      </c>
      <c r="M116" s="831">
        <v>0.2</v>
      </c>
      <c r="N116" s="832"/>
      <c r="O116" s="833"/>
    </row>
    <row r="117" spans="1:15" ht="30" customHeight="1" x14ac:dyDescent="0.25">
      <c r="A117" s="828"/>
      <c r="B117" s="828" t="s">
        <v>1130</v>
      </c>
      <c r="C11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METIN0128-(?)-Níquel</v>
      </c>
      <c r="D117" s="828"/>
      <c r="E117" s="828"/>
      <c r="F117" s="828"/>
      <c r="G117" s="1059" t="s">
        <v>1625</v>
      </c>
      <c r="H117" s="828" t="s">
        <v>522</v>
      </c>
      <c r="I117" s="828"/>
      <c r="J117" s="828" t="s">
        <v>363</v>
      </c>
      <c r="K117" s="828"/>
      <c r="L117" s="830">
        <v>44531</v>
      </c>
      <c r="M117" s="831">
        <v>0.1</v>
      </c>
      <c r="N117" s="832"/>
      <c r="O117" s="833"/>
    </row>
    <row r="118" spans="1:15" ht="30" customHeight="1" x14ac:dyDescent="0.25">
      <c r="A118" s="828"/>
      <c r="B118" s="828" t="s">
        <v>1131</v>
      </c>
      <c r="C11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METIN0129-(?)-Níquel</v>
      </c>
      <c r="D118" s="828"/>
      <c r="E118" s="828"/>
      <c r="F118" s="828"/>
      <c r="G118" s="1059" t="s">
        <v>1625</v>
      </c>
      <c r="H118" s="828" t="s">
        <v>523</v>
      </c>
      <c r="I118" s="828"/>
      <c r="J118" s="828" t="s">
        <v>363</v>
      </c>
      <c r="K118" s="828"/>
      <c r="L118" s="830">
        <v>44531</v>
      </c>
      <c r="M118" s="831">
        <v>0.15</v>
      </c>
      <c r="N118" s="832"/>
      <c r="O118" s="833"/>
    </row>
    <row r="119" spans="1:15" ht="30" customHeight="1" x14ac:dyDescent="0.25">
      <c r="A119" s="828"/>
      <c r="B119" s="828" t="s">
        <v>1132</v>
      </c>
      <c r="C11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METIN0130-(?)-Níquel</v>
      </c>
      <c r="D119" s="828"/>
      <c r="E119" s="828"/>
      <c r="F119" s="828"/>
      <c r="G119" s="1059" t="s">
        <v>1625</v>
      </c>
      <c r="H119" s="828" t="s">
        <v>524</v>
      </c>
      <c r="I119" s="828"/>
      <c r="J119" s="828" t="s">
        <v>363</v>
      </c>
      <c r="K119" s="828"/>
      <c r="L119" s="830">
        <v>44531</v>
      </c>
      <c r="M119" s="831">
        <v>0.2</v>
      </c>
      <c r="N119" s="832" t="s">
        <v>365</v>
      </c>
      <c r="O119" s="833"/>
    </row>
    <row r="120" spans="1:15" ht="30" customHeight="1" x14ac:dyDescent="0.25">
      <c r="A120" s="828"/>
      <c r="B120" s="828" t="s">
        <v>1133</v>
      </c>
      <c r="C12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METIN0131-(?)-Níquel</v>
      </c>
      <c r="D120" s="828"/>
      <c r="E120" s="828"/>
      <c r="F120" s="828"/>
      <c r="G120" s="1059" t="s">
        <v>1625</v>
      </c>
      <c r="H120" s="828" t="s">
        <v>525</v>
      </c>
      <c r="I120" s="828"/>
      <c r="J120" s="828" t="s">
        <v>363</v>
      </c>
      <c r="K120" s="828"/>
      <c r="L120" s="830">
        <v>44531</v>
      </c>
      <c r="M120" s="831">
        <v>0.1</v>
      </c>
      <c r="N120" s="836"/>
      <c r="O120" s="833"/>
    </row>
    <row r="121" spans="1:15" ht="30" customHeight="1" x14ac:dyDescent="0.25">
      <c r="A121" s="828"/>
      <c r="B121" s="828" t="s">
        <v>1134</v>
      </c>
      <c r="C12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METIN0132-(?)-Níquel</v>
      </c>
      <c r="D121" s="828"/>
      <c r="E121" s="828"/>
      <c r="F121" s="828"/>
      <c r="G121" s="1059" t="s">
        <v>1625</v>
      </c>
      <c r="H121" s="828" t="s">
        <v>526</v>
      </c>
      <c r="I121" s="828"/>
      <c r="J121" s="828" t="s">
        <v>363</v>
      </c>
      <c r="K121" s="828"/>
      <c r="L121" s="830">
        <v>44531</v>
      </c>
      <c r="M121" s="831">
        <v>0.5</v>
      </c>
      <c r="N121" s="836"/>
      <c r="O121" s="833"/>
    </row>
    <row r="122" spans="1:15" ht="30" customHeight="1" x14ac:dyDescent="0.25">
      <c r="A122" s="828"/>
      <c r="B122" s="828" t="s">
        <v>1135</v>
      </c>
      <c r="C12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METIN0133-(?)-Ouro V</v>
      </c>
      <c r="D122" s="828" t="s">
        <v>943</v>
      </c>
      <c r="E122" s="828"/>
      <c r="F122" s="828"/>
      <c r="G122" s="1059" t="s">
        <v>1625</v>
      </c>
      <c r="H122" s="828" t="s">
        <v>1136</v>
      </c>
      <c r="I122" s="828"/>
      <c r="J122" s="828" t="s">
        <v>507</v>
      </c>
      <c r="K122" s="828"/>
      <c r="L122" s="830">
        <v>44531</v>
      </c>
      <c r="M122" s="831">
        <v>1.5</v>
      </c>
      <c r="N122" s="836" t="s">
        <v>365</v>
      </c>
      <c r="O122" s="833"/>
    </row>
    <row r="123" spans="1:15" ht="30" customHeight="1" x14ac:dyDescent="0.25">
      <c r="A123" s="828"/>
      <c r="B123" s="828" t="s">
        <v>1137</v>
      </c>
      <c r="C12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METIN0134-(?)-Níquel</v>
      </c>
      <c r="D123" s="828" t="s">
        <v>943</v>
      </c>
      <c r="E123" s="829"/>
      <c r="F123" s="829"/>
      <c r="G123" s="1059" t="s">
        <v>1625</v>
      </c>
      <c r="H123" s="829" t="s">
        <v>1138</v>
      </c>
      <c r="I123" s="829"/>
      <c r="J123" s="829" t="s">
        <v>363</v>
      </c>
      <c r="K123" s="829"/>
      <c r="L123" s="834">
        <v>44531</v>
      </c>
      <c r="M123" s="835">
        <v>2</v>
      </c>
      <c r="N123" s="832"/>
      <c r="O123" s="833"/>
    </row>
    <row r="124" spans="1:15" ht="30" customHeight="1" x14ac:dyDescent="0.25">
      <c r="A124" s="828"/>
      <c r="B124" s="828" t="s">
        <v>1139</v>
      </c>
      <c r="C12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METIN0135-(?)-Ouro V</v>
      </c>
      <c r="D124" s="828" t="s">
        <v>493</v>
      </c>
      <c r="E124" s="829"/>
      <c r="F124" s="829"/>
      <c r="G124" s="1059" t="s">
        <v>1625</v>
      </c>
      <c r="H124" s="829" t="s">
        <v>527</v>
      </c>
      <c r="I124" s="829"/>
      <c r="J124" s="829" t="s">
        <v>507</v>
      </c>
      <c r="K124" s="829"/>
      <c r="L124" s="834">
        <v>44531</v>
      </c>
      <c r="M124" s="835">
        <v>0.15</v>
      </c>
      <c r="N124" s="832"/>
      <c r="O124" s="833"/>
    </row>
    <row r="125" spans="1:15" ht="30" customHeight="1" x14ac:dyDescent="0.25">
      <c r="A125" s="828"/>
      <c r="B125" s="828" t="s">
        <v>1140</v>
      </c>
      <c r="C12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METIN0030-(?)-Níquel</v>
      </c>
      <c r="D125" s="829" t="s">
        <v>943</v>
      </c>
      <c r="E125" s="829"/>
      <c r="F125" s="829"/>
      <c r="G125" s="1059" t="s">
        <v>1625</v>
      </c>
      <c r="H125" s="829" t="s">
        <v>1141</v>
      </c>
      <c r="I125" s="829"/>
      <c r="J125" s="829" t="s">
        <v>363</v>
      </c>
      <c r="K125" s="829"/>
      <c r="L125" s="834">
        <v>44531</v>
      </c>
      <c r="M125" s="835">
        <v>2</v>
      </c>
      <c r="N125" s="836"/>
      <c r="O125" s="833"/>
    </row>
    <row r="126" spans="1:15" ht="30" customHeight="1" x14ac:dyDescent="0.25">
      <c r="A126" s="828"/>
      <c r="B126" s="828" t="s">
        <v>1153</v>
      </c>
      <c r="C12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METIN0137-(?)-Ouro V</v>
      </c>
      <c r="D126" s="828"/>
      <c r="E126" s="828"/>
      <c r="F126" s="828"/>
      <c r="G126" s="1059" t="s">
        <v>1625</v>
      </c>
      <c r="H126" s="828" t="s">
        <v>528</v>
      </c>
      <c r="I126" s="828"/>
      <c r="J126" s="828" t="s">
        <v>507</v>
      </c>
      <c r="K126" s="828"/>
      <c r="L126" s="830">
        <v>44531</v>
      </c>
      <c r="M126" s="831">
        <v>0.08</v>
      </c>
      <c r="N126" s="832"/>
      <c r="O126" s="833"/>
    </row>
    <row r="127" spans="1:15" ht="30" customHeight="1" x14ac:dyDescent="0.25">
      <c r="A127" s="828"/>
      <c r="B127" s="828" t="s">
        <v>1154</v>
      </c>
      <c r="C12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METIN0138-(?)-Níquel</v>
      </c>
      <c r="D127" s="828"/>
      <c r="E127" s="828"/>
      <c r="F127" s="828"/>
      <c r="G127" s="1059" t="s">
        <v>1625</v>
      </c>
      <c r="H127" s="828" t="s">
        <v>529</v>
      </c>
      <c r="I127" s="828"/>
      <c r="J127" s="828" t="s">
        <v>363</v>
      </c>
      <c r="K127" s="828"/>
      <c r="L127" s="830">
        <v>44531</v>
      </c>
      <c r="M127" s="831">
        <v>0.1</v>
      </c>
      <c r="N127" s="832"/>
      <c r="O127" s="833"/>
    </row>
    <row r="128" spans="1:15" ht="30" customHeight="1" x14ac:dyDescent="0.25">
      <c r="A128" s="828"/>
      <c r="B128" s="828" t="s">
        <v>1155</v>
      </c>
      <c r="C12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METIN0139-(?)-Preto</v>
      </c>
      <c r="D128" s="828"/>
      <c r="E128" s="828"/>
      <c r="F128" s="828"/>
      <c r="G128" s="1059" t="s">
        <v>1625</v>
      </c>
      <c r="H128" s="828" t="s">
        <v>530</v>
      </c>
      <c r="I128" s="828"/>
      <c r="J128" s="828" t="s">
        <v>499</v>
      </c>
      <c r="K128" s="828"/>
      <c r="L128" s="830">
        <v>44531</v>
      </c>
      <c r="M128" s="831">
        <v>0.1</v>
      </c>
      <c r="N128" s="832"/>
      <c r="O128" s="833"/>
    </row>
    <row r="129" spans="1:19" ht="30" customHeight="1" x14ac:dyDescent="0.25">
      <c r="A129" s="828"/>
      <c r="B129" s="828" t="s">
        <v>1156</v>
      </c>
      <c r="C12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METIN0140-(?)-Ouro V</v>
      </c>
      <c r="D129" s="828"/>
      <c r="E129" s="828"/>
      <c r="F129" s="828"/>
      <c r="G129" s="1059" t="s">
        <v>1625</v>
      </c>
      <c r="H129" s="828" t="s">
        <v>531</v>
      </c>
      <c r="I129" s="828"/>
      <c r="J129" s="828" t="s">
        <v>507</v>
      </c>
      <c r="K129" s="828"/>
      <c r="L129" s="830">
        <v>44531</v>
      </c>
      <c r="M129" s="831">
        <v>0.05</v>
      </c>
      <c r="N129" s="832"/>
      <c r="O129" s="833"/>
    </row>
    <row r="130" spans="1:19" ht="30" customHeight="1" x14ac:dyDescent="0.25">
      <c r="A130" s="828"/>
      <c r="B130" s="828" t="s">
        <v>1157</v>
      </c>
      <c r="C13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METIN0141-(?)-Ouro</v>
      </c>
      <c r="D130" s="828"/>
      <c r="E130" s="828"/>
      <c r="F130" s="828"/>
      <c r="G130" s="1059" t="s">
        <v>1625</v>
      </c>
      <c r="H130" s="828" t="s">
        <v>532</v>
      </c>
      <c r="I130" s="828"/>
      <c r="J130" s="828" t="s">
        <v>515</v>
      </c>
      <c r="K130" s="828"/>
      <c r="L130" s="830">
        <v>44531</v>
      </c>
      <c r="M130" s="831">
        <v>0.1</v>
      </c>
      <c r="N130" s="832"/>
      <c r="O130" s="833"/>
    </row>
    <row r="131" spans="1:19" ht="30" customHeight="1" x14ac:dyDescent="0.25">
      <c r="A131" s="828"/>
      <c r="B131" s="828" t="s">
        <v>1158</v>
      </c>
      <c r="C13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METIN0142-(?)-Níquel</v>
      </c>
      <c r="D131" s="828" t="s">
        <v>943</v>
      </c>
      <c r="E131" s="829"/>
      <c r="F131" s="829"/>
      <c r="G131" s="1059" t="s">
        <v>1625</v>
      </c>
      <c r="H131" s="829" t="s">
        <v>533</v>
      </c>
      <c r="I131" s="829"/>
      <c r="J131" s="829" t="s">
        <v>363</v>
      </c>
      <c r="K131" s="829"/>
      <c r="L131" s="834">
        <v>44531</v>
      </c>
      <c r="M131" s="835">
        <v>0.05</v>
      </c>
      <c r="N131" s="832"/>
      <c r="O131" s="833"/>
    </row>
    <row r="132" spans="1:19" ht="30" customHeight="1" x14ac:dyDescent="0.25">
      <c r="A132" s="828"/>
      <c r="B132" s="828" t="s">
        <v>1159</v>
      </c>
      <c r="C13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METIN0143-(?)-Ouro V</v>
      </c>
      <c r="D132" s="828" t="s">
        <v>943</v>
      </c>
      <c r="E132" s="828"/>
      <c r="F132" s="828"/>
      <c r="G132" s="1059" t="s">
        <v>1625</v>
      </c>
      <c r="H132" s="828" t="s">
        <v>534</v>
      </c>
      <c r="I132" s="828"/>
      <c r="J132" s="828" t="s">
        <v>507</v>
      </c>
      <c r="K132" s="828"/>
      <c r="L132" s="830">
        <v>44531</v>
      </c>
      <c r="M132" s="831">
        <v>0.05</v>
      </c>
      <c r="N132" s="832"/>
      <c r="O132" s="833"/>
    </row>
    <row r="133" spans="1:19" ht="30" customHeight="1" x14ac:dyDescent="0.25">
      <c r="A133" s="828"/>
      <c r="B133" s="828" t="s">
        <v>1160</v>
      </c>
      <c r="C13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METIN0040-(?)-Preto </v>
      </c>
      <c r="D133" s="828" t="s">
        <v>943</v>
      </c>
      <c r="E133" s="828"/>
      <c r="F133" s="828"/>
      <c r="G133" s="1059" t="s">
        <v>1625</v>
      </c>
      <c r="H133" s="828" t="s">
        <v>535</v>
      </c>
      <c r="I133" s="828"/>
      <c r="J133" s="828" t="s">
        <v>495</v>
      </c>
      <c r="K133" s="828"/>
      <c r="L133" s="830">
        <v>44531</v>
      </c>
      <c r="M133" s="831">
        <v>0.05</v>
      </c>
      <c r="N133" s="832"/>
      <c r="O133" s="833"/>
      <c r="S133" t="s">
        <v>895</v>
      </c>
    </row>
    <row r="134" spans="1:19" ht="30" customHeight="1" x14ac:dyDescent="0.25">
      <c r="A134" s="828"/>
      <c r="B134" s="828" t="s">
        <v>1163</v>
      </c>
      <c r="C13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METIN0144-N.3-(?)</v>
      </c>
      <c r="D134" s="828" t="s">
        <v>1011</v>
      </c>
      <c r="E134" s="829"/>
      <c r="F134" s="829"/>
      <c r="G134" s="1059" t="s">
        <v>1625</v>
      </c>
      <c r="H134" s="829" t="s">
        <v>704</v>
      </c>
      <c r="I134" s="829" t="s">
        <v>705</v>
      </c>
      <c r="J134" s="829"/>
      <c r="K134" s="829"/>
      <c r="L134" s="834">
        <v>44881</v>
      </c>
      <c r="M134" s="835">
        <v>1.0940000000000001</v>
      </c>
      <c r="N134" s="836"/>
      <c r="O134" s="833"/>
      <c r="S134" t="s">
        <v>896</v>
      </c>
    </row>
    <row r="135" spans="1:19" ht="30" customHeight="1" x14ac:dyDescent="0.25">
      <c r="A135" s="828"/>
      <c r="B135" s="828" t="s">
        <v>1164</v>
      </c>
      <c r="C13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METIN0145-(?)-Níquel</v>
      </c>
      <c r="D135" s="828" t="s">
        <v>943</v>
      </c>
      <c r="E135" s="829"/>
      <c r="F135" s="829"/>
      <c r="G135" s="1059" t="s">
        <v>1625</v>
      </c>
      <c r="H135" s="829" t="s">
        <v>536</v>
      </c>
      <c r="I135" s="829"/>
      <c r="J135" s="829" t="s">
        <v>363</v>
      </c>
      <c r="K135" s="829"/>
      <c r="L135" s="834">
        <v>44531</v>
      </c>
      <c r="M135" s="835">
        <v>0.05</v>
      </c>
      <c r="N135" s="832"/>
      <c r="O135" s="833"/>
    </row>
    <row r="136" spans="1:19" ht="30" customHeight="1" x14ac:dyDescent="0.25">
      <c r="A136" s="828"/>
      <c r="B136" s="828" t="s">
        <v>1165</v>
      </c>
      <c r="C13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METIN0146-(?)-Ouro V</v>
      </c>
      <c r="D136" s="828" t="s">
        <v>943</v>
      </c>
      <c r="E136" s="829"/>
      <c r="F136" s="829"/>
      <c r="G136" s="1059" t="s">
        <v>1625</v>
      </c>
      <c r="H136" s="829" t="s">
        <v>537</v>
      </c>
      <c r="I136" s="829"/>
      <c r="J136" s="829" t="s">
        <v>507</v>
      </c>
      <c r="K136" s="829"/>
      <c r="L136" s="834">
        <v>44531</v>
      </c>
      <c r="M136" s="835">
        <v>0.05</v>
      </c>
      <c r="N136" s="836"/>
      <c r="O136" s="833"/>
    </row>
    <row r="137" spans="1:19" ht="30" customHeight="1" x14ac:dyDescent="0.25">
      <c r="A137" s="828"/>
      <c r="B137" s="828" t="s">
        <v>1166</v>
      </c>
      <c r="C13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METIN0250-(?)-Ouro V</v>
      </c>
      <c r="D137" s="828"/>
      <c r="E137" s="829"/>
      <c r="F137" s="829"/>
      <c r="G137" s="1059" t="s">
        <v>1625</v>
      </c>
      <c r="H137" s="829" t="s">
        <v>1167</v>
      </c>
      <c r="I137" s="829"/>
      <c r="J137" s="829" t="s">
        <v>507</v>
      </c>
      <c r="K137" s="829"/>
      <c r="L137" s="834">
        <v>44531</v>
      </c>
      <c r="M137" s="835">
        <v>0.5</v>
      </c>
      <c r="N137" s="836"/>
      <c r="O137" s="833"/>
    </row>
    <row r="138" spans="1:19" ht="30" customHeight="1" x14ac:dyDescent="0.25">
      <c r="A138" s="828"/>
      <c r="B138" s="828" t="s">
        <v>1178</v>
      </c>
      <c r="C13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METIN0149-(?)-Níquel</v>
      </c>
      <c r="D138" s="828" t="s">
        <v>493</v>
      </c>
      <c r="E138" s="828"/>
      <c r="F138" s="828"/>
      <c r="G138" s="1059" t="s">
        <v>1625</v>
      </c>
      <c r="H138" s="828" t="s">
        <v>538</v>
      </c>
      <c r="I138" s="828"/>
      <c r="J138" s="828" t="s">
        <v>363</v>
      </c>
      <c r="K138" s="828"/>
      <c r="L138" s="830">
        <v>44531</v>
      </c>
      <c r="M138" s="831">
        <v>0.28799999999999998</v>
      </c>
      <c r="N138" s="832"/>
      <c r="O138" s="833"/>
    </row>
    <row r="139" spans="1:19" ht="30" customHeight="1" x14ac:dyDescent="0.25">
      <c r="A139" s="828"/>
      <c r="B139" s="828" t="s">
        <v>1179</v>
      </c>
      <c r="C13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METIN0150-(?)-Níquel</v>
      </c>
      <c r="D139" s="829" t="s">
        <v>943</v>
      </c>
      <c r="E139" s="829"/>
      <c r="F139" s="829"/>
      <c r="G139" s="1059" t="s">
        <v>1625</v>
      </c>
      <c r="H139" s="829" t="s">
        <v>1180</v>
      </c>
      <c r="I139" s="829"/>
      <c r="J139" s="829" t="s">
        <v>363</v>
      </c>
      <c r="K139" s="829"/>
      <c r="L139" s="834">
        <v>44985</v>
      </c>
      <c r="M139" s="835">
        <v>0.31</v>
      </c>
      <c r="N139" s="832"/>
      <c r="O139" s="833"/>
    </row>
    <row r="140" spans="1:19" ht="30" customHeight="1" x14ac:dyDescent="0.25">
      <c r="A140" s="828"/>
      <c r="B140" s="828" t="s">
        <v>1181</v>
      </c>
      <c r="C14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METIN0151-(?)-Níquel</v>
      </c>
      <c r="D140" s="828" t="s">
        <v>943</v>
      </c>
      <c r="E140" s="829"/>
      <c r="F140" s="829"/>
      <c r="G140" s="1059" t="s">
        <v>1625</v>
      </c>
      <c r="H140" s="829" t="s">
        <v>1182</v>
      </c>
      <c r="I140" s="829"/>
      <c r="J140" s="829" t="s">
        <v>514</v>
      </c>
      <c r="K140" s="829"/>
      <c r="L140" s="834">
        <v>44985</v>
      </c>
      <c r="M140" s="835">
        <v>0.34499999999999997</v>
      </c>
      <c r="N140" s="832"/>
      <c r="O140" s="833"/>
    </row>
    <row r="141" spans="1:19" ht="30" customHeight="1" x14ac:dyDescent="0.25">
      <c r="A141" s="828"/>
      <c r="B141" s="828" t="s">
        <v>1183</v>
      </c>
      <c r="C14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METIN0152-(?)-Ouro</v>
      </c>
      <c r="D141" s="828" t="s">
        <v>943</v>
      </c>
      <c r="E141" s="829"/>
      <c r="F141" s="829"/>
      <c r="G141" s="1059" t="s">
        <v>1625</v>
      </c>
      <c r="H141" s="829" t="s">
        <v>1184</v>
      </c>
      <c r="I141" s="829"/>
      <c r="J141" s="829" t="s">
        <v>515</v>
      </c>
      <c r="K141" s="829"/>
      <c r="L141" s="834">
        <v>44985</v>
      </c>
      <c r="M141" s="835">
        <v>0.39</v>
      </c>
      <c r="N141" s="832"/>
      <c r="O141" s="833"/>
    </row>
    <row r="142" spans="1:19" ht="30" customHeight="1" x14ac:dyDescent="0.25">
      <c r="A142" s="828"/>
      <c r="B142" s="828" t="s">
        <v>1185</v>
      </c>
      <c r="C14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METIN0153-(?)-Ouro V</v>
      </c>
      <c r="D142" s="829" t="s">
        <v>943</v>
      </c>
      <c r="E142" s="829"/>
      <c r="F142" s="829"/>
      <c r="G142" s="1059" t="s">
        <v>1625</v>
      </c>
      <c r="H142" s="829" t="s">
        <v>1186</v>
      </c>
      <c r="I142" s="829"/>
      <c r="J142" s="829" t="s">
        <v>507</v>
      </c>
      <c r="K142" s="829"/>
      <c r="L142" s="834">
        <v>44985</v>
      </c>
      <c r="M142" s="835">
        <v>0.3</v>
      </c>
      <c r="N142" s="836"/>
      <c r="O142" s="833"/>
    </row>
    <row r="143" spans="1:19" ht="30" customHeight="1" x14ac:dyDescent="0.25">
      <c r="A143" s="828"/>
      <c r="B143" s="828" t="s">
        <v>1187</v>
      </c>
      <c r="C14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METIN0154-(?)-Preto</v>
      </c>
      <c r="D143" s="828" t="s">
        <v>943</v>
      </c>
      <c r="E143" s="829"/>
      <c r="F143" s="829"/>
      <c r="G143" s="1059" t="s">
        <v>1625</v>
      </c>
      <c r="H143" s="829" t="s">
        <v>1188</v>
      </c>
      <c r="I143" s="829"/>
      <c r="J143" s="829" t="s">
        <v>499</v>
      </c>
      <c r="K143" s="829"/>
      <c r="L143" s="834">
        <v>44985</v>
      </c>
      <c r="M143" s="835">
        <v>0.3</v>
      </c>
      <c r="N143" s="832"/>
      <c r="O143" s="833"/>
    </row>
    <row r="144" spans="1:19" ht="30" customHeight="1" x14ac:dyDescent="0.25">
      <c r="A144" s="828"/>
      <c r="B144" s="828" t="s">
        <v>1189</v>
      </c>
      <c r="C14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METIN0155-(?)-Níquel</v>
      </c>
      <c r="D144" s="828" t="s">
        <v>493</v>
      </c>
      <c r="E144" s="829"/>
      <c r="F144" s="829"/>
      <c r="G144" s="1059" t="s">
        <v>1625</v>
      </c>
      <c r="H144" s="829" t="s">
        <v>539</v>
      </c>
      <c r="I144" s="829"/>
      <c r="J144" s="829" t="s">
        <v>363</v>
      </c>
      <c r="K144" s="829"/>
      <c r="L144" s="834">
        <v>44531</v>
      </c>
      <c r="M144" s="835">
        <v>0.1</v>
      </c>
      <c r="N144" s="836"/>
      <c r="O144" s="833"/>
    </row>
    <row r="145" spans="1:15" ht="30" customHeight="1" x14ac:dyDescent="0.25">
      <c r="A145" s="828"/>
      <c r="B145" s="828" t="s">
        <v>1190</v>
      </c>
      <c r="C14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METIN0113-20mm-Dourad</v>
      </c>
      <c r="D145" s="829" t="s">
        <v>943</v>
      </c>
      <c r="E145" s="829"/>
      <c r="F145" s="829"/>
      <c r="G145" s="1059" t="s">
        <v>1625</v>
      </c>
      <c r="H145" s="829" t="s">
        <v>696</v>
      </c>
      <c r="I145" s="829" t="s">
        <v>674</v>
      </c>
      <c r="J145" s="829" t="s">
        <v>441</v>
      </c>
      <c r="K145" s="829"/>
      <c r="L145" s="834">
        <v>44985</v>
      </c>
      <c r="M145" s="835">
        <v>0.45</v>
      </c>
      <c r="N145" s="832"/>
      <c r="O145" s="833"/>
    </row>
    <row r="146" spans="1:15" ht="30" customHeight="1" x14ac:dyDescent="0.25">
      <c r="A146" s="828"/>
      <c r="B146" s="828" t="s">
        <v>1191</v>
      </c>
      <c r="C14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METIN0110-20mm-Grafit</v>
      </c>
      <c r="D146" s="829" t="s">
        <v>943</v>
      </c>
      <c r="E146" s="829"/>
      <c r="F146" s="829"/>
      <c r="G146" s="1059" t="s">
        <v>1625</v>
      </c>
      <c r="H146" s="829" t="s">
        <v>757</v>
      </c>
      <c r="I146" s="829" t="s">
        <v>674</v>
      </c>
      <c r="J146" s="829" t="s">
        <v>541</v>
      </c>
      <c r="K146" s="829"/>
      <c r="L146" s="834">
        <v>44985</v>
      </c>
      <c r="M146" s="835">
        <v>0.39</v>
      </c>
      <c r="N146" s="836"/>
      <c r="O146" s="833"/>
    </row>
    <row r="147" spans="1:15" ht="30" customHeight="1" x14ac:dyDescent="0.25">
      <c r="A147" s="828"/>
      <c r="B147" s="828" t="s">
        <v>1192</v>
      </c>
      <c r="C14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METIN0156-20mm-Prata</v>
      </c>
      <c r="D147" s="828" t="s">
        <v>943</v>
      </c>
      <c r="E147" s="829"/>
      <c r="F147" s="829"/>
      <c r="G147" s="1059" t="s">
        <v>1625</v>
      </c>
      <c r="H147" s="829" t="s">
        <v>697</v>
      </c>
      <c r="I147" s="829" t="s">
        <v>674</v>
      </c>
      <c r="J147" s="829" t="s">
        <v>454</v>
      </c>
      <c r="K147" s="829"/>
      <c r="L147" s="834">
        <v>44985</v>
      </c>
      <c r="M147" s="835">
        <v>0.36</v>
      </c>
      <c r="N147" s="836"/>
      <c r="O147" s="833"/>
    </row>
    <row r="148" spans="1:15" ht="30" customHeight="1" x14ac:dyDescent="0.25">
      <c r="A148" s="828"/>
      <c r="B148" s="828" t="s">
        <v>1193</v>
      </c>
      <c r="C14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METIN0157-(?)-Ouro V</v>
      </c>
      <c r="D148" s="828" t="s">
        <v>493</v>
      </c>
      <c r="E148" s="829"/>
      <c r="F148" s="829"/>
      <c r="G148" s="1059" t="s">
        <v>1625</v>
      </c>
      <c r="H148" s="829" t="s">
        <v>540</v>
      </c>
      <c r="I148" s="829"/>
      <c r="J148" s="829" t="s">
        <v>507</v>
      </c>
      <c r="K148" s="829"/>
      <c r="L148" s="834">
        <v>44531</v>
      </c>
      <c r="M148" s="835">
        <v>0.28799999999999998</v>
      </c>
      <c r="N148" s="832"/>
      <c r="O148" s="833"/>
    </row>
    <row r="149" spans="1:15" ht="30" customHeight="1" x14ac:dyDescent="0.25">
      <c r="A149" s="828"/>
      <c r="B149" s="828" t="s">
        <v>1194</v>
      </c>
      <c r="C14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METIN0158-(?)-Ouro</v>
      </c>
      <c r="D149" s="828" t="s">
        <v>943</v>
      </c>
      <c r="E149" s="829"/>
      <c r="F149" s="829"/>
      <c r="G149" s="1059" t="s">
        <v>1625</v>
      </c>
      <c r="H149" s="829" t="s">
        <v>1195</v>
      </c>
      <c r="I149" s="829"/>
      <c r="J149" s="829" t="s">
        <v>515</v>
      </c>
      <c r="K149" s="829"/>
      <c r="L149" s="834">
        <v>44531</v>
      </c>
      <c r="M149" s="835">
        <v>0.5</v>
      </c>
      <c r="N149" s="836"/>
      <c r="O149" s="833"/>
    </row>
    <row r="150" spans="1:15" ht="30" customHeight="1" x14ac:dyDescent="0.25">
      <c r="A150" s="828"/>
      <c r="B150" s="828" t="s">
        <v>1196</v>
      </c>
      <c r="C15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METIN0159-(?)-Grafit</v>
      </c>
      <c r="D150" s="828"/>
      <c r="E150" s="829"/>
      <c r="F150" s="829"/>
      <c r="G150" s="1059" t="s">
        <v>1625</v>
      </c>
      <c r="H150" s="829" t="s">
        <v>1197</v>
      </c>
      <c r="I150" s="829"/>
      <c r="J150" s="829" t="s">
        <v>541</v>
      </c>
      <c r="K150" s="829"/>
      <c r="L150" s="834">
        <v>44531</v>
      </c>
      <c r="M150" s="835">
        <v>0.2</v>
      </c>
      <c r="N150" s="832"/>
      <c r="O150" s="833"/>
    </row>
    <row r="151" spans="1:15" ht="30" customHeight="1" x14ac:dyDescent="0.25">
      <c r="A151" s="828"/>
      <c r="B151" s="828" t="s">
        <v>1198</v>
      </c>
      <c r="C15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METIN0066-30mm-Dourad</v>
      </c>
      <c r="D151" s="829" t="s">
        <v>943</v>
      </c>
      <c r="E151" s="829"/>
      <c r="F151" s="829"/>
      <c r="G151" s="1059" t="s">
        <v>1625</v>
      </c>
      <c r="H151" s="829" t="s">
        <v>698</v>
      </c>
      <c r="I151" s="829" t="s">
        <v>404</v>
      </c>
      <c r="J151" s="829" t="s">
        <v>441</v>
      </c>
      <c r="K151" s="829"/>
      <c r="L151" s="834">
        <v>44985</v>
      </c>
      <c r="M151" s="835">
        <v>3.51</v>
      </c>
      <c r="N151" s="832"/>
      <c r="O151" s="833"/>
    </row>
    <row r="152" spans="1:15" ht="30" customHeight="1" x14ac:dyDescent="0.25">
      <c r="A152" s="828"/>
      <c r="B152" s="828" t="s">
        <v>1199</v>
      </c>
      <c r="C15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METIN0236-30mm-Prata</v>
      </c>
      <c r="D152" s="828" t="s">
        <v>943</v>
      </c>
      <c r="E152" s="829"/>
      <c r="F152" s="829"/>
      <c r="G152" s="1059" t="s">
        <v>1625</v>
      </c>
      <c r="H152" s="829" t="s">
        <v>699</v>
      </c>
      <c r="I152" s="829" t="s">
        <v>404</v>
      </c>
      <c r="J152" s="829" t="s">
        <v>454</v>
      </c>
      <c r="K152" s="829"/>
      <c r="L152" s="834">
        <v>44985</v>
      </c>
      <c r="M152" s="835">
        <v>2.76</v>
      </c>
      <c r="N152" s="832"/>
      <c r="O152" s="833"/>
    </row>
    <row r="153" spans="1:15" ht="30" customHeight="1" x14ac:dyDescent="0.25">
      <c r="A153" s="828"/>
      <c r="B153" s="828" t="s">
        <v>1202</v>
      </c>
      <c r="C15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METIN0315-41mm-Dourad</v>
      </c>
      <c r="D153" s="829" t="s">
        <v>943</v>
      </c>
      <c r="E153" s="829"/>
      <c r="F153" s="829"/>
      <c r="G153" s="1059" t="s">
        <v>1625</v>
      </c>
      <c r="H153" s="829" t="s">
        <v>822</v>
      </c>
      <c r="I153" s="829" t="s">
        <v>809</v>
      </c>
      <c r="J153" s="829" t="s">
        <v>441</v>
      </c>
      <c r="K153" s="829"/>
      <c r="L153" s="834">
        <v>45029</v>
      </c>
      <c r="M153" s="835">
        <v>2.4900000000000002</v>
      </c>
      <c r="N153" s="832"/>
      <c r="O153" s="833"/>
    </row>
    <row r="154" spans="1:15" ht="30" customHeight="1" x14ac:dyDescent="0.25">
      <c r="A154" s="828"/>
      <c r="B154" s="828" t="s">
        <v>1203</v>
      </c>
      <c r="C15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METIN0316-41mm-Prata</v>
      </c>
      <c r="D154" s="828" t="s">
        <v>943</v>
      </c>
      <c r="E154" s="829"/>
      <c r="F154" s="829"/>
      <c r="G154" s="1059" t="s">
        <v>1625</v>
      </c>
      <c r="H154" s="829" t="s">
        <v>823</v>
      </c>
      <c r="I154" s="829" t="s">
        <v>809</v>
      </c>
      <c r="J154" s="829" t="s">
        <v>454</v>
      </c>
      <c r="K154" s="829"/>
      <c r="L154" s="834">
        <v>45029</v>
      </c>
      <c r="M154" s="835">
        <v>2.4900000000000002</v>
      </c>
      <c r="N154" s="836"/>
      <c r="O154" s="833"/>
    </row>
    <row r="155" spans="1:15" ht="30" customHeight="1" x14ac:dyDescent="0.25">
      <c r="A155" s="828"/>
      <c r="B155" s="828" t="s">
        <v>1204</v>
      </c>
      <c r="C15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METIN0317-20mm-Dourad</v>
      </c>
      <c r="D155" s="828" t="s">
        <v>943</v>
      </c>
      <c r="E155" s="829"/>
      <c r="F155" s="829"/>
      <c r="G155" s="1059" t="s">
        <v>1625</v>
      </c>
      <c r="H155" s="829" t="s">
        <v>810</v>
      </c>
      <c r="I155" s="829" t="s">
        <v>674</v>
      </c>
      <c r="J155" s="829" t="s">
        <v>441</v>
      </c>
      <c r="K155" s="829"/>
      <c r="L155" s="834">
        <v>45034</v>
      </c>
      <c r="M155" s="837">
        <v>6.58</v>
      </c>
      <c r="N155" s="832"/>
      <c r="O155" s="833"/>
    </row>
    <row r="156" spans="1:15" ht="30" customHeight="1" x14ac:dyDescent="0.25">
      <c r="A156" s="828"/>
      <c r="B156" s="828" t="s">
        <v>1205</v>
      </c>
      <c r="C15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METIN0319-20mm-Grafit</v>
      </c>
      <c r="D156" s="829" t="s">
        <v>943</v>
      </c>
      <c r="E156" s="829"/>
      <c r="F156" s="829"/>
      <c r="G156" s="1059" t="s">
        <v>1625</v>
      </c>
      <c r="H156" s="829" t="s">
        <v>811</v>
      </c>
      <c r="I156" s="829" t="s">
        <v>674</v>
      </c>
      <c r="J156" s="829" t="s">
        <v>541</v>
      </c>
      <c r="K156" s="829"/>
      <c r="L156" s="834">
        <v>45034</v>
      </c>
      <c r="M156" s="835">
        <v>5.64</v>
      </c>
      <c r="N156" s="832"/>
      <c r="O156" s="833"/>
    </row>
    <row r="157" spans="1:15" ht="30" customHeight="1" x14ac:dyDescent="0.25">
      <c r="A157" s="828"/>
      <c r="B157" s="828" t="s">
        <v>1206</v>
      </c>
      <c r="C15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METIN0318-20mm-Níquel</v>
      </c>
      <c r="D157" s="829" t="s">
        <v>943</v>
      </c>
      <c r="E157" s="829"/>
      <c r="F157" s="829"/>
      <c r="G157" s="1059" t="s">
        <v>1625</v>
      </c>
      <c r="H157" s="829" t="s">
        <v>812</v>
      </c>
      <c r="I157" s="829" t="s">
        <v>674</v>
      </c>
      <c r="J157" s="829" t="s">
        <v>363</v>
      </c>
      <c r="K157" s="829"/>
      <c r="L157" s="834">
        <v>45034</v>
      </c>
      <c r="M157" s="835">
        <v>5.19</v>
      </c>
      <c r="N157" s="832" t="s">
        <v>365</v>
      </c>
      <c r="O157" s="833"/>
    </row>
    <row r="158" spans="1:15" ht="30" customHeight="1" x14ac:dyDescent="0.25">
      <c r="A158" s="828"/>
      <c r="B158" s="828" t="s">
        <v>1207</v>
      </c>
      <c r="C15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METIN0313-25mm-Dourad</v>
      </c>
      <c r="D158" s="829" t="s">
        <v>943</v>
      </c>
      <c r="E158" s="829"/>
      <c r="F158" s="829"/>
      <c r="G158" s="1059" t="s">
        <v>1625</v>
      </c>
      <c r="H158" s="829" t="s">
        <v>1208</v>
      </c>
      <c r="I158" s="829" t="s">
        <v>675</v>
      </c>
      <c r="J158" s="829" t="s">
        <v>441</v>
      </c>
      <c r="K158" s="829"/>
      <c r="L158" s="834">
        <v>44992</v>
      </c>
      <c r="M158" s="835">
        <v>7</v>
      </c>
      <c r="N158" s="832"/>
      <c r="O158" s="833"/>
    </row>
    <row r="159" spans="1:15" ht="30" customHeight="1" x14ac:dyDescent="0.25">
      <c r="A159" s="828"/>
      <c r="B159" s="828" t="s">
        <v>1209</v>
      </c>
      <c r="C15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METIN0311-25mm-Dourad</v>
      </c>
      <c r="D159" s="829" t="s">
        <v>943</v>
      </c>
      <c r="E159" s="829"/>
      <c r="F159" s="829"/>
      <c r="G159" s="1059" t="s">
        <v>1625</v>
      </c>
      <c r="H159" s="829" t="s">
        <v>758</v>
      </c>
      <c r="I159" s="829" t="s">
        <v>675</v>
      </c>
      <c r="J159" s="829" t="s">
        <v>441</v>
      </c>
      <c r="K159" s="829"/>
      <c r="L159" s="834">
        <v>44992</v>
      </c>
      <c r="M159" s="835">
        <v>5.79</v>
      </c>
      <c r="N159" s="832"/>
      <c r="O159" s="833"/>
    </row>
    <row r="160" spans="1:15" ht="30" customHeight="1" x14ac:dyDescent="0.25">
      <c r="A160" s="828"/>
      <c r="B160" s="828" t="s">
        <v>1210</v>
      </c>
      <c r="C16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METIN0314-25mm-Prata</v>
      </c>
      <c r="D160" s="829" t="s">
        <v>943</v>
      </c>
      <c r="E160" s="829"/>
      <c r="F160" s="829"/>
      <c r="G160" s="1059" t="s">
        <v>1625</v>
      </c>
      <c r="H160" s="829" t="s">
        <v>759</v>
      </c>
      <c r="I160" s="829" t="s">
        <v>675</v>
      </c>
      <c r="J160" s="829" t="s">
        <v>454</v>
      </c>
      <c r="K160" s="829"/>
      <c r="L160" s="834">
        <v>44992</v>
      </c>
      <c r="M160" s="835">
        <v>5.5</v>
      </c>
      <c r="N160" s="832"/>
      <c r="O160" s="833"/>
    </row>
    <row r="161" spans="1:15" ht="30" customHeight="1" x14ac:dyDescent="0.25">
      <c r="A161" s="828"/>
      <c r="B161" s="828" t="s">
        <v>1211</v>
      </c>
      <c r="C16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METIN0312-25mm-Prata</v>
      </c>
      <c r="D161" s="828" t="s">
        <v>943</v>
      </c>
      <c r="E161" s="829"/>
      <c r="F161" s="829"/>
      <c r="G161" s="1059" t="s">
        <v>1625</v>
      </c>
      <c r="H161" s="829" t="s">
        <v>760</v>
      </c>
      <c r="I161" s="829" t="s">
        <v>675</v>
      </c>
      <c r="J161" s="829" t="s">
        <v>454</v>
      </c>
      <c r="K161" s="829"/>
      <c r="L161" s="834">
        <v>44992</v>
      </c>
      <c r="M161" s="835">
        <v>4.55</v>
      </c>
      <c r="N161" s="832"/>
      <c r="O161" s="833"/>
    </row>
    <row r="162" spans="1:15" ht="30" customHeight="1" x14ac:dyDescent="0.25">
      <c r="A162" s="828"/>
      <c r="B162" s="828" t="s">
        <v>1202</v>
      </c>
      <c r="C16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METIN0315-25mm-Grafit</v>
      </c>
      <c r="D162" s="828" t="s">
        <v>943</v>
      </c>
      <c r="E162" s="829"/>
      <c r="F162" s="829"/>
      <c r="G162" s="1059" t="s">
        <v>1625</v>
      </c>
      <c r="H162" s="829" t="s">
        <v>760</v>
      </c>
      <c r="I162" s="829" t="s">
        <v>675</v>
      </c>
      <c r="J162" s="829" t="s">
        <v>541</v>
      </c>
      <c r="K162" s="829"/>
      <c r="L162" s="834">
        <v>44992</v>
      </c>
      <c r="M162" s="835">
        <v>4.97</v>
      </c>
      <c r="N162" s="832"/>
      <c r="O162" s="833"/>
    </row>
    <row r="163" spans="1:15" ht="30" customHeight="1" x14ac:dyDescent="0.25">
      <c r="A163" s="828"/>
      <c r="B163" s="828" t="s">
        <v>1212</v>
      </c>
      <c r="C16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METIN0287-30mm-Dourad</v>
      </c>
      <c r="D163" s="828" t="s">
        <v>943</v>
      </c>
      <c r="E163" s="829"/>
      <c r="F163" s="829"/>
      <c r="G163" s="1059" t="s">
        <v>1625</v>
      </c>
      <c r="H163" s="829" t="s">
        <v>1213</v>
      </c>
      <c r="I163" s="829" t="s">
        <v>404</v>
      </c>
      <c r="J163" s="829" t="s">
        <v>441</v>
      </c>
      <c r="K163" s="829"/>
      <c r="L163" s="834">
        <v>44992</v>
      </c>
      <c r="M163" s="835">
        <v>7.36</v>
      </c>
      <c r="N163" s="836"/>
      <c r="O163" s="833"/>
    </row>
    <row r="164" spans="1:15" ht="30" customHeight="1" x14ac:dyDescent="0.25">
      <c r="A164" s="828"/>
      <c r="B164" s="828" t="s">
        <v>1214</v>
      </c>
      <c r="C16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METIN0309-30mm-Dourad</v>
      </c>
      <c r="D164" s="828" t="s">
        <v>943</v>
      </c>
      <c r="E164" s="829"/>
      <c r="F164" s="829"/>
      <c r="G164" s="1059" t="s">
        <v>1625</v>
      </c>
      <c r="H164" s="829" t="s">
        <v>761</v>
      </c>
      <c r="I164" s="829" t="s">
        <v>404</v>
      </c>
      <c r="J164" s="829" t="s">
        <v>441</v>
      </c>
      <c r="K164" s="829"/>
      <c r="L164" s="834">
        <v>44992</v>
      </c>
      <c r="M164" s="835">
        <v>5.79</v>
      </c>
      <c r="N164" s="832"/>
      <c r="O164" s="833"/>
    </row>
    <row r="165" spans="1:15" ht="30" customHeight="1" x14ac:dyDescent="0.25">
      <c r="A165" s="828"/>
      <c r="B165" s="828" t="s">
        <v>1215</v>
      </c>
      <c r="C16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METIN0160-30mm-Prata</v>
      </c>
      <c r="D165" s="828" t="s">
        <v>943</v>
      </c>
      <c r="E165" s="829"/>
      <c r="F165" s="829"/>
      <c r="G165" s="1059" t="s">
        <v>1625</v>
      </c>
      <c r="H165" s="829" t="s">
        <v>762</v>
      </c>
      <c r="I165" s="829" t="s">
        <v>404</v>
      </c>
      <c r="J165" s="829" t="s">
        <v>454</v>
      </c>
      <c r="K165" s="829"/>
      <c r="L165" s="834">
        <v>44992</v>
      </c>
      <c r="M165" s="835">
        <v>5.78</v>
      </c>
      <c r="N165" s="836"/>
      <c r="O165" s="833"/>
    </row>
    <row r="166" spans="1:15" ht="30" customHeight="1" x14ac:dyDescent="0.25">
      <c r="A166" s="828"/>
      <c r="B166" s="828" t="s">
        <v>1216</v>
      </c>
      <c r="C16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METIN0310-30mm-Prata</v>
      </c>
      <c r="D166" s="828" t="s">
        <v>943</v>
      </c>
      <c r="E166" s="829"/>
      <c r="F166" s="829"/>
      <c r="G166" s="1059" t="s">
        <v>1625</v>
      </c>
      <c r="H166" s="829" t="s">
        <v>763</v>
      </c>
      <c r="I166" s="829" t="s">
        <v>404</v>
      </c>
      <c r="J166" s="829" t="s">
        <v>454</v>
      </c>
      <c r="K166" s="829"/>
      <c r="L166" s="834">
        <v>44992</v>
      </c>
      <c r="M166" s="835">
        <v>4.55</v>
      </c>
      <c r="N166" s="832"/>
      <c r="O166" s="833"/>
    </row>
    <row r="167" spans="1:15" ht="30" customHeight="1" x14ac:dyDescent="0.25">
      <c r="A167" s="828"/>
      <c r="B167" s="828" t="s">
        <v>1217</v>
      </c>
      <c r="C16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METIN0161-30mm-Ouro V</v>
      </c>
      <c r="D167" s="828" t="s">
        <v>493</v>
      </c>
      <c r="E167" s="828"/>
      <c r="F167" s="828"/>
      <c r="G167" s="1059" t="s">
        <v>1625</v>
      </c>
      <c r="H167" s="828" t="s">
        <v>542</v>
      </c>
      <c r="I167" s="828" t="s">
        <v>404</v>
      </c>
      <c r="J167" s="828" t="s">
        <v>507</v>
      </c>
      <c r="K167" s="828"/>
      <c r="L167" s="830">
        <v>44531</v>
      </c>
      <c r="M167" s="831">
        <v>2.4</v>
      </c>
      <c r="N167" s="832" t="s">
        <v>365</v>
      </c>
      <c r="O167" s="833"/>
    </row>
    <row r="168" spans="1:15" ht="30" customHeight="1" x14ac:dyDescent="0.25">
      <c r="A168" s="828"/>
      <c r="B168" s="828" t="s">
        <v>1218</v>
      </c>
      <c r="C16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METIN0162-30mm-Níquel</v>
      </c>
      <c r="D168" s="828" t="s">
        <v>493</v>
      </c>
      <c r="E168" s="828"/>
      <c r="F168" s="828"/>
      <c r="G168" s="1059" t="s">
        <v>1625</v>
      </c>
      <c r="H168" s="828" t="s">
        <v>543</v>
      </c>
      <c r="I168" s="828" t="s">
        <v>404</v>
      </c>
      <c r="J168" s="828" t="s">
        <v>363</v>
      </c>
      <c r="K168" s="828"/>
      <c r="L168" s="830">
        <v>44531</v>
      </c>
      <c r="M168" s="831">
        <v>1.962</v>
      </c>
      <c r="N168" s="832"/>
      <c r="O168" s="833"/>
    </row>
    <row r="169" spans="1:15" ht="30" customHeight="1" x14ac:dyDescent="0.25">
      <c r="A169" s="828"/>
      <c r="B169" s="828" t="s">
        <v>1220</v>
      </c>
      <c r="C16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METIN0343-10mm-Níquel</v>
      </c>
      <c r="D169" s="828" t="s">
        <v>493</v>
      </c>
      <c r="E169" s="828"/>
      <c r="F169" s="828"/>
      <c r="G169" s="1059" t="s">
        <v>1625</v>
      </c>
      <c r="H169" s="828" t="s">
        <v>544</v>
      </c>
      <c r="I169" s="828" t="s">
        <v>676</v>
      </c>
      <c r="J169" s="828" t="s">
        <v>363</v>
      </c>
      <c r="K169" s="828"/>
      <c r="L169" s="830">
        <v>44774</v>
      </c>
      <c r="M169" s="831">
        <v>0.44</v>
      </c>
      <c r="N169" s="832"/>
      <c r="O169" s="833"/>
    </row>
    <row r="170" spans="1:15" ht="30" customHeight="1" x14ac:dyDescent="0.25">
      <c r="A170" s="828"/>
      <c r="B170" s="828" t="s">
        <v>1219</v>
      </c>
      <c r="C17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METIN0207-10mm-Níquel</v>
      </c>
      <c r="D170" s="828" t="s">
        <v>493</v>
      </c>
      <c r="E170" s="828"/>
      <c r="F170" s="828"/>
      <c r="G170" s="1059" t="s">
        <v>1625</v>
      </c>
      <c r="H170" s="828" t="s">
        <v>544</v>
      </c>
      <c r="I170" s="828" t="s">
        <v>676</v>
      </c>
      <c r="J170" s="828" t="s">
        <v>363</v>
      </c>
      <c r="K170" s="828"/>
      <c r="L170" s="830">
        <v>44531</v>
      </c>
      <c r="M170" s="831">
        <v>0.44</v>
      </c>
      <c r="N170" s="832"/>
      <c r="O170" s="833"/>
    </row>
    <row r="171" spans="1:15" ht="30" customHeight="1" x14ac:dyDescent="0.25">
      <c r="A171" s="828"/>
      <c r="B171" s="828" t="s">
        <v>1224</v>
      </c>
      <c r="C17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METIN0164-30mm-Ouro V</v>
      </c>
      <c r="D171" s="828" t="s">
        <v>943</v>
      </c>
      <c r="E171" s="828"/>
      <c r="F171" s="828"/>
      <c r="G171" s="1059" t="s">
        <v>1625</v>
      </c>
      <c r="H171" s="828" t="s">
        <v>1225</v>
      </c>
      <c r="I171" s="828" t="s">
        <v>404</v>
      </c>
      <c r="J171" s="828" t="s">
        <v>507</v>
      </c>
      <c r="K171" s="828"/>
      <c r="L171" s="830">
        <v>44531</v>
      </c>
      <c r="M171" s="831">
        <v>3.5</v>
      </c>
      <c r="N171" s="832"/>
      <c r="O171" s="833"/>
    </row>
    <row r="172" spans="1:15" ht="30" customHeight="1" x14ac:dyDescent="0.25">
      <c r="A172" s="828"/>
      <c r="B172" s="828" t="s">
        <v>1226</v>
      </c>
      <c r="C17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METIN0165-20mm-Níquel</v>
      </c>
      <c r="D172" s="828"/>
      <c r="E172" s="828"/>
      <c r="F172" s="828"/>
      <c r="G172" s="1059" t="s">
        <v>1625</v>
      </c>
      <c r="H172" s="828" t="s">
        <v>1227</v>
      </c>
      <c r="I172" s="828" t="s">
        <v>674</v>
      </c>
      <c r="J172" s="828" t="s">
        <v>363</v>
      </c>
      <c r="K172" s="828"/>
      <c r="L172" s="830">
        <v>44531</v>
      </c>
      <c r="M172" s="831">
        <v>2.5</v>
      </c>
      <c r="N172" s="832"/>
      <c r="O172" s="833"/>
    </row>
    <row r="173" spans="1:15" ht="30" customHeight="1" x14ac:dyDescent="0.25">
      <c r="A173" s="828"/>
      <c r="B173" s="828" t="s">
        <v>1228</v>
      </c>
      <c r="C17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METIN0166-30mm-Níquel</v>
      </c>
      <c r="D173" s="828" t="s">
        <v>943</v>
      </c>
      <c r="E173" s="828"/>
      <c r="F173" s="828"/>
      <c r="G173" s="1059" t="s">
        <v>1625</v>
      </c>
      <c r="H173" s="828" t="s">
        <v>1229</v>
      </c>
      <c r="I173" s="828" t="s">
        <v>404</v>
      </c>
      <c r="J173" s="828" t="s">
        <v>363</v>
      </c>
      <c r="K173" s="828"/>
      <c r="L173" s="830">
        <v>44531</v>
      </c>
      <c r="M173" s="831">
        <v>3.5</v>
      </c>
      <c r="N173" s="832"/>
      <c r="O173" s="833"/>
    </row>
    <row r="174" spans="1:15" ht="30" customHeight="1" x14ac:dyDescent="0.25">
      <c r="A174" s="828"/>
      <c r="B174" s="828" t="s">
        <v>1230</v>
      </c>
      <c r="C17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METIN0167-30mm-Ouro</v>
      </c>
      <c r="D174" s="828" t="s">
        <v>943</v>
      </c>
      <c r="E174" s="829"/>
      <c r="F174" s="829"/>
      <c r="G174" s="1059" t="s">
        <v>1625</v>
      </c>
      <c r="H174" s="829" t="s">
        <v>1231</v>
      </c>
      <c r="I174" s="829" t="s">
        <v>404</v>
      </c>
      <c r="J174" s="829" t="s">
        <v>515</v>
      </c>
      <c r="K174" s="829"/>
      <c r="L174" s="834">
        <v>44531</v>
      </c>
      <c r="M174" s="835">
        <v>3.5</v>
      </c>
      <c r="N174" s="832"/>
      <c r="O174" s="841"/>
    </row>
    <row r="175" spans="1:15" ht="30" customHeight="1" x14ac:dyDescent="0.25">
      <c r="A175" s="828"/>
      <c r="B175" s="828" t="s">
        <v>1232</v>
      </c>
      <c r="C17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METIN0168-(?)-Níquel</v>
      </c>
      <c r="D175" s="828"/>
      <c r="E175" s="829"/>
      <c r="F175" s="829"/>
      <c r="G175" s="1059" t="s">
        <v>1625</v>
      </c>
      <c r="H175" s="829" t="s">
        <v>1233</v>
      </c>
      <c r="I175" s="829"/>
      <c r="J175" s="829" t="s">
        <v>363</v>
      </c>
      <c r="K175" s="829"/>
      <c r="L175" s="834">
        <v>44531</v>
      </c>
      <c r="M175" s="835">
        <v>2</v>
      </c>
      <c r="N175" s="832"/>
      <c r="O175" s="833"/>
    </row>
    <row r="176" spans="1:15" ht="30" customHeight="1" x14ac:dyDescent="0.25">
      <c r="A176" s="828"/>
      <c r="B176" s="828" t="s">
        <v>1234</v>
      </c>
      <c r="C17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METIN0169-(?)-Níquel</v>
      </c>
      <c r="D176" s="828" t="s">
        <v>943</v>
      </c>
      <c r="E176" s="829"/>
      <c r="F176" s="829"/>
      <c r="G176" s="1059" t="s">
        <v>1625</v>
      </c>
      <c r="H176" s="829" t="s">
        <v>1235</v>
      </c>
      <c r="I176" s="829"/>
      <c r="J176" s="829" t="s">
        <v>363</v>
      </c>
      <c r="K176" s="829"/>
      <c r="L176" s="834">
        <v>44531</v>
      </c>
      <c r="M176" s="835">
        <v>2.2000000000000002</v>
      </c>
      <c r="N176" s="832"/>
      <c r="O176" s="833"/>
    </row>
    <row r="177" spans="1:15" ht="30" customHeight="1" x14ac:dyDescent="0.25">
      <c r="A177" s="828"/>
      <c r="B177" s="828" t="s">
        <v>1236</v>
      </c>
      <c r="C17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METIN0170-(?)-Ouro</v>
      </c>
      <c r="D177" s="828" t="s">
        <v>943</v>
      </c>
      <c r="E177" s="829"/>
      <c r="F177" s="829"/>
      <c r="G177" s="1059" t="s">
        <v>1625</v>
      </c>
      <c r="H177" s="829" t="s">
        <v>1237</v>
      </c>
      <c r="I177" s="829"/>
      <c r="J177" s="829" t="s">
        <v>515</v>
      </c>
      <c r="K177" s="829"/>
      <c r="L177" s="834">
        <v>44531</v>
      </c>
      <c r="M177" s="835">
        <v>1.4</v>
      </c>
      <c r="N177" s="832"/>
      <c r="O177" s="833"/>
    </row>
    <row r="178" spans="1:15" ht="30" customHeight="1" x14ac:dyDescent="0.25">
      <c r="A178" s="828"/>
      <c r="B178" s="828" t="s">
        <v>1238</v>
      </c>
      <c r="C17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METIN0208-(?)-Ouro V</v>
      </c>
      <c r="D178" s="828" t="s">
        <v>943</v>
      </c>
      <c r="E178" s="829"/>
      <c r="F178" s="829"/>
      <c r="G178" s="1059" t="s">
        <v>1625</v>
      </c>
      <c r="H178" s="829" t="s">
        <v>1239</v>
      </c>
      <c r="I178" s="829"/>
      <c r="J178" s="829" t="s">
        <v>507</v>
      </c>
      <c r="K178" s="829"/>
      <c r="L178" s="834">
        <v>44531</v>
      </c>
      <c r="M178" s="835">
        <v>1.4</v>
      </c>
      <c r="N178" s="832"/>
      <c r="O178" s="833"/>
    </row>
    <row r="179" spans="1:15" ht="30" customHeight="1" x14ac:dyDescent="0.25">
      <c r="A179" s="828"/>
      <c r="B179" s="828" t="s">
        <v>1248</v>
      </c>
      <c r="C17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METIN0243-(?)-Níquel</v>
      </c>
      <c r="D179" s="828"/>
      <c r="E179" s="829"/>
      <c r="F179" s="829"/>
      <c r="G179" s="1059" t="s">
        <v>1625</v>
      </c>
      <c r="H179" s="829" t="s">
        <v>1249</v>
      </c>
      <c r="I179" s="829"/>
      <c r="J179" s="829" t="s">
        <v>363</v>
      </c>
      <c r="K179" s="829"/>
      <c r="L179" s="834">
        <v>44531</v>
      </c>
      <c r="M179" s="835">
        <v>0.05</v>
      </c>
      <c r="N179" s="836"/>
      <c r="O179" s="833"/>
    </row>
    <row r="180" spans="1:15" ht="30" customHeight="1" x14ac:dyDescent="0.25">
      <c r="A180" s="828"/>
      <c r="B180" s="828" t="s">
        <v>1294</v>
      </c>
      <c r="C18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METIN0173-(?)-Níquel</v>
      </c>
      <c r="D180" s="828"/>
      <c r="E180" s="829"/>
      <c r="F180" s="829"/>
      <c r="G180" s="1059" t="s">
        <v>1625</v>
      </c>
      <c r="H180" s="829" t="s">
        <v>1295</v>
      </c>
      <c r="I180" s="829"/>
      <c r="J180" s="829" t="s">
        <v>363</v>
      </c>
      <c r="K180" s="829"/>
      <c r="L180" s="834">
        <v>44531</v>
      </c>
      <c r="M180" s="835">
        <v>0.05</v>
      </c>
      <c r="N180" s="832"/>
      <c r="O180" s="833"/>
    </row>
    <row r="181" spans="1:15" ht="30" customHeight="1" x14ac:dyDescent="0.25">
      <c r="A181" s="828"/>
      <c r="B181" s="828" t="s">
        <v>1296</v>
      </c>
      <c r="C18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METIN0174-(?)-Níquel</v>
      </c>
      <c r="D181" s="828"/>
      <c r="E181" s="828"/>
      <c r="F181" s="828"/>
      <c r="G181" s="1059" t="s">
        <v>1625</v>
      </c>
      <c r="H181" s="828" t="s">
        <v>1297</v>
      </c>
      <c r="I181" s="828"/>
      <c r="J181" s="828" t="s">
        <v>363</v>
      </c>
      <c r="K181" s="828"/>
      <c r="L181" s="830">
        <v>44531</v>
      </c>
      <c r="M181" s="831">
        <v>0.05</v>
      </c>
      <c r="N181" s="832"/>
      <c r="O181" s="833"/>
    </row>
    <row r="182" spans="1:15" ht="30" customHeight="1" x14ac:dyDescent="0.25">
      <c r="A182" s="828"/>
      <c r="B182" s="828" t="s">
        <v>1298</v>
      </c>
      <c r="C18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METIN0175-(?)-Níquel</v>
      </c>
      <c r="D182" s="828"/>
      <c r="E182" s="829"/>
      <c r="F182" s="829"/>
      <c r="G182" s="1059" t="s">
        <v>1625</v>
      </c>
      <c r="H182" s="829" t="s">
        <v>1299</v>
      </c>
      <c r="I182" s="829"/>
      <c r="J182" s="829" t="s">
        <v>363</v>
      </c>
      <c r="K182" s="829"/>
      <c r="L182" s="834">
        <v>44531</v>
      </c>
      <c r="M182" s="835">
        <v>0.15</v>
      </c>
      <c r="N182" s="832"/>
      <c r="O182" s="833"/>
    </row>
    <row r="183" spans="1:15" ht="30" customHeight="1" x14ac:dyDescent="0.25">
      <c r="A183" s="828"/>
      <c r="B183" s="828" t="s">
        <v>1300</v>
      </c>
      <c r="C18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METIN0176-(?)-Níquel</v>
      </c>
      <c r="D183" s="828"/>
      <c r="E183" s="829"/>
      <c r="F183" s="829"/>
      <c r="G183" s="1059" t="s">
        <v>1625</v>
      </c>
      <c r="H183" s="829" t="s">
        <v>1301</v>
      </c>
      <c r="I183" s="829"/>
      <c r="J183" s="829" t="s">
        <v>363</v>
      </c>
      <c r="K183" s="829"/>
      <c r="L183" s="834">
        <v>44531</v>
      </c>
      <c r="M183" s="835">
        <v>0.15</v>
      </c>
      <c r="N183" s="836"/>
      <c r="O183" s="833"/>
    </row>
    <row r="184" spans="1:15" ht="30" customHeight="1" x14ac:dyDescent="0.25">
      <c r="A184" s="828"/>
      <c r="B184" s="828" t="s">
        <v>1302</v>
      </c>
      <c r="C18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METIN0177-(?)-Ouro</v>
      </c>
      <c r="D184" s="828" t="s">
        <v>943</v>
      </c>
      <c r="E184" s="829"/>
      <c r="F184" s="829"/>
      <c r="G184" s="1059" t="s">
        <v>1625</v>
      </c>
      <c r="H184" s="829" t="s">
        <v>1303</v>
      </c>
      <c r="I184" s="829"/>
      <c r="J184" s="829" t="s">
        <v>515</v>
      </c>
      <c r="K184" s="829"/>
      <c r="L184" s="834">
        <v>44531</v>
      </c>
      <c r="M184" s="835">
        <v>1</v>
      </c>
      <c r="N184" s="832"/>
      <c r="O184" s="833"/>
    </row>
    <row r="185" spans="1:15" ht="30" customHeight="1" x14ac:dyDescent="0.25">
      <c r="A185" s="828"/>
      <c r="B185" s="828" t="s">
        <v>1304</v>
      </c>
      <c r="C18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METIN0178-(?)-Ouro</v>
      </c>
      <c r="D185" s="828"/>
      <c r="E185" s="828"/>
      <c r="F185" s="828"/>
      <c r="G185" s="1059" t="s">
        <v>1625</v>
      </c>
      <c r="H185" s="828" t="s">
        <v>1305</v>
      </c>
      <c r="I185" s="828"/>
      <c r="J185" s="828" t="s">
        <v>515</v>
      </c>
      <c r="K185" s="828"/>
      <c r="L185" s="830">
        <v>44531</v>
      </c>
      <c r="M185" s="831">
        <v>0.15</v>
      </c>
      <c r="N185" s="828"/>
      <c r="O185" s="828"/>
    </row>
    <row r="186" spans="1:15" ht="30" customHeight="1" x14ac:dyDescent="0.25">
      <c r="A186" s="828"/>
      <c r="B186" s="828" t="s">
        <v>1306</v>
      </c>
      <c r="C18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METIN0179-(?)-Níquel</v>
      </c>
      <c r="D186" s="828"/>
      <c r="E186" s="828"/>
      <c r="F186" s="828"/>
      <c r="G186" s="1059" t="s">
        <v>1625</v>
      </c>
      <c r="H186" s="828" t="s">
        <v>1307</v>
      </c>
      <c r="I186" s="828"/>
      <c r="J186" s="828" t="s">
        <v>363</v>
      </c>
      <c r="K186" s="828"/>
      <c r="L186" s="830">
        <v>44531</v>
      </c>
      <c r="M186" s="831">
        <v>0.15</v>
      </c>
      <c r="N186" s="828"/>
      <c r="O186" s="828"/>
    </row>
    <row r="187" spans="1:15" ht="30" customHeight="1" x14ac:dyDescent="0.25">
      <c r="A187" s="828"/>
      <c r="B187" s="828" t="s">
        <v>1308</v>
      </c>
      <c r="C18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METIN0210-(?)-Ouro</v>
      </c>
      <c r="D187" s="828"/>
      <c r="E187" s="828"/>
      <c r="F187" s="828"/>
      <c r="G187" s="1059" t="s">
        <v>1625</v>
      </c>
      <c r="H187" s="828" t="s">
        <v>1309</v>
      </c>
      <c r="I187" s="828"/>
      <c r="J187" s="828" t="s">
        <v>515</v>
      </c>
      <c r="K187" s="828"/>
      <c r="L187" s="830">
        <v>44531</v>
      </c>
      <c r="M187" s="831">
        <v>0</v>
      </c>
      <c r="N187" s="832"/>
      <c r="O187" s="833"/>
    </row>
    <row r="188" spans="1:15" ht="30" customHeight="1" x14ac:dyDescent="0.25">
      <c r="A188" s="828"/>
      <c r="B188" s="828" t="s">
        <v>1311</v>
      </c>
      <c r="C18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METIN0294-(?)-Níquel</v>
      </c>
      <c r="D188" s="828"/>
      <c r="E188" s="829"/>
      <c r="F188" s="829"/>
      <c r="G188" s="1059" t="s">
        <v>1625</v>
      </c>
      <c r="H188" s="829" t="s">
        <v>545</v>
      </c>
      <c r="I188" s="829"/>
      <c r="J188" s="829" t="s">
        <v>514</v>
      </c>
      <c r="K188" s="829"/>
      <c r="L188" s="834">
        <v>44531</v>
      </c>
      <c r="M188" s="835">
        <v>0.3</v>
      </c>
      <c r="N188" s="832"/>
      <c r="O188" s="833"/>
    </row>
    <row r="189" spans="1:15" ht="30" customHeight="1" x14ac:dyDescent="0.25">
      <c r="A189" s="828"/>
      <c r="B189" s="828" t="s">
        <v>1312</v>
      </c>
      <c r="C18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METIN0211-30mm-(?)</v>
      </c>
      <c r="D189" s="828" t="s">
        <v>943</v>
      </c>
      <c r="E189" s="828"/>
      <c r="F189" s="828"/>
      <c r="G189" s="1059" t="s">
        <v>1625</v>
      </c>
      <c r="H189" s="828" t="s">
        <v>686</v>
      </c>
      <c r="I189" s="828" t="s">
        <v>404</v>
      </c>
      <c r="J189" s="828"/>
      <c r="K189" s="828"/>
      <c r="L189" s="830">
        <v>44862</v>
      </c>
      <c r="M189" s="831">
        <v>2.94</v>
      </c>
      <c r="N189" s="828"/>
      <c r="O189" s="828"/>
    </row>
    <row r="190" spans="1:15" ht="30" customHeight="1" x14ac:dyDescent="0.25">
      <c r="A190" s="828"/>
      <c r="B190" s="828" t="s">
        <v>1338</v>
      </c>
      <c r="C19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METIN0182-(?)-Color</v>
      </c>
      <c r="D190" s="828" t="s">
        <v>943</v>
      </c>
      <c r="E190" s="829"/>
      <c r="F190" s="829"/>
      <c r="G190" s="1059" t="s">
        <v>1625</v>
      </c>
      <c r="H190" s="829" t="s">
        <v>1339</v>
      </c>
      <c r="I190" s="829"/>
      <c r="J190" s="829" t="s">
        <v>442</v>
      </c>
      <c r="K190" s="829"/>
      <c r="L190" s="834">
        <v>44531</v>
      </c>
      <c r="M190" s="835">
        <v>2</v>
      </c>
      <c r="N190" s="836"/>
      <c r="O190" s="833"/>
    </row>
    <row r="191" spans="1:15" ht="30" customHeight="1" x14ac:dyDescent="0.25">
      <c r="A191" s="828"/>
      <c r="B191" s="828" t="s">
        <v>1340</v>
      </c>
      <c r="C19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METIN0286-(?)-(?)</v>
      </c>
      <c r="D191" s="828" t="s">
        <v>943</v>
      </c>
      <c r="E191" s="829"/>
      <c r="F191" s="829"/>
      <c r="G191" s="1059" t="s">
        <v>1625</v>
      </c>
      <c r="H191" s="829" t="s">
        <v>1341</v>
      </c>
      <c r="I191" s="829"/>
      <c r="J191" s="829"/>
      <c r="K191" s="829"/>
      <c r="L191" s="834">
        <v>44531</v>
      </c>
      <c r="M191" s="835">
        <v>1</v>
      </c>
      <c r="N191" s="832"/>
      <c r="O191" s="833"/>
    </row>
    <row r="192" spans="1:15" ht="30" customHeight="1" x14ac:dyDescent="0.25">
      <c r="A192" s="828"/>
      <c r="B192" s="828" t="s">
        <v>1380</v>
      </c>
      <c r="C19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METIN0184-(?)-Níquel</v>
      </c>
      <c r="D192" s="828"/>
      <c r="E192" s="829"/>
      <c r="F192" s="829"/>
      <c r="G192" s="1059" t="s">
        <v>1625</v>
      </c>
      <c r="H192" s="829" t="s">
        <v>1381</v>
      </c>
      <c r="I192" s="829"/>
      <c r="J192" s="829" t="s">
        <v>363</v>
      </c>
      <c r="K192" s="829"/>
      <c r="L192" s="834">
        <v>44531</v>
      </c>
      <c r="M192" s="835">
        <v>0.04</v>
      </c>
      <c r="N192" s="832"/>
      <c r="O192" s="833"/>
    </row>
    <row r="193" spans="1:15" ht="30" customHeight="1" x14ac:dyDescent="0.25">
      <c r="A193" s="828"/>
      <c r="B193" s="828" t="s">
        <v>1382</v>
      </c>
      <c r="C19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METIN0185-(?)-Níquel</v>
      </c>
      <c r="D193" s="828"/>
      <c r="E193" s="829"/>
      <c r="F193" s="829"/>
      <c r="G193" s="1059" t="s">
        <v>1625</v>
      </c>
      <c r="H193" s="829" t="s">
        <v>1383</v>
      </c>
      <c r="I193" s="829"/>
      <c r="J193" s="829" t="s">
        <v>363</v>
      </c>
      <c r="K193" s="829"/>
      <c r="L193" s="834">
        <v>44531</v>
      </c>
      <c r="M193" s="835">
        <v>0.04</v>
      </c>
      <c r="N193" s="832"/>
      <c r="O193" s="833"/>
    </row>
    <row r="194" spans="1:15" ht="30" customHeight="1" x14ac:dyDescent="0.25">
      <c r="A194" s="828"/>
      <c r="B194" s="828" t="s">
        <v>1384</v>
      </c>
      <c r="C19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METIN0186-(?)-Níquel</v>
      </c>
      <c r="D194" s="828"/>
      <c r="E194" s="829"/>
      <c r="F194" s="829"/>
      <c r="G194" s="1059" t="s">
        <v>1625</v>
      </c>
      <c r="H194" s="829" t="s">
        <v>1385</v>
      </c>
      <c r="I194" s="829"/>
      <c r="J194" s="829" t="s">
        <v>363</v>
      </c>
      <c r="K194" s="829"/>
      <c r="L194" s="834">
        <v>44531</v>
      </c>
      <c r="M194" s="835">
        <v>0.04</v>
      </c>
      <c r="N194" s="832"/>
      <c r="O194" s="833"/>
    </row>
    <row r="195" spans="1:15" ht="30" customHeight="1" x14ac:dyDescent="0.25">
      <c r="A195" s="828"/>
      <c r="B195" s="828" t="s">
        <v>1386</v>
      </c>
      <c r="C19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METIN0187-(?)-Ouro</v>
      </c>
      <c r="D195" s="828"/>
      <c r="E195" s="828"/>
      <c r="F195" s="828"/>
      <c r="G195" s="1059" t="s">
        <v>1625</v>
      </c>
      <c r="H195" s="828" t="s">
        <v>1387</v>
      </c>
      <c r="I195" s="828"/>
      <c r="J195" s="828" t="s">
        <v>515</v>
      </c>
      <c r="K195" s="828"/>
      <c r="L195" s="830">
        <v>44531</v>
      </c>
      <c r="M195" s="831">
        <v>0.1</v>
      </c>
      <c r="N195" s="832"/>
      <c r="O195" s="833"/>
    </row>
    <row r="196" spans="1:15" ht="30" customHeight="1" x14ac:dyDescent="0.25">
      <c r="A196" s="828"/>
      <c r="B196" s="828" t="s">
        <v>1388</v>
      </c>
      <c r="C19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METIN0188-(?)-Níquel</v>
      </c>
      <c r="D196" s="828"/>
      <c r="E196" s="828"/>
      <c r="F196" s="828"/>
      <c r="G196" s="1059" t="s">
        <v>1625</v>
      </c>
      <c r="H196" s="828" t="s">
        <v>1389</v>
      </c>
      <c r="I196" s="828"/>
      <c r="J196" s="828" t="s">
        <v>363</v>
      </c>
      <c r="K196" s="828"/>
      <c r="L196" s="830">
        <v>44531</v>
      </c>
      <c r="M196" s="831">
        <v>0.15</v>
      </c>
      <c r="N196" s="828"/>
      <c r="O196" s="828"/>
    </row>
    <row r="197" spans="1:15" ht="30" customHeight="1" x14ac:dyDescent="0.25">
      <c r="A197" s="828"/>
      <c r="B197" s="828" t="s">
        <v>1390</v>
      </c>
      <c r="C19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METIN0189-(?)-Níquel</v>
      </c>
      <c r="D197" s="828"/>
      <c r="E197" s="828"/>
      <c r="F197" s="828"/>
      <c r="G197" s="1059" t="s">
        <v>1625</v>
      </c>
      <c r="H197" s="828" t="s">
        <v>1391</v>
      </c>
      <c r="I197" s="828"/>
      <c r="J197" s="828" t="s">
        <v>363</v>
      </c>
      <c r="K197" s="828"/>
      <c r="L197" s="830">
        <v>44531</v>
      </c>
      <c r="M197" s="831">
        <v>0.1</v>
      </c>
      <c r="N197" s="832"/>
      <c r="O197" s="833"/>
    </row>
    <row r="198" spans="1:15" ht="30" customHeight="1" x14ac:dyDescent="0.25">
      <c r="A198" s="828"/>
      <c r="B198" s="828" t="s">
        <v>1392</v>
      </c>
      <c r="C19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METIN0190-(?)-Níquel</v>
      </c>
      <c r="D198" s="828"/>
      <c r="E198" s="828"/>
      <c r="F198" s="828"/>
      <c r="G198" s="1059" t="s">
        <v>1625</v>
      </c>
      <c r="H198" s="828" t="s">
        <v>1393</v>
      </c>
      <c r="I198" s="828"/>
      <c r="J198" s="828" t="s">
        <v>514</v>
      </c>
      <c r="K198" s="828"/>
      <c r="L198" s="830">
        <v>44531</v>
      </c>
      <c r="M198" s="831">
        <v>0.2</v>
      </c>
      <c r="N198" s="832"/>
      <c r="O198" s="833"/>
    </row>
    <row r="199" spans="1:15" ht="30" customHeight="1" x14ac:dyDescent="0.25">
      <c r="A199" s="828"/>
      <c r="B199" s="828" t="s">
        <v>1394</v>
      </c>
      <c r="C19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METIN0191-(?)-Níquel</v>
      </c>
      <c r="D199" s="828"/>
      <c r="E199" s="838"/>
      <c r="F199" s="838"/>
      <c r="G199" s="1059" t="s">
        <v>1625</v>
      </c>
      <c r="H199" s="838" t="s">
        <v>1395</v>
      </c>
      <c r="I199" s="838"/>
      <c r="J199" s="838" t="s">
        <v>363</v>
      </c>
      <c r="K199" s="838"/>
      <c r="L199" s="834">
        <v>44531</v>
      </c>
      <c r="M199" s="837">
        <v>0.3</v>
      </c>
      <c r="N199" s="836"/>
      <c r="O199" s="833"/>
    </row>
    <row r="200" spans="1:15" ht="30" customHeight="1" x14ac:dyDescent="0.25">
      <c r="A200" s="828"/>
      <c r="B200" s="828" t="s">
        <v>1396</v>
      </c>
      <c r="C20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METIN0305-(?)-Ouro V</v>
      </c>
      <c r="D200" s="828"/>
      <c r="E200" s="828"/>
      <c r="F200" s="828"/>
      <c r="G200" s="1059" t="s">
        <v>1625</v>
      </c>
      <c r="H200" s="828" t="s">
        <v>1397</v>
      </c>
      <c r="I200" s="828"/>
      <c r="J200" s="828" t="s">
        <v>507</v>
      </c>
      <c r="K200" s="828"/>
      <c r="L200" s="830">
        <v>44531</v>
      </c>
      <c r="M200" s="831">
        <v>0.3</v>
      </c>
      <c r="N200" s="828"/>
      <c r="O200" s="828"/>
    </row>
    <row r="201" spans="1:15" ht="30" customHeight="1" x14ac:dyDescent="0.25">
      <c r="A201" s="828"/>
      <c r="B201" s="828" t="s">
        <v>1398</v>
      </c>
      <c r="C20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METIN0192-N.1-(?)</v>
      </c>
      <c r="D201" s="828" t="s">
        <v>1011</v>
      </c>
      <c r="E201" s="828"/>
      <c r="F201" s="828"/>
      <c r="G201" s="1059" t="s">
        <v>1625</v>
      </c>
      <c r="H201" s="828" t="s">
        <v>706</v>
      </c>
      <c r="I201" s="828" t="s">
        <v>707</v>
      </c>
      <c r="J201" s="828"/>
      <c r="K201" s="828"/>
      <c r="L201" s="830">
        <v>44881</v>
      </c>
      <c r="M201" s="831">
        <v>0.158</v>
      </c>
      <c r="N201" s="828"/>
      <c r="O201" s="828"/>
    </row>
    <row r="202" spans="1:15" ht="30" customHeight="1" x14ac:dyDescent="0.25">
      <c r="A202" s="828"/>
      <c r="B202" s="828" t="s">
        <v>1399</v>
      </c>
      <c r="C20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METIN0193-(?)-Níquel</v>
      </c>
      <c r="D202" s="828" t="s">
        <v>943</v>
      </c>
      <c r="E202" s="838"/>
      <c r="F202" s="838"/>
      <c r="G202" s="1059" t="s">
        <v>1625</v>
      </c>
      <c r="H202" s="838" t="s">
        <v>546</v>
      </c>
      <c r="I202" s="838"/>
      <c r="J202" s="838" t="s">
        <v>363</v>
      </c>
      <c r="K202" s="838"/>
      <c r="L202" s="834">
        <v>44531</v>
      </c>
      <c r="M202" s="839">
        <v>0.06</v>
      </c>
      <c r="N202" s="832"/>
      <c r="O202" s="833"/>
    </row>
    <row r="203" spans="1:15" ht="30" customHeight="1" x14ac:dyDescent="0.25">
      <c r="A203" s="828"/>
      <c r="B203" s="828" t="s">
        <v>1400</v>
      </c>
      <c r="C20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METIN0237-(?)-Ouro V</v>
      </c>
      <c r="D203" s="828" t="s">
        <v>943</v>
      </c>
      <c r="E203" s="828"/>
      <c r="F203" s="828"/>
      <c r="G203" s="1059" t="s">
        <v>1625</v>
      </c>
      <c r="H203" s="828" t="s">
        <v>547</v>
      </c>
      <c r="I203" s="828"/>
      <c r="J203" s="828" t="s">
        <v>507</v>
      </c>
      <c r="K203" s="828"/>
      <c r="L203" s="830">
        <v>44531</v>
      </c>
      <c r="M203" s="831">
        <v>0.06</v>
      </c>
      <c r="N203" s="832"/>
      <c r="O203" s="833"/>
    </row>
    <row r="204" spans="1:15" ht="30" customHeight="1" x14ac:dyDescent="0.25">
      <c r="A204" s="828"/>
      <c r="B204" s="828" t="s">
        <v>1404</v>
      </c>
      <c r="C20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METIN0195-(?)-Ouro V</v>
      </c>
      <c r="D204" s="828" t="s">
        <v>548</v>
      </c>
      <c r="E204" s="828"/>
      <c r="F204" s="828"/>
      <c r="G204" s="1059" t="s">
        <v>1625</v>
      </c>
      <c r="H204" s="828" t="s">
        <v>549</v>
      </c>
      <c r="I204" s="828"/>
      <c r="J204" s="828" t="s">
        <v>507</v>
      </c>
      <c r="K204" s="828"/>
      <c r="L204" s="830">
        <v>44531</v>
      </c>
      <c r="M204" s="831">
        <v>0.05</v>
      </c>
      <c r="N204" s="832"/>
      <c r="O204" s="833"/>
    </row>
    <row r="205" spans="1:15" ht="30" customHeight="1" x14ac:dyDescent="0.25">
      <c r="A205" s="828"/>
      <c r="B205" s="828" t="s">
        <v>1405</v>
      </c>
      <c r="C20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METIN0196-(?)-Níquel</v>
      </c>
      <c r="D205" s="828" t="s">
        <v>548</v>
      </c>
      <c r="E205" s="829"/>
      <c r="F205" s="829"/>
      <c r="G205" s="1059" t="s">
        <v>1625</v>
      </c>
      <c r="H205" s="829" t="s">
        <v>550</v>
      </c>
      <c r="I205" s="829"/>
      <c r="J205" s="829" t="s">
        <v>363</v>
      </c>
      <c r="K205" s="829"/>
      <c r="L205" s="834">
        <v>44531</v>
      </c>
      <c r="M205" s="835">
        <v>0.05</v>
      </c>
      <c r="N205" s="832"/>
      <c r="O205" s="833"/>
    </row>
    <row r="206" spans="1:15" ht="30" customHeight="1" x14ac:dyDescent="0.25">
      <c r="A206" s="828"/>
      <c r="B206" s="828" t="s">
        <v>1406</v>
      </c>
      <c r="C20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METIN0063-(?)-Ouro</v>
      </c>
      <c r="D206" s="828" t="s">
        <v>548</v>
      </c>
      <c r="E206" s="828"/>
      <c r="F206" s="828"/>
      <c r="G206" s="1059" t="s">
        <v>1625</v>
      </c>
      <c r="H206" s="828" t="s">
        <v>551</v>
      </c>
      <c r="I206" s="829"/>
      <c r="J206" s="828" t="s">
        <v>515</v>
      </c>
      <c r="K206" s="828"/>
      <c r="L206" s="830">
        <v>44531</v>
      </c>
      <c r="M206" s="831">
        <v>0.05</v>
      </c>
      <c r="N206" s="832"/>
      <c r="O206" s="833"/>
    </row>
    <row r="207" spans="1:15" ht="30" customHeight="1" x14ac:dyDescent="0.25">
      <c r="A207" s="828"/>
      <c r="B207" s="828" t="s">
        <v>1081</v>
      </c>
      <c r="C20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NYLIN0198-(?)-Laranj</v>
      </c>
      <c r="D207" s="828" t="s">
        <v>513</v>
      </c>
      <c r="E207" s="829"/>
      <c r="F207" s="829"/>
      <c r="G207" s="1059" t="s">
        <v>1626</v>
      </c>
      <c r="H207" s="829" t="s">
        <v>1082</v>
      </c>
      <c r="I207" s="829"/>
      <c r="J207" s="829" t="s">
        <v>552</v>
      </c>
      <c r="K207" s="829"/>
      <c r="L207" s="834">
        <v>44531</v>
      </c>
      <c r="M207" s="837">
        <v>0.5</v>
      </c>
      <c r="N207" s="832"/>
      <c r="O207" s="833"/>
    </row>
    <row r="208" spans="1:15" ht="30" customHeight="1" x14ac:dyDescent="0.25">
      <c r="A208" s="828"/>
      <c r="B208" s="828" t="s">
        <v>1083</v>
      </c>
      <c r="C20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NYLIN0199-(?)-Lilás</v>
      </c>
      <c r="D208" s="828" t="s">
        <v>513</v>
      </c>
      <c r="E208" s="829"/>
      <c r="F208" s="829"/>
      <c r="G208" s="1059" t="s">
        <v>1626</v>
      </c>
      <c r="H208" s="829" t="s">
        <v>1084</v>
      </c>
      <c r="I208" s="829"/>
      <c r="J208" s="829" t="s">
        <v>1085</v>
      </c>
      <c r="K208" s="829"/>
      <c r="L208" s="834">
        <v>44531</v>
      </c>
      <c r="M208" s="835">
        <v>0.5</v>
      </c>
      <c r="N208" s="832"/>
      <c r="O208" s="833"/>
    </row>
    <row r="209" spans="1:15" ht="30" customHeight="1" x14ac:dyDescent="0.25">
      <c r="A209" s="828"/>
      <c r="B209" s="828" t="s">
        <v>1086</v>
      </c>
      <c r="C20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NYLIN0200-(?)-Preto</v>
      </c>
      <c r="D209" s="828" t="s">
        <v>513</v>
      </c>
      <c r="E209" s="829"/>
      <c r="F209" s="829"/>
      <c r="G209" s="1059" t="s">
        <v>1626</v>
      </c>
      <c r="H209" s="829" t="s">
        <v>1087</v>
      </c>
      <c r="I209" s="829"/>
      <c r="J209" s="829" t="s">
        <v>499</v>
      </c>
      <c r="K209" s="829"/>
      <c r="L209" s="834">
        <v>44531</v>
      </c>
      <c r="M209" s="837">
        <v>0.5</v>
      </c>
      <c r="N209" s="832"/>
      <c r="O209" s="833"/>
    </row>
    <row r="210" spans="1:15" ht="30" customHeight="1" x14ac:dyDescent="0.25">
      <c r="A210" s="828"/>
      <c r="B210" s="828" t="s">
        <v>1089</v>
      </c>
      <c r="C21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NYLIN0119-(?)-Rosa</v>
      </c>
      <c r="D210" s="828" t="s">
        <v>513</v>
      </c>
      <c r="E210" s="829"/>
      <c r="F210" s="829"/>
      <c r="G210" s="1059" t="s">
        <v>1626</v>
      </c>
      <c r="H210" s="829" t="s">
        <v>1090</v>
      </c>
      <c r="I210" s="829"/>
      <c r="J210" s="829" t="s">
        <v>1091</v>
      </c>
      <c r="K210" s="829"/>
      <c r="L210" s="834">
        <v>44531</v>
      </c>
      <c r="M210" s="835">
        <v>0.5</v>
      </c>
      <c r="N210" s="836"/>
      <c r="O210" s="833"/>
    </row>
    <row r="211" spans="1:15" ht="30" customHeight="1" x14ac:dyDescent="0.25">
      <c r="A211" s="828"/>
      <c r="B211" s="828" t="s">
        <v>1099</v>
      </c>
      <c r="C21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NYLIN0202-(?)-Preto</v>
      </c>
      <c r="D211" s="828" t="s">
        <v>493</v>
      </c>
      <c r="E211" s="829"/>
      <c r="F211" s="829"/>
      <c r="G211" s="1059" t="s">
        <v>1626</v>
      </c>
      <c r="H211" s="829" t="s">
        <v>553</v>
      </c>
      <c r="I211" s="829"/>
      <c r="J211" s="829" t="s">
        <v>499</v>
      </c>
      <c r="K211" s="828"/>
      <c r="L211" s="834">
        <v>44531</v>
      </c>
      <c r="M211" s="835">
        <v>0.497</v>
      </c>
      <c r="N211" s="832"/>
      <c r="O211" s="833"/>
    </row>
    <row r="212" spans="1:15" ht="30" customHeight="1" x14ac:dyDescent="0.25">
      <c r="A212" s="828"/>
      <c r="B212" s="828" t="s">
        <v>1100</v>
      </c>
      <c r="C21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NYLIN0203-(?)-Preto</v>
      </c>
      <c r="D212" s="828" t="s">
        <v>493</v>
      </c>
      <c r="E212" s="828"/>
      <c r="F212" s="828"/>
      <c r="G212" s="1059" t="s">
        <v>1626</v>
      </c>
      <c r="H212" s="828" t="s">
        <v>554</v>
      </c>
      <c r="I212" s="828"/>
      <c r="J212" s="828" t="s">
        <v>499</v>
      </c>
      <c r="K212" s="828"/>
      <c r="L212" s="834">
        <v>44531</v>
      </c>
      <c r="M212" s="831">
        <v>0.91949999999999998</v>
      </c>
      <c r="N212" s="832"/>
      <c r="O212" s="833"/>
    </row>
    <row r="213" spans="1:15" ht="30" customHeight="1" x14ac:dyDescent="0.25">
      <c r="A213" s="828"/>
      <c r="B213" s="828" t="s">
        <v>1101</v>
      </c>
      <c r="C21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NYLIN0204-(?)-Branco</v>
      </c>
      <c r="D213" s="828" t="s">
        <v>493</v>
      </c>
      <c r="E213" s="828"/>
      <c r="F213" s="828"/>
      <c r="G213" s="1059" t="s">
        <v>1626</v>
      </c>
      <c r="H213" s="828" t="s">
        <v>555</v>
      </c>
      <c r="I213" s="828"/>
      <c r="J213" s="828" t="s">
        <v>556</v>
      </c>
      <c r="K213" s="828"/>
      <c r="L213" s="834">
        <v>44531</v>
      </c>
      <c r="M213" s="831">
        <v>0.47799999999999998</v>
      </c>
      <c r="N213" s="840"/>
      <c r="O213" s="833"/>
    </row>
    <row r="214" spans="1:15" ht="30" customHeight="1" x14ac:dyDescent="0.25">
      <c r="A214" s="828"/>
      <c r="B214" s="828" t="s">
        <v>1102</v>
      </c>
      <c r="C21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NYLIN0205-(?)-Preto</v>
      </c>
      <c r="D214" s="828" t="s">
        <v>493</v>
      </c>
      <c r="E214" s="829"/>
      <c r="F214" s="829"/>
      <c r="G214" s="1059" t="s">
        <v>1626</v>
      </c>
      <c r="H214" s="829" t="s">
        <v>557</v>
      </c>
      <c r="I214" s="829"/>
      <c r="J214" s="829" t="s">
        <v>499</v>
      </c>
      <c r="K214" s="829"/>
      <c r="L214" s="834">
        <v>44531</v>
      </c>
      <c r="M214" s="835">
        <v>0.47799999999999998</v>
      </c>
      <c r="N214" s="836"/>
      <c r="O214" s="833"/>
    </row>
    <row r="215" spans="1:15" ht="30" customHeight="1" x14ac:dyDescent="0.25">
      <c r="A215" s="828"/>
      <c r="B215" s="828" t="s">
        <v>1103</v>
      </c>
      <c r="C21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NYLIN0206-(?)-Preto</v>
      </c>
      <c r="D215" s="828"/>
      <c r="E215" s="828"/>
      <c r="F215" s="828"/>
      <c r="G215" s="1059" t="s">
        <v>1626</v>
      </c>
      <c r="H215" s="829" t="s">
        <v>558</v>
      </c>
      <c r="I215" s="829"/>
      <c r="J215" s="829" t="s">
        <v>499</v>
      </c>
      <c r="K215" s="829"/>
      <c r="L215" s="834">
        <v>44531</v>
      </c>
      <c r="M215" s="835">
        <v>1</v>
      </c>
      <c r="N215" s="836"/>
      <c r="O215" s="833"/>
    </row>
    <row r="216" spans="1:15" ht="30" customHeight="1" x14ac:dyDescent="0.25">
      <c r="A216" s="828"/>
      <c r="B216" s="828" t="s">
        <v>1104</v>
      </c>
      <c r="C21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NYLIN0048-(?)-Preto</v>
      </c>
      <c r="D216" s="828" t="s">
        <v>493</v>
      </c>
      <c r="E216" s="828"/>
      <c r="F216" s="828"/>
      <c r="G216" s="1059" t="s">
        <v>1626</v>
      </c>
      <c r="H216" s="828" t="s">
        <v>559</v>
      </c>
      <c r="I216" s="828"/>
      <c r="J216" s="829" t="s">
        <v>499</v>
      </c>
      <c r="K216" s="828"/>
      <c r="L216" s="834">
        <v>44531</v>
      </c>
      <c r="M216" s="831">
        <v>0.85799999999999998</v>
      </c>
      <c r="N216" s="832"/>
      <c r="O216" s="833"/>
    </row>
    <row r="217" spans="1:15" ht="30" customHeight="1" x14ac:dyDescent="0.25">
      <c r="A217" s="828"/>
      <c r="B217" s="828" t="s">
        <v>1223</v>
      </c>
      <c r="C21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NYLIN0163-25mm-Preto</v>
      </c>
      <c r="D217" s="828"/>
      <c r="E217" s="828"/>
      <c r="F217" s="828"/>
      <c r="G217" s="1059" t="s">
        <v>1626</v>
      </c>
      <c r="H217" s="828" t="s">
        <v>560</v>
      </c>
      <c r="I217" s="828" t="s">
        <v>675</v>
      </c>
      <c r="J217" s="828" t="s">
        <v>499</v>
      </c>
      <c r="K217" s="828"/>
      <c r="L217" s="830">
        <v>44531</v>
      </c>
      <c r="M217" s="831">
        <v>0.6</v>
      </c>
      <c r="N217" s="832"/>
      <c r="O217" s="833"/>
    </row>
    <row r="218" spans="1:15" ht="30" customHeight="1" x14ac:dyDescent="0.25">
      <c r="A218" s="828"/>
      <c r="B218" s="828" t="s">
        <v>1242</v>
      </c>
      <c r="C21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NYLIN0209-(?)-Preto</v>
      </c>
      <c r="D218" s="828" t="s">
        <v>493</v>
      </c>
      <c r="E218" s="829"/>
      <c r="F218" s="829"/>
      <c r="G218" s="1059" t="s">
        <v>1626</v>
      </c>
      <c r="H218" s="829" t="s">
        <v>561</v>
      </c>
      <c r="I218" s="829"/>
      <c r="J218" s="829" t="s">
        <v>499</v>
      </c>
      <c r="K218" s="829"/>
      <c r="L218" s="834">
        <v>44531</v>
      </c>
      <c r="M218" s="835">
        <v>0.46100000000000002</v>
      </c>
      <c r="N218" s="832"/>
      <c r="O218" s="833"/>
    </row>
    <row r="219" spans="1:15" ht="30" customHeight="1" x14ac:dyDescent="0.25">
      <c r="A219" s="828"/>
      <c r="B219" s="828" t="s">
        <v>1243</v>
      </c>
      <c r="C21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NYLIN0171-(?)-Preto</v>
      </c>
      <c r="D219" s="828" t="s">
        <v>493</v>
      </c>
      <c r="E219" s="829"/>
      <c r="F219" s="829"/>
      <c r="G219" s="1059" t="s">
        <v>1626</v>
      </c>
      <c r="H219" s="829" t="s">
        <v>562</v>
      </c>
      <c r="I219" s="829"/>
      <c r="J219" s="829" t="s">
        <v>499</v>
      </c>
      <c r="K219" s="829"/>
      <c r="L219" s="834">
        <v>44531</v>
      </c>
      <c r="M219" s="835">
        <v>0.45</v>
      </c>
      <c r="N219" s="832" t="s">
        <v>365</v>
      </c>
      <c r="O219" s="833"/>
    </row>
    <row r="220" spans="1:15" ht="30" customHeight="1" x14ac:dyDescent="0.25">
      <c r="A220" s="828"/>
      <c r="B220" s="828" t="s">
        <v>1310</v>
      </c>
      <c r="C22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NYLIN0180-(?)-Preto</v>
      </c>
      <c r="D220" s="828" t="s">
        <v>493</v>
      </c>
      <c r="E220" s="829"/>
      <c r="F220" s="829"/>
      <c r="G220" s="1059" t="s">
        <v>1626</v>
      </c>
      <c r="H220" s="829" t="s">
        <v>563</v>
      </c>
      <c r="I220" s="829"/>
      <c r="J220" s="829" t="s">
        <v>499</v>
      </c>
      <c r="K220" s="829"/>
      <c r="L220" s="834">
        <v>44531</v>
      </c>
      <c r="M220" s="837">
        <v>0.5</v>
      </c>
      <c r="N220" s="832"/>
      <c r="O220" s="833"/>
    </row>
    <row r="221" spans="1:15" ht="30" customHeight="1" x14ac:dyDescent="0.25">
      <c r="A221" s="828"/>
      <c r="B221" s="828" t="s">
        <v>1313</v>
      </c>
      <c r="C22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NYLIN0212-(?)-Preto</v>
      </c>
      <c r="D221" s="828" t="s">
        <v>493</v>
      </c>
      <c r="E221" s="828"/>
      <c r="F221" s="828"/>
      <c r="G221" s="1059" t="s">
        <v>1626</v>
      </c>
      <c r="H221" s="828" t="s">
        <v>564</v>
      </c>
      <c r="I221" s="828"/>
      <c r="J221" s="828" t="s">
        <v>499</v>
      </c>
      <c r="K221" s="828"/>
      <c r="L221" s="830">
        <v>44531</v>
      </c>
      <c r="M221" s="831">
        <v>0.219</v>
      </c>
      <c r="N221" s="832"/>
      <c r="O221" s="833"/>
    </row>
    <row r="222" spans="1:15" ht="30" customHeight="1" x14ac:dyDescent="0.25">
      <c r="A222" s="828"/>
      <c r="B222" s="828" t="s">
        <v>1314</v>
      </c>
      <c r="C22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NYLIN0213-(?)-Preto </v>
      </c>
      <c r="D222" s="828" t="s">
        <v>493</v>
      </c>
      <c r="E222" s="829"/>
      <c r="F222" s="829"/>
      <c r="G222" s="1059" t="s">
        <v>1626</v>
      </c>
      <c r="H222" s="829" t="s">
        <v>565</v>
      </c>
      <c r="I222" s="829"/>
      <c r="J222" s="829" t="s">
        <v>495</v>
      </c>
      <c r="K222" s="829"/>
      <c r="L222" s="834">
        <v>44531</v>
      </c>
      <c r="M222" s="835">
        <v>0.219</v>
      </c>
      <c r="N222" s="836"/>
      <c r="O222" s="833"/>
    </row>
    <row r="223" spans="1:15" ht="30" customHeight="1" x14ac:dyDescent="0.25">
      <c r="A223" s="828"/>
      <c r="B223" s="828" t="s">
        <v>1315</v>
      </c>
      <c r="C22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NYLIN0214-(?)-Preto</v>
      </c>
      <c r="D223" s="828" t="s">
        <v>493</v>
      </c>
      <c r="E223" s="829"/>
      <c r="F223" s="829"/>
      <c r="G223" s="1059" t="s">
        <v>1626</v>
      </c>
      <c r="H223" s="829" t="s">
        <v>566</v>
      </c>
      <c r="I223" s="829"/>
      <c r="J223" s="829" t="s">
        <v>499</v>
      </c>
      <c r="K223" s="829"/>
      <c r="L223" s="834">
        <v>44531</v>
      </c>
      <c r="M223" s="835">
        <v>0.2</v>
      </c>
      <c r="N223" s="836"/>
      <c r="O223" s="833"/>
    </row>
    <row r="224" spans="1:15" ht="30" customHeight="1" x14ac:dyDescent="0.25">
      <c r="A224" s="828"/>
      <c r="B224" s="828" t="s">
        <v>1316</v>
      </c>
      <c r="C22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NYLIN0215-(?)-Marrom</v>
      </c>
      <c r="D224" s="828" t="s">
        <v>493</v>
      </c>
      <c r="E224" s="828"/>
      <c r="F224" s="828"/>
      <c r="G224" s="1059" t="s">
        <v>1626</v>
      </c>
      <c r="H224" s="828" t="s">
        <v>567</v>
      </c>
      <c r="I224" s="828"/>
      <c r="J224" s="828" t="s">
        <v>568</v>
      </c>
      <c r="K224" s="828"/>
      <c r="L224" s="830">
        <v>44531</v>
      </c>
      <c r="M224" s="831">
        <v>0.2</v>
      </c>
      <c r="N224" s="828"/>
      <c r="O224" s="828"/>
    </row>
    <row r="225" spans="1:15" ht="30" customHeight="1" x14ac:dyDescent="0.25">
      <c r="A225" s="828"/>
      <c r="B225" s="828" t="s">
        <v>1317</v>
      </c>
      <c r="C22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NYLIN0216-(?)-Preto</v>
      </c>
      <c r="D225" s="828" t="s">
        <v>493</v>
      </c>
      <c r="E225" s="828"/>
      <c r="F225" s="828"/>
      <c r="G225" s="1059" t="s">
        <v>1626</v>
      </c>
      <c r="H225" s="828" t="s">
        <v>569</v>
      </c>
      <c r="I225" s="828"/>
      <c r="J225" s="828" t="s">
        <v>499</v>
      </c>
      <c r="K225" s="828"/>
      <c r="L225" s="830">
        <v>44868</v>
      </c>
      <c r="M225" s="831">
        <v>0.34</v>
      </c>
      <c r="N225" s="832"/>
      <c r="O225" s="833"/>
    </row>
    <row r="226" spans="1:15" ht="30" customHeight="1" x14ac:dyDescent="0.25">
      <c r="A226" s="828"/>
      <c r="B226" s="828" t="s">
        <v>1318</v>
      </c>
      <c r="C22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NYLIN0217-(?)-Preto</v>
      </c>
      <c r="D226" s="828" t="s">
        <v>493</v>
      </c>
      <c r="E226" s="829"/>
      <c r="F226" s="829"/>
      <c r="G226" s="1059" t="s">
        <v>1626</v>
      </c>
      <c r="H226" s="829" t="s">
        <v>570</v>
      </c>
      <c r="I226" s="829"/>
      <c r="J226" s="829" t="s">
        <v>499</v>
      </c>
      <c r="K226" s="829"/>
      <c r="L226" s="834">
        <v>44531</v>
      </c>
      <c r="M226" s="835">
        <v>0.46400000000000002</v>
      </c>
      <c r="N226" s="832"/>
      <c r="O226" s="833"/>
    </row>
    <row r="227" spans="1:15" ht="30" customHeight="1" x14ac:dyDescent="0.25">
      <c r="A227" s="828"/>
      <c r="B227" s="828" t="s">
        <v>1319</v>
      </c>
      <c r="C22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NYLIN0304-(?)-Preto</v>
      </c>
      <c r="D227" s="828" t="s">
        <v>493</v>
      </c>
      <c r="E227" s="829"/>
      <c r="F227" s="829"/>
      <c r="G227" s="1059" t="s">
        <v>1626</v>
      </c>
      <c r="H227" s="829" t="s">
        <v>571</v>
      </c>
      <c r="I227" s="829"/>
      <c r="J227" s="829" t="s">
        <v>499</v>
      </c>
      <c r="K227" s="829"/>
      <c r="L227" s="834">
        <v>44531</v>
      </c>
      <c r="M227" s="835">
        <v>0.4</v>
      </c>
      <c r="N227" s="832"/>
      <c r="O227" s="833"/>
    </row>
    <row r="228" spans="1:15" ht="30" customHeight="1" x14ac:dyDescent="0.25">
      <c r="A228" s="828"/>
      <c r="B228" s="828" t="s">
        <v>1375</v>
      </c>
      <c r="C22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NYLIN0033-(?)-Preto</v>
      </c>
      <c r="D228" s="828" t="s">
        <v>513</v>
      </c>
      <c r="E228" s="829"/>
      <c r="F228" s="829"/>
      <c r="G228" s="1059" t="s">
        <v>1626</v>
      </c>
      <c r="H228" s="829" t="s">
        <v>572</v>
      </c>
      <c r="I228" s="829"/>
      <c r="J228" s="829" t="s">
        <v>499</v>
      </c>
      <c r="K228" s="829"/>
      <c r="L228" s="834">
        <v>44531</v>
      </c>
      <c r="M228" s="837">
        <v>0.28500000000000003</v>
      </c>
      <c r="N228" s="836"/>
      <c r="O228" s="833"/>
    </row>
    <row r="229" spans="1:15" ht="30" customHeight="1" x14ac:dyDescent="0.25">
      <c r="A229" s="828"/>
      <c r="B229" s="828" t="s">
        <v>1058</v>
      </c>
      <c r="C22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PAPIN0117-(?)-(?)</v>
      </c>
      <c r="D229" s="828"/>
      <c r="E229" s="828"/>
      <c r="F229" s="828"/>
      <c r="G229" s="1058" t="s">
        <v>1631</v>
      </c>
      <c r="H229" s="828" t="s">
        <v>1059</v>
      </c>
      <c r="I229" s="828"/>
      <c r="J229" s="828"/>
      <c r="K229" s="828"/>
      <c r="L229" s="830">
        <v>44862</v>
      </c>
      <c r="M229" s="831">
        <v>1</v>
      </c>
      <c r="N229" s="832" t="s">
        <v>365</v>
      </c>
      <c r="O229" s="833"/>
    </row>
    <row r="230" spans="1:15" ht="30" customHeight="1" x14ac:dyDescent="0.25">
      <c r="A230" s="828"/>
      <c r="B230" s="828" t="s">
        <v>1124</v>
      </c>
      <c r="C23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PAPIN0042-(?)-(?)</v>
      </c>
      <c r="D230" s="828" t="s">
        <v>493</v>
      </c>
      <c r="E230" s="828"/>
      <c r="F230" s="828"/>
      <c r="G230" s="1058" t="s">
        <v>1631</v>
      </c>
      <c r="H230" s="828" t="s">
        <v>575</v>
      </c>
      <c r="I230" s="828"/>
      <c r="J230" s="828"/>
      <c r="K230" s="828"/>
      <c r="L230" s="830">
        <v>44531</v>
      </c>
      <c r="M230" s="831">
        <v>4.9880000000000004</v>
      </c>
      <c r="N230" s="832"/>
      <c r="O230" s="833"/>
    </row>
    <row r="231" spans="1:15" ht="30" customHeight="1" x14ac:dyDescent="0.25">
      <c r="A231" s="828"/>
      <c r="B231" s="828" t="s">
        <v>935</v>
      </c>
      <c r="C23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PLAIN0235-(?)-Preto</v>
      </c>
      <c r="D231" s="828" t="s">
        <v>493</v>
      </c>
      <c r="E231" s="828"/>
      <c r="F231" s="828"/>
      <c r="G231" s="1058" t="s">
        <v>1628</v>
      </c>
      <c r="H231" s="828" t="s">
        <v>936</v>
      </c>
      <c r="I231" s="828"/>
      <c r="J231" s="828" t="s">
        <v>499</v>
      </c>
      <c r="K231" s="828"/>
      <c r="L231" s="830">
        <v>43647</v>
      </c>
      <c r="M231" s="831">
        <v>5</v>
      </c>
      <c r="N231" s="832" t="s">
        <v>365</v>
      </c>
      <c r="O231" s="833"/>
    </row>
    <row r="232" spans="1:15" ht="30" customHeight="1" x14ac:dyDescent="0.25">
      <c r="A232" s="828"/>
      <c r="B232" s="828" t="s">
        <v>937</v>
      </c>
      <c r="C23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PLAIN0021-41mm-Preto</v>
      </c>
      <c r="D232" s="828" t="s">
        <v>493</v>
      </c>
      <c r="E232" s="828"/>
      <c r="F232" s="828"/>
      <c r="G232" s="1058" t="s">
        <v>1628</v>
      </c>
      <c r="H232" s="828" t="s">
        <v>938</v>
      </c>
      <c r="I232" s="828" t="s">
        <v>809</v>
      </c>
      <c r="J232" s="828" t="s">
        <v>499</v>
      </c>
      <c r="K232" s="828"/>
      <c r="L232" s="830">
        <v>44089</v>
      </c>
      <c r="M232" s="831">
        <v>0.66900000000000004</v>
      </c>
      <c r="N232" s="832"/>
      <c r="O232" s="833"/>
    </row>
    <row r="233" spans="1:15" ht="30" customHeight="1" x14ac:dyDescent="0.25">
      <c r="A233" s="828"/>
      <c r="B233" s="828" t="s">
        <v>1065</v>
      </c>
      <c r="C23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PLAIN0320-3mm-(?)</v>
      </c>
      <c r="D233" s="828" t="s">
        <v>493</v>
      </c>
      <c r="E233" s="828"/>
      <c r="F233" s="828"/>
      <c r="G233" s="1058" t="s">
        <v>1628</v>
      </c>
      <c r="H233" s="828" t="s">
        <v>813</v>
      </c>
      <c r="I233" s="828" t="s">
        <v>814</v>
      </c>
      <c r="J233" s="828"/>
      <c r="K233" s="828"/>
      <c r="L233" s="830">
        <v>45042</v>
      </c>
      <c r="M233" s="831">
        <v>0.1875</v>
      </c>
      <c r="N233" s="828"/>
      <c r="O233" s="828"/>
    </row>
    <row r="234" spans="1:15" ht="30" customHeight="1" x14ac:dyDescent="0.25">
      <c r="A234" s="828"/>
      <c r="B234" s="828" t="s">
        <v>1075</v>
      </c>
      <c r="C23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PLAIN0022-10mm-Preto</v>
      </c>
      <c r="D234" s="828" t="s">
        <v>493</v>
      </c>
      <c r="E234" s="828"/>
      <c r="F234" s="828"/>
      <c r="G234" s="1058" t="s">
        <v>1628</v>
      </c>
      <c r="H234" s="828" t="s">
        <v>1076</v>
      </c>
      <c r="I234" s="843" t="s">
        <v>676</v>
      </c>
      <c r="J234" s="828" t="s">
        <v>499</v>
      </c>
      <c r="K234" s="828"/>
      <c r="L234" s="830">
        <v>42723</v>
      </c>
      <c r="M234" s="831">
        <v>0.15</v>
      </c>
      <c r="N234" s="828"/>
      <c r="O234" s="828"/>
    </row>
    <row r="235" spans="1:15" ht="30" customHeight="1" x14ac:dyDescent="0.25">
      <c r="A235" s="828"/>
      <c r="B235" s="828" t="s">
        <v>1079</v>
      </c>
      <c r="C23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PLAIN0023-5mm-Branco</v>
      </c>
      <c r="D235" s="828" t="s">
        <v>513</v>
      </c>
      <c r="E235" s="829"/>
      <c r="F235" s="829"/>
      <c r="G235" s="1058" t="s">
        <v>1628</v>
      </c>
      <c r="H235" s="829" t="s">
        <v>1080</v>
      </c>
      <c r="I235" s="829" t="s">
        <v>647</v>
      </c>
      <c r="J235" s="829" t="s">
        <v>556</v>
      </c>
      <c r="K235" s="829"/>
      <c r="L235" s="834">
        <v>42723</v>
      </c>
      <c r="M235" s="835">
        <v>0.3</v>
      </c>
      <c r="N235" s="836"/>
      <c r="O235" s="833"/>
    </row>
    <row r="236" spans="1:15" ht="30" customHeight="1" x14ac:dyDescent="0.25">
      <c r="A236" s="828"/>
      <c r="B236" s="828" t="s">
        <v>1088</v>
      </c>
      <c r="C23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PLAIN0002-5mm-Preto</v>
      </c>
      <c r="D236" s="828" t="s">
        <v>513</v>
      </c>
      <c r="E236" s="828"/>
      <c r="F236" s="828"/>
      <c r="G236" s="1058" t="s">
        <v>1628</v>
      </c>
      <c r="H236" s="828" t="s">
        <v>1087</v>
      </c>
      <c r="I236" s="828" t="s">
        <v>647</v>
      </c>
      <c r="J236" s="828" t="s">
        <v>499</v>
      </c>
      <c r="K236" s="828"/>
      <c r="L236" s="830">
        <v>43983</v>
      </c>
      <c r="M236" s="831">
        <v>0.3</v>
      </c>
      <c r="N236" s="832"/>
      <c r="O236" s="833"/>
    </row>
    <row r="237" spans="1:15" ht="30" customHeight="1" x14ac:dyDescent="0.25">
      <c r="A237" s="828"/>
      <c r="B237" s="828" t="s">
        <v>1105</v>
      </c>
      <c r="C23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PLAIN0003-20mm-Preto</v>
      </c>
      <c r="D237" s="828" t="s">
        <v>493</v>
      </c>
      <c r="E237" s="829"/>
      <c r="F237" s="829"/>
      <c r="G237" s="1058" t="s">
        <v>1628</v>
      </c>
      <c r="H237" s="829" t="s">
        <v>1106</v>
      </c>
      <c r="I237" s="829" t="s">
        <v>674</v>
      </c>
      <c r="J237" s="829" t="s">
        <v>499</v>
      </c>
      <c r="K237" s="829"/>
      <c r="L237" s="834">
        <v>43955</v>
      </c>
      <c r="M237" s="835">
        <v>8.3000000000000004E-2</v>
      </c>
      <c r="N237" s="832"/>
      <c r="O237" s="833"/>
    </row>
    <row r="238" spans="1:15" ht="30" customHeight="1" x14ac:dyDescent="0.25">
      <c r="A238" s="828"/>
      <c r="B238" s="828" t="s">
        <v>1107</v>
      </c>
      <c r="C23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PLAIN0299-20mm-Preto</v>
      </c>
      <c r="D238" s="828" t="s">
        <v>493</v>
      </c>
      <c r="E238" s="829"/>
      <c r="F238" s="829"/>
      <c r="G238" s="1058" t="s">
        <v>1628</v>
      </c>
      <c r="H238" s="829" t="s">
        <v>1108</v>
      </c>
      <c r="I238" s="829" t="s">
        <v>674</v>
      </c>
      <c r="J238" s="829" t="s">
        <v>499</v>
      </c>
      <c r="K238" s="829"/>
      <c r="L238" s="834">
        <v>44166</v>
      </c>
      <c r="M238" s="835">
        <v>7.8E-2</v>
      </c>
      <c r="N238" s="836"/>
      <c r="O238" s="833"/>
    </row>
    <row r="239" spans="1:15" ht="30" customHeight="1" x14ac:dyDescent="0.25">
      <c r="A239" s="828"/>
      <c r="B239" s="828" t="s">
        <v>1109</v>
      </c>
      <c r="C23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PLAIN0045-25mm-Preto</v>
      </c>
      <c r="D239" s="828" t="s">
        <v>493</v>
      </c>
      <c r="E239" s="829"/>
      <c r="F239" s="829"/>
      <c r="G239" s="1058" t="s">
        <v>1628</v>
      </c>
      <c r="H239" s="829" t="s">
        <v>1110</v>
      </c>
      <c r="I239" s="829" t="s">
        <v>675</v>
      </c>
      <c r="J239" s="829" t="s">
        <v>499</v>
      </c>
      <c r="K239" s="829"/>
      <c r="L239" s="834">
        <v>43252</v>
      </c>
      <c r="M239" s="835">
        <v>0.15</v>
      </c>
      <c r="N239" s="836"/>
      <c r="O239" s="833"/>
    </row>
    <row r="240" spans="1:15" ht="30" customHeight="1" x14ac:dyDescent="0.25">
      <c r="A240" s="828"/>
      <c r="B240" s="828" t="s">
        <v>1111</v>
      </c>
      <c r="C24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PLAIN0297-30mm-Preto</v>
      </c>
      <c r="D240" s="828" t="s">
        <v>493</v>
      </c>
      <c r="E240" s="828"/>
      <c r="F240" s="828"/>
      <c r="G240" s="1058" t="s">
        <v>1628</v>
      </c>
      <c r="H240" s="828" t="s">
        <v>1112</v>
      </c>
      <c r="I240" s="828" t="s">
        <v>404</v>
      </c>
      <c r="J240" s="828" t="s">
        <v>499</v>
      </c>
      <c r="K240" s="828"/>
      <c r="L240" s="830">
        <v>43252</v>
      </c>
      <c r="M240" s="831">
        <v>0.2</v>
      </c>
      <c r="N240" s="832"/>
      <c r="O240" s="833"/>
    </row>
    <row r="241" spans="1:15" ht="30" customHeight="1" x14ac:dyDescent="0.25">
      <c r="A241" s="828"/>
      <c r="B241" s="828" t="s">
        <v>1113</v>
      </c>
      <c r="C24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PLAIN0043-40mm-Preto</v>
      </c>
      <c r="D241" s="828" t="s">
        <v>493</v>
      </c>
      <c r="E241" s="828"/>
      <c r="F241" s="828"/>
      <c r="G241" s="1058" t="s">
        <v>1628</v>
      </c>
      <c r="H241" s="828" t="s">
        <v>1114</v>
      </c>
      <c r="I241" s="828" t="s">
        <v>673</v>
      </c>
      <c r="J241" s="828" t="s">
        <v>499</v>
      </c>
      <c r="K241" s="828"/>
      <c r="L241" s="830">
        <v>42723</v>
      </c>
      <c r="M241" s="831">
        <v>0.35</v>
      </c>
      <c r="N241" s="832"/>
      <c r="O241" s="833"/>
    </row>
    <row r="242" spans="1:15" ht="30" customHeight="1" x14ac:dyDescent="0.25">
      <c r="A242" s="828"/>
      <c r="B242" s="828" t="s">
        <v>1115</v>
      </c>
      <c r="C24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PLAIN0044-30mm-Preto</v>
      </c>
      <c r="D242" s="828" t="s">
        <v>493</v>
      </c>
      <c r="E242" s="829"/>
      <c r="F242" s="829"/>
      <c r="G242" s="1058" t="s">
        <v>1628</v>
      </c>
      <c r="H242" s="829" t="s">
        <v>1116</v>
      </c>
      <c r="I242" s="829" t="s">
        <v>404</v>
      </c>
      <c r="J242" s="829" t="s">
        <v>499</v>
      </c>
      <c r="K242" s="829"/>
      <c r="L242" s="834">
        <v>42723</v>
      </c>
      <c r="M242" s="835">
        <v>0.01</v>
      </c>
      <c r="N242" s="836"/>
      <c r="O242" s="833"/>
    </row>
    <row r="243" spans="1:15" ht="30" customHeight="1" x14ac:dyDescent="0.25">
      <c r="A243" s="828"/>
      <c r="B243" s="828" t="s">
        <v>1117</v>
      </c>
      <c r="C24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PLAIN0122-25mm-Preto</v>
      </c>
      <c r="D243" s="829"/>
      <c r="E243" s="829"/>
      <c r="F243" s="829"/>
      <c r="G243" s="1058" t="s">
        <v>1628</v>
      </c>
      <c r="H243" s="829" t="s">
        <v>1118</v>
      </c>
      <c r="I243" s="829" t="s">
        <v>675</v>
      </c>
      <c r="J243" s="829" t="s">
        <v>499</v>
      </c>
      <c r="K243" s="829"/>
      <c r="L243" s="834">
        <v>42723</v>
      </c>
      <c r="M243" s="835">
        <v>0.3</v>
      </c>
      <c r="N243" s="836"/>
      <c r="O243" s="833"/>
    </row>
    <row r="244" spans="1:15" ht="30" customHeight="1" x14ac:dyDescent="0.25">
      <c r="A244" s="828"/>
      <c r="B244" s="828" t="s">
        <v>1119</v>
      </c>
      <c r="C24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PLAIN0047-40mm-Preto</v>
      </c>
      <c r="D244" s="828" t="s">
        <v>493</v>
      </c>
      <c r="E244" s="828"/>
      <c r="F244" s="828"/>
      <c r="G244" s="1058" t="s">
        <v>1628</v>
      </c>
      <c r="H244" s="828" t="s">
        <v>1120</v>
      </c>
      <c r="I244" s="828" t="s">
        <v>673</v>
      </c>
      <c r="J244" s="828" t="s">
        <v>499</v>
      </c>
      <c r="K244" s="828"/>
      <c r="L244" s="830">
        <v>42723</v>
      </c>
      <c r="M244" s="831">
        <v>0.35</v>
      </c>
      <c r="N244" s="832"/>
      <c r="O244" s="833"/>
    </row>
    <row r="245" spans="1:15" ht="30" customHeight="1" x14ac:dyDescent="0.25">
      <c r="A245" s="828"/>
      <c r="B245" s="828" t="s">
        <v>1121</v>
      </c>
      <c r="C24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PLAIN0259-25mm-Transp</v>
      </c>
      <c r="D245" s="828" t="s">
        <v>637</v>
      </c>
      <c r="E245" s="828"/>
      <c r="F245" s="828"/>
      <c r="G245" s="1058" t="s">
        <v>1628</v>
      </c>
      <c r="H245" s="828" t="s">
        <v>1122</v>
      </c>
      <c r="I245" s="828" t="s">
        <v>675</v>
      </c>
      <c r="J245" s="828" t="s">
        <v>658</v>
      </c>
      <c r="K245" s="828"/>
      <c r="L245" s="830">
        <v>44862</v>
      </c>
      <c r="M245" s="831">
        <v>1.52</v>
      </c>
      <c r="N245" s="832"/>
      <c r="O245" s="833"/>
    </row>
    <row r="246" spans="1:15" ht="30" customHeight="1" x14ac:dyDescent="0.25">
      <c r="A246" s="828"/>
      <c r="B246" s="828" t="s">
        <v>1144</v>
      </c>
      <c r="C24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PLAIN0260-7mm-Preto</v>
      </c>
      <c r="D246" s="828"/>
      <c r="E246" s="829"/>
      <c r="F246" s="829"/>
      <c r="G246" s="1058" t="s">
        <v>1628</v>
      </c>
      <c r="H246" s="829" t="s">
        <v>1145</v>
      </c>
      <c r="I246" s="829" t="s">
        <v>1146</v>
      </c>
      <c r="J246" s="829" t="s">
        <v>499</v>
      </c>
      <c r="K246" s="829"/>
      <c r="L246" s="834">
        <v>43252</v>
      </c>
      <c r="M246" s="835">
        <v>0.04</v>
      </c>
      <c r="N246" s="832"/>
      <c r="O246" s="833"/>
    </row>
    <row r="247" spans="1:15" ht="30" customHeight="1" x14ac:dyDescent="0.25">
      <c r="A247" s="828"/>
      <c r="B247" s="828" t="s">
        <v>1161</v>
      </c>
      <c r="C24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PLAIN0172-40mm-Marrom</v>
      </c>
      <c r="D247" s="828"/>
      <c r="E247" s="829"/>
      <c r="F247" s="829"/>
      <c r="G247" s="1058" t="s">
        <v>1628</v>
      </c>
      <c r="H247" s="829" t="s">
        <v>1162</v>
      </c>
      <c r="I247" s="829" t="s">
        <v>673</v>
      </c>
      <c r="J247" s="829" t="s">
        <v>568</v>
      </c>
      <c r="K247" s="829"/>
      <c r="L247" s="834">
        <v>42723</v>
      </c>
      <c r="M247" s="835">
        <v>0.5</v>
      </c>
      <c r="N247" s="832"/>
      <c r="O247" s="833"/>
    </row>
    <row r="248" spans="1:15" ht="30" customHeight="1" x14ac:dyDescent="0.25">
      <c r="A248" s="828"/>
      <c r="B248" s="828" t="s">
        <v>1200</v>
      </c>
      <c r="C24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PLAIN0226-30mm-Preto</v>
      </c>
      <c r="D248" s="828" t="s">
        <v>493</v>
      </c>
      <c r="E248" s="828"/>
      <c r="F248" s="828"/>
      <c r="G248" s="1058" t="s">
        <v>1628</v>
      </c>
      <c r="H248" s="828" t="s">
        <v>1201</v>
      </c>
      <c r="I248" s="828" t="s">
        <v>404</v>
      </c>
      <c r="J248" s="828" t="s">
        <v>499</v>
      </c>
      <c r="K248" s="828"/>
      <c r="L248" s="830">
        <v>44821</v>
      </c>
      <c r="M248" s="831">
        <v>8.6999999999999994E-2</v>
      </c>
      <c r="N248" s="832"/>
      <c r="O248" s="833"/>
    </row>
    <row r="249" spans="1:15" ht="30" customHeight="1" x14ac:dyDescent="0.25">
      <c r="A249" s="828"/>
      <c r="B249" s="828" t="s">
        <v>1221</v>
      </c>
      <c r="C24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PLAIN0321-25mm-Preto</v>
      </c>
      <c r="D249" s="828"/>
      <c r="E249" s="829"/>
      <c r="F249" s="829"/>
      <c r="G249" s="1058" t="s">
        <v>1628</v>
      </c>
      <c r="H249" s="829" t="s">
        <v>1222</v>
      </c>
      <c r="I249" s="829" t="s">
        <v>675</v>
      </c>
      <c r="J249" s="829" t="s">
        <v>499</v>
      </c>
      <c r="K249" s="829"/>
      <c r="L249" s="834">
        <v>42723</v>
      </c>
      <c r="M249" s="835">
        <v>0.4</v>
      </c>
      <c r="N249" s="832"/>
      <c r="O249" s="833"/>
    </row>
    <row r="250" spans="1:15" ht="30" customHeight="1" x14ac:dyDescent="0.25">
      <c r="A250" s="828"/>
      <c r="B250" s="828" t="s">
        <v>1240</v>
      </c>
      <c r="C25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PLAIN0322-20mm-Preto</v>
      </c>
      <c r="D250" s="828" t="s">
        <v>493</v>
      </c>
      <c r="E250" s="829"/>
      <c r="F250" s="829"/>
      <c r="G250" s="1058" t="s">
        <v>1628</v>
      </c>
      <c r="H250" s="829" t="s">
        <v>1241</v>
      </c>
      <c r="I250" s="829" t="s">
        <v>674</v>
      </c>
      <c r="J250" s="829" t="s">
        <v>499</v>
      </c>
      <c r="K250" s="829"/>
      <c r="L250" s="834">
        <v>44040</v>
      </c>
      <c r="M250" s="835">
        <v>0.25</v>
      </c>
      <c r="N250" s="832"/>
      <c r="O250" s="833"/>
    </row>
    <row r="251" spans="1:15" ht="30" customHeight="1" x14ac:dyDescent="0.25">
      <c r="A251" s="828"/>
      <c r="B251" s="828" t="s">
        <v>1244</v>
      </c>
      <c r="C25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PLAIN0342-10mm-Preto </v>
      </c>
      <c r="D251" s="828" t="s">
        <v>493</v>
      </c>
      <c r="E251" s="829"/>
      <c r="F251" s="829"/>
      <c r="G251" s="1058" t="s">
        <v>1628</v>
      </c>
      <c r="H251" s="829" t="s">
        <v>1245</v>
      </c>
      <c r="I251" s="829" t="s">
        <v>676</v>
      </c>
      <c r="J251" s="829" t="s">
        <v>495</v>
      </c>
      <c r="K251" s="829"/>
      <c r="L251" s="834">
        <v>44821</v>
      </c>
      <c r="M251" s="835">
        <v>0.104</v>
      </c>
      <c r="N251" s="832"/>
      <c r="O251" s="833"/>
    </row>
    <row r="252" spans="1:15" ht="30" customHeight="1" x14ac:dyDescent="0.25">
      <c r="A252" s="828"/>
      <c r="B252" s="828" t="s">
        <v>1246</v>
      </c>
      <c r="C25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PLAIN0323-30mm-Preto</v>
      </c>
      <c r="D252" s="828" t="s">
        <v>493</v>
      </c>
      <c r="E252" s="829"/>
      <c r="F252" s="829"/>
      <c r="G252" s="1058" t="s">
        <v>1628</v>
      </c>
      <c r="H252" s="829" t="s">
        <v>1247</v>
      </c>
      <c r="I252" s="842" t="s">
        <v>404</v>
      </c>
      <c r="J252" s="829" t="s">
        <v>499</v>
      </c>
      <c r="K252" s="829"/>
      <c r="L252" s="834">
        <v>43918</v>
      </c>
      <c r="M252" s="835">
        <v>0.184</v>
      </c>
      <c r="N252" s="832"/>
      <c r="O252" s="833"/>
    </row>
    <row r="253" spans="1:15" ht="30" customHeight="1" x14ac:dyDescent="0.25">
      <c r="A253" s="828"/>
      <c r="B253" s="828" t="s">
        <v>1250</v>
      </c>
      <c r="C25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PLAIN0324-(?)-Branco</v>
      </c>
      <c r="D253" s="828"/>
      <c r="E253" s="829"/>
      <c r="F253" s="829"/>
      <c r="G253" s="1058" t="s">
        <v>1628</v>
      </c>
      <c r="H253" s="829" t="s">
        <v>1251</v>
      </c>
      <c r="I253" s="829"/>
      <c r="J253" s="829" t="s">
        <v>556</v>
      </c>
      <c r="K253" s="829"/>
      <c r="L253" s="834">
        <v>43252</v>
      </c>
      <c r="M253" s="835">
        <v>0.02</v>
      </c>
      <c r="N253" s="832"/>
      <c r="O253" s="833"/>
    </row>
    <row r="254" spans="1:15" ht="30" customHeight="1" x14ac:dyDescent="0.25">
      <c r="A254" s="828"/>
      <c r="B254" s="828" t="s">
        <v>1320</v>
      </c>
      <c r="C25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PLAIN0325-20mm-Preto</v>
      </c>
      <c r="D254" s="828" t="s">
        <v>493</v>
      </c>
      <c r="E254" s="828"/>
      <c r="F254" s="828"/>
      <c r="G254" s="1058" t="s">
        <v>1628</v>
      </c>
      <c r="H254" s="828" t="s">
        <v>1321</v>
      </c>
      <c r="I254" s="828" t="s">
        <v>674</v>
      </c>
      <c r="J254" s="828" t="s">
        <v>499</v>
      </c>
      <c r="K254" s="828"/>
      <c r="L254" s="830">
        <v>44821</v>
      </c>
      <c r="M254" s="831">
        <v>8.6999999999999994E-2</v>
      </c>
      <c r="N254" s="832"/>
      <c r="O254" s="833"/>
    </row>
    <row r="255" spans="1:15" ht="30" customHeight="1" x14ac:dyDescent="0.25">
      <c r="A255" s="828"/>
      <c r="B255" s="828" t="s">
        <v>1322</v>
      </c>
      <c r="C25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PLAIN0326-30mm-Preto</v>
      </c>
      <c r="D255" s="828" t="s">
        <v>493</v>
      </c>
      <c r="E255" s="828"/>
      <c r="F255" s="828"/>
      <c r="G255" s="1058" t="s">
        <v>1628</v>
      </c>
      <c r="H255" s="828" t="s">
        <v>1323</v>
      </c>
      <c r="I255" s="828" t="s">
        <v>404</v>
      </c>
      <c r="J255" s="828" t="s">
        <v>499</v>
      </c>
      <c r="K255" s="828"/>
      <c r="L255" s="830">
        <v>43571</v>
      </c>
      <c r="M255" s="831">
        <v>6.3E-2</v>
      </c>
      <c r="N255" s="832"/>
      <c r="O255" s="833"/>
    </row>
    <row r="256" spans="1:15" ht="30" customHeight="1" x14ac:dyDescent="0.25">
      <c r="A256" s="828"/>
      <c r="B256" s="828" t="s">
        <v>1324</v>
      </c>
      <c r="C25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PLAIN0327-30mm-Preto</v>
      </c>
      <c r="D256" s="828" t="s">
        <v>493</v>
      </c>
      <c r="E256" s="829"/>
      <c r="F256" s="829"/>
      <c r="G256" s="1058" t="s">
        <v>1628</v>
      </c>
      <c r="H256" s="829" t="s">
        <v>1325</v>
      </c>
      <c r="I256" s="829" t="s">
        <v>404</v>
      </c>
      <c r="J256" s="829" t="s">
        <v>499</v>
      </c>
      <c r="K256" s="829"/>
      <c r="L256" s="834">
        <v>44089</v>
      </c>
      <c r="M256" s="835">
        <v>3.4000000000000002E-2</v>
      </c>
      <c r="N256" s="836"/>
      <c r="O256" s="833"/>
    </row>
    <row r="257" spans="1:15" ht="30" customHeight="1" x14ac:dyDescent="0.25">
      <c r="A257" s="828"/>
      <c r="B257" s="828" t="s">
        <v>1326</v>
      </c>
      <c r="C25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PLAIN0328-25mm-Branco</v>
      </c>
      <c r="D257" s="828" t="s">
        <v>493</v>
      </c>
      <c r="E257" s="829"/>
      <c r="F257" s="829"/>
      <c r="G257" s="1058" t="s">
        <v>1628</v>
      </c>
      <c r="H257" s="829" t="s">
        <v>1327</v>
      </c>
      <c r="I257" s="829" t="s">
        <v>675</v>
      </c>
      <c r="J257" s="829" t="s">
        <v>556</v>
      </c>
      <c r="K257" s="829"/>
      <c r="L257" s="834">
        <v>42887</v>
      </c>
      <c r="M257" s="835">
        <v>0.05</v>
      </c>
      <c r="N257" s="832"/>
      <c r="O257" s="833"/>
    </row>
    <row r="258" spans="1:15" ht="30" customHeight="1" x14ac:dyDescent="0.25">
      <c r="A258" s="828"/>
      <c r="B258" s="828" t="s">
        <v>1328</v>
      </c>
      <c r="C25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PLAIN0329-25mm-Preto</v>
      </c>
      <c r="D258" s="828" t="s">
        <v>493</v>
      </c>
      <c r="E258" s="829"/>
      <c r="F258" s="829"/>
      <c r="G258" s="1058" t="s">
        <v>1628</v>
      </c>
      <c r="H258" s="829" t="s">
        <v>1329</v>
      </c>
      <c r="I258" s="829" t="s">
        <v>675</v>
      </c>
      <c r="J258" s="829" t="s">
        <v>499</v>
      </c>
      <c r="K258" s="829"/>
      <c r="L258" s="834">
        <v>43617</v>
      </c>
      <c r="M258" s="835">
        <v>0.03</v>
      </c>
      <c r="N258" s="832"/>
      <c r="O258" s="833"/>
    </row>
    <row r="259" spans="1:15" ht="30" customHeight="1" x14ac:dyDescent="0.25">
      <c r="A259" s="828"/>
      <c r="B259" s="828" t="s">
        <v>1330</v>
      </c>
      <c r="C25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PLAIN0330-25mm-Transp</v>
      </c>
      <c r="D259" s="828" t="s">
        <v>493</v>
      </c>
      <c r="E259" s="829"/>
      <c r="F259" s="829"/>
      <c r="G259" s="1058" t="s">
        <v>1628</v>
      </c>
      <c r="H259" s="829" t="s">
        <v>1331</v>
      </c>
      <c r="I259" s="829" t="s">
        <v>675</v>
      </c>
      <c r="J259" s="829" t="s">
        <v>658</v>
      </c>
      <c r="K259" s="829"/>
      <c r="L259" s="834">
        <v>42705</v>
      </c>
      <c r="M259" s="835">
        <v>0.03</v>
      </c>
      <c r="N259" s="832"/>
      <c r="O259" s="833"/>
    </row>
    <row r="260" spans="1:15" ht="30" customHeight="1" x14ac:dyDescent="0.25">
      <c r="A260" s="828"/>
      <c r="B260" s="828" t="s">
        <v>1332</v>
      </c>
      <c r="C26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PLAIN0181-30mm-Preto</v>
      </c>
      <c r="D260" s="828" t="s">
        <v>493</v>
      </c>
      <c r="E260" s="829"/>
      <c r="F260" s="829"/>
      <c r="G260" s="1058" t="s">
        <v>1628</v>
      </c>
      <c r="H260" s="829" t="s">
        <v>1333</v>
      </c>
      <c r="I260" s="829" t="s">
        <v>404</v>
      </c>
      <c r="J260" s="829" t="s">
        <v>499</v>
      </c>
      <c r="K260" s="829"/>
      <c r="L260" s="834">
        <v>44868</v>
      </c>
      <c r="M260" s="835">
        <v>0.09</v>
      </c>
      <c r="N260" s="832"/>
      <c r="O260" s="833"/>
    </row>
    <row r="261" spans="1:15" ht="30" customHeight="1" x14ac:dyDescent="0.25">
      <c r="A261" s="828"/>
      <c r="B261" s="828" t="s">
        <v>1334</v>
      </c>
      <c r="C26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PLAIN0331-30mm-Branco</v>
      </c>
      <c r="D261" s="828" t="s">
        <v>493</v>
      </c>
      <c r="E261" s="829"/>
      <c r="F261" s="829"/>
      <c r="G261" s="1058" t="s">
        <v>1628</v>
      </c>
      <c r="H261" s="829" t="s">
        <v>1335</v>
      </c>
      <c r="I261" s="829" t="s">
        <v>404</v>
      </c>
      <c r="J261" s="829" t="s">
        <v>556</v>
      </c>
      <c r="K261" s="829"/>
      <c r="L261" s="834">
        <v>43252</v>
      </c>
      <c r="M261" s="835">
        <v>0.1</v>
      </c>
      <c r="N261" s="832"/>
      <c r="O261" s="833"/>
    </row>
    <row r="262" spans="1:15" ht="30" customHeight="1" x14ac:dyDescent="0.25">
      <c r="A262" s="828"/>
      <c r="B262" s="828" t="s">
        <v>1336</v>
      </c>
      <c r="C26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PLAIN0332-30mm-Transp</v>
      </c>
      <c r="D262" s="828"/>
      <c r="E262" s="829"/>
      <c r="F262" s="829"/>
      <c r="G262" s="1058" t="s">
        <v>1628</v>
      </c>
      <c r="H262" s="829" t="s">
        <v>1337</v>
      </c>
      <c r="I262" s="829" t="s">
        <v>404</v>
      </c>
      <c r="J262" s="829" t="s">
        <v>658</v>
      </c>
      <c r="K262" s="829"/>
      <c r="L262" s="834">
        <v>42723</v>
      </c>
      <c r="M262" s="835">
        <v>0.1</v>
      </c>
      <c r="N262" s="832"/>
      <c r="O262" s="833"/>
    </row>
    <row r="263" spans="1:15" ht="30" customHeight="1" x14ac:dyDescent="0.25">
      <c r="A263" s="828"/>
      <c r="B263" s="828" t="s">
        <v>1342</v>
      </c>
      <c r="C26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PLAIN0333-41mm-Preto</v>
      </c>
      <c r="D263" s="828" t="s">
        <v>493</v>
      </c>
      <c r="E263" s="829"/>
      <c r="F263" s="829"/>
      <c r="G263" s="1058" t="s">
        <v>1628</v>
      </c>
      <c r="H263" s="829" t="s">
        <v>1343</v>
      </c>
      <c r="I263" s="829" t="s">
        <v>809</v>
      </c>
      <c r="J263" s="829" t="s">
        <v>499</v>
      </c>
      <c r="K263" s="829"/>
      <c r="L263" s="834">
        <v>43895</v>
      </c>
      <c r="M263" s="835">
        <v>0.2</v>
      </c>
      <c r="N263" s="832"/>
      <c r="O263" s="833"/>
    </row>
    <row r="264" spans="1:15" ht="30" customHeight="1" x14ac:dyDescent="0.25">
      <c r="A264" s="828"/>
      <c r="B264" s="828" t="s">
        <v>1344</v>
      </c>
      <c r="C26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PLAIN0334-(?)-Preto</v>
      </c>
      <c r="D264" s="828" t="s">
        <v>493</v>
      </c>
      <c r="E264" s="829"/>
      <c r="F264" s="829"/>
      <c r="G264" s="1058" t="s">
        <v>1628</v>
      </c>
      <c r="H264" s="829" t="s">
        <v>1345</v>
      </c>
      <c r="I264" s="829"/>
      <c r="J264" s="829" t="s">
        <v>499</v>
      </c>
      <c r="K264" s="829"/>
      <c r="L264" s="834">
        <v>43617</v>
      </c>
      <c r="M264" s="835">
        <v>0.2</v>
      </c>
      <c r="N264" s="832"/>
      <c r="O264" s="833"/>
    </row>
    <row r="265" spans="1:15" ht="30" customHeight="1" x14ac:dyDescent="0.25">
      <c r="A265" s="828"/>
      <c r="B265" s="828" t="s">
        <v>1346</v>
      </c>
      <c r="C26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PLAIN0335-(?)-Laranj</v>
      </c>
      <c r="D265" s="828"/>
      <c r="E265" s="829"/>
      <c r="F265" s="829"/>
      <c r="G265" s="1058" t="s">
        <v>1628</v>
      </c>
      <c r="H265" s="829" t="s">
        <v>1347</v>
      </c>
      <c r="I265" s="829"/>
      <c r="J265" s="829" t="s">
        <v>552</v>
      </c>
      <c r="K265" s="829"/>
      <c r="L265" s="834">
        <v>43617</v>
      </c>
      <c r="M265" s="835">
        <v>0.5</v>
      </c>
      <c r="N265" s="832"/>
      <c r="O265" s="833"/>
    </row>
    <row r="266" spans="1:15" ht="30" customHeight="1" x14ac:dyDescent="0.25">
      <c r="A266" s="828"/>
      <c r="B266" s="828" t="s">
        <v>1348</v>
      </c>
      <c r="C26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PLAIN0336-(?)-Preto</v>
      </c>
      <c r="D266" s="828" t="s">
        <v>493</v>
      </c>
      <c r="E266" s="828"/>
      <c r="F266" s="828"/>
      <c r="G266" s="1058" t="s">
        <v>1628</v>
      </c>
      <c r="H266" s="828" t="s">
        <v>1349</v>
      </c>
      <c r="I266" s="828"/>
      <c r="J266" s="828" t="s">
        <v>499</v>
      </c>
      <c r="K266" s="828"/>
      <c r="L266" s="830">
        <v>43252</v>
      </c>
      <c r="M266" s="831">
        <v>0.1</v>
      </c>
      <c r="N266" s="832"/>
      <c r="O266" s="833"/>
    </row>
    <row r="267" spans="1:15" ht="30" customHeight="1" x14ac:dyDescent="0.25">
      <c r="A267" s="828"/>
      <c r="B267" s="828" t="s">
        <v>1350</v>
      </c>
      <c r="C26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PLAIN0337-(?)-Preto</v>
      </c>
      <c r="D267" s="828" t="s">
        <v>493</v>
      </c>
      <c r="E267" s="828"/>
      <c r="F267" s="828"/>
      <c r="G267" s="1058" t="s">
        <v>1628</v>
      </c>
      <c r="H267" s="828" t="s">
        <v>1351</v>
      </c>
      <c r="I267" s="828"/>
      <c r="J267" s="828" t="s">
        <v>499</v>
      </c>
      <c r="K267" s="828"/>
      <c r="L267" s="830">
        <v>43617</v>
      </c>
      <c r="M267" s="831">
        <v>0.2</v>
      </c>
      <c r="N267" s="832"/>
      <c r="O267" s="833"/>
    </row>
    <row r="268" spans="1:15" ht="30" customHeight="1" x14ac:dyDescent="0.25">
      <c r="A268" s="828"/>
      <c r="B268" s="828" t="s">
        <v>1376</v>
      </c>
      <c r="C26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PLAIN0338-(?)-Preto</v>
      </c>
      <c r="D268" s="828" t="s">
        <v>494</v>
      </c>
      <c r="E268" s="829"/>
      <c r="F268" s="829"/>
      <c r="G268" s="1058" t="s">
        <v>1628</v>
      </c>
      <c r="H268" s="829" t="s">
        <v>1377</v>
      </c>
      <c r="I268" s="829"/>
      <c r="J268" s="829" t="s">
        <v>499</v>
      </c>
      <c r="K268" s="829"/>
      <c r="L268" s="834">
        <v>43983</v>
      </c>
      <c r="M268" s="835">
        <v>0.05</v>
      </c>
      <c r="N268" s="836"/>
      <c r="O268" s="833"/>
    </row>
    <row r="269" spans="1:15" ht="30" customHeight="1" x14ac:dyDescent="0.25">
      <c r="A269" s="828"/>
      <c r="B269" s="828" t="s">
        <v>1407</v>
      </c>
      <c r="C26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PLAIN0339-(?)-Preto</v>
      </c>
      <c r="D269" s="828" t="s">
        <v>493</v>
      </c>
      <c r="E269" s="828"/>
      <c r="F269" s="828"/>
      <c r="G269" s="1058" t="s">
        <v>1628</v>
      </c>
      <c r="H269" s="828" t="s">
        <v>1408</v>
      </c>
      <c r="I269" s="828"/>
      <c r="J269" s="828" t="s">
        <v>499</v>
      </c>
      <c r="K269" s="828"/>
      <c r="L269" s="830">
        <v>43252</v>
      </c>
      <c r="M269" s="831">
        <v>0.05</v>
      </c>
      <c r="N269" s="832"/>
      <c r="O269" s="833"/>
    </row>
    <row r="270" spans="1:15" ht="30" customHeight="1" x14ac:dyDescent="0.25">
      <c r="A270" s="828"/>
      <c r="B270" s="828" t="s">
        <v>1432</v>
      </c>
      <c r="C27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PLAIN0340-25mm-Preto</v>
      </c>
      <c r="D270" s="828" t="s">
        <v>493</v>
      </c>
      <c r="E270" s="829"/>
      <c r="F270" s="829"/>
      <c r="G270" s="1058" t="s">
        <v>1628</v>
      </c>
      <c r="H270" s="829" t="s">
        <v>1433</v>
      </c>
      <c r="I270" s="829" t="s">
        <v>675</v>
      </c>
      <c r="J270" s="829" t="s">
        <v>499</v>
      </c>
      <c r="K270" s="829"/>
      <c r="L270" s="834">
        <v>42887</v>
      </c>
      <c r="M270" s="835">
        <v>2E-3</v>
      </c>
      <c r="N270" s="832"/>
      <c r="O270" s="833"/>
    </row>
    <row r="271" spans="1:15" ht="30" customHeight="1" x14ac:dyDescent="0.25">
      <c r="A271" s="828"/>
      <c r="B271" s="828" t="s">
        <v>1434</v>
      </c>
      <c r="C27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PLAIN0341-30mm-Preto</v>
      </c>
      <c r="D271" s="828" t="s">
        <v>493</v>
      </c>
      <c r="E271" s="829"/>
      <c r="F271" s="829"/>
      <c r="G271" s="1058" t="s">
        <v>1628</v>
      </c>
      <c r="H271" s="829" t="s">
        <v>1435</v>
      </c>
      <c r="I271" s="829" t="s">
        <v>404</v>
      </c>
      <c r="J271" s="829" t="s">
        <v>499</v>
      </c>
      <c r="K271" s="829"/>
      <c r="L271" s="834">
        <v>43617</v>
      </c>
      <c r="M271" s="835">
        <v>0.05</v>
      </c>
      <c r="N271" s="832"/>
      <c r="O271" s="833"/>
    </row>
    <row r="272" spans="1:15" ht="30" customHeight="1" x14ac:dyDescent="0.25">
      <c r="A272" s="828"/>
      <c r="B272" s="828" t="s">
        <v>1062</v>
      </c>
      <c r="C27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TEEIN0012-75-(?)</v>
      </c>
      <c r="D272" s="828" t="s">
        <v>1011</v>
      </c>
      <c r="E272" s="828"/>
      <c r="F272" s="828"/>
      <c r="G272" s="1058" t="s">
        <v>1632</v>
      </c>
      <c r="H272" s="828" t="s">
        <v>421</v>
      </c>
      <c r="I272" s="828">
        <v>75</v>
      </c>
      <c r="J272" s="828"/>
      <c r="K272" s="828"/>
      <c r="L272" s="830">
        <v>44862</v>
      </c>
      <c r="M272" s="831">
        <v>16.8</v>
      </c>
      <c r="N272" s="832"/>
      <c r="O272" s="833"/>
    </row>
    <row r="273" spans="1:15" ht="30" customHeight="1" x14ac:dyDescent="0.25">
      <c r="A273" s="828"/>
      <c r="B273" s="828" t="s">
        <v>1063</v>
      </c>
      <c r="C27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TEEIN0013-75-(?)</v>
      </c>
      <c r="D273" s="828" t="s">
        <v>1011</v>
      </c>
      <c r="E273" s="829"/>
      <c r="F273" s="829"/>
      <c r="G273" s="1058" t="s">
        <v>1632</v>
      </c>
      <c r="H273" s="829" t="s">
        <v>626</v>
      </c>
      <c r="I273" s="829">
        <v>75</v>
      </c>
      <c r="J273" s="829"/>
      <c r="K273" s="829"/>
      <c r="L273" s="834">
        <v>44862</v>
      </c>
      <c r="M273" s="837">
        <v>15.96</v>
      </c>
      <c r="N273" s="832"/>
      <c r="O273" s="833"/>
    </row>
    <row r="274" spans="1:15" ht="30" customHeight="1" x14ac:dyDescent="0.25">
      <c r="A274" s="828"/>
      <c r="B274" s="828" t="s">
        <v>1064</v>
      </c>
      <c r="C27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TEEIN0240-140-(?)</v>
      </c>
      <c r="D274" s="828"/>
      <c r="E274" s="829"/>
      <c r="F274" s="829"/>
      <c r="G274" s="1058" t="s">
        <v>1632</v>
      </c>
      <c r="H274" s="829" t="s">
        <v>627</v>
      </c>
      <c r="I274" s="829"/>
      <c r="J274" s="829"/>
      <c r="K274" s="829"/>
      <c r="L274" s="834">
        <v>44862</v>
      </c>
      <c r="M274" s="835"/>
      <c r="N274" s="836"/>
      <c r="O274" s="833"/>
    </row>
    <row r="275" spans="1:15" ht="30" customHeight="1" x14ac:dyDescent="0.25">
      <c r="A275" s="828"/>
      <c r="B275" s="828" t="s">
        <v>1423</v>
      </c>
      <c r="C27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TEEIN0262-145-(?)</v>
      </c>
      <c r="D275" s="828" t="s">
        <v>628</v>
      </c>
      <c r="E275" s="828"/>
      <c r="F275" s="828"/>
      <c r="G275" s="1058" t="s">
        <v>1632</v>
      </c>
      <c r="H275" s="828" t="s">
        <v>921</v>
      </c>
      <c r="I275" s="828">
        <v>145</v>
      </c>
      <c r="J275" s="828"/>
      <c r="K275" s="828"/>
      <c r="L275" s="830">
        <v>44862</v>
      </c>
      <c r="M275" s="831">
        <v>23</v>
      </c>
      <c r="N275" s="832"/>
      <c r="O275" s="833"/>
    </row>
    <row r="276" spans="1:15" ht="30" customHeight="1" x14ac:dyDescent="0.25">
      <c r="A276" s="828"/>
      <c r="B276" s="828" t="s">
        <v>1424</v>
      </c>
      <c r="C27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TEEIN0019-140-Preto</v>
      </c>
      <c r="D276" s="828" t="s">
        <v>493</v>
      </c>
      <c r="E276" s="828"/>
      <c r="F276" s="828"/>
      <c r="G276" s="1058" t="s">
        <v>1632</v>
      </c>
      <c r="H276" s="828" t="s">
        <v>593</v>
      </c>
      <c r="I276" s="828"/>
      <c r="J276" s="828" t="s">
        <v>499</v>
      </c>
      <c r="K276" s="828"/>
      <c r="L276" s="830">
        <v>44678</v>
      </c>
      <c r="M276" s="831">
        <v>20.74</v>
      </c>
      <c r="N276" s="832" t="s">
        <v>365</v>
      </c>
      <c r="O276" s="833"/>
    </row>
    <row r="277" spans="1:15" ht="30" customHeight="1" x14ac:dyDescent="0.25">
      <c r="A277" s="828"/>
      <c r="B277" s="828" t="s">
        <v>1425</v>
      </c>
      <c r="C27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TEEIN0037-150-(?)</v>
      </c>
      <c r="D277" s="828" t="s">
        <v>428</v>
      </c>
      <c r="E277" s="828"/>
      <c r="F277" s="828"/>
      <c r="G277" s="1058" t="s">
        <v>1632</v>
      </c>
      <c r="H277" s="828" t="s">
        <v>1426</v>
      </c>
      <c r="I277" s="828">
        <v>150</v>
      </c>
      <c r="J277" s="843"/>
      <c r="K277" s="843"/>
      <c r="L277" s="830">
        <v>44862</v>
      </c>
      <c r="M277" s="831">
        <v>10</v>
      </c>
      <c r="N277" s="832"/>
      <c r="O277" s="833"/>
    </row>
    <row r="278" spans="1:15" ht="30" customHeight="1" x14ac:dyDescent="0.25">
      <c r="A278" s="828"/>
      <c r="B278" s="828" t="s">
        <v>1431</v>
      </c>
      <c r="C27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TEEIN0009-140-(?)</v>
      </c>
      <c r="D278" s="828" t="s">
        <v>428</v>
      </c>
      <c r="E278" s="829"/>
      <c r="F278" s="829"/>
      <c r="G278" s="1058" t="s">
        <v>1632</v>
      </c>
      <c r="H278" s="829" t="s">
        <v>631</v>
      </c>
      <c r="I278" s="829">
        <v>140</v>
      </c>
      <c r="J278" s="829"/>
      <c r="K278" s="829"/>
      <c r="L278" s="834">
        <v>44862</v>
      </c>
      <c r="M278" s="835">
        <v>39.799999999999997</v>
      </c>
      <c r="N278" s="836"/>
      <c r="O278" s="833"/>
    </row>
    <row r="279" spans="1:15" ht="30" customHeight="1" x14ac:dyDescent="0.25">
      <c r="A279" s="828"/>
      <c r="B279" s="828" t="s">
        <v>1413</v>
      </c>
      <c r="C27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TEPIN0006-160-(?)</v>
      </c>
      <c r="D279" s="828" t="s">
        <v>1414</v>
      </c>
      <c r="E279" s="828"/>
      <c r="F279" s="828"/>
      <c r="G279" s="1058" t="s">
        <v>1635</v>
      </c>
      <c r="H279" s="828" t="s">
        <v>1415</v>
      </c>
      <c r="I279" s="828">
        <v>160</v>
      </c>
      <c r="J279" s="828"/>
      <c r="K279" s="828"/>
      <c r="L279" s="830">
        <v>44862</v>
      </c>
      <c r="M279" s="831">
        <v>26.78</v>
      </c>
      <c r="N279" s="832"/>
      <c r="O279" s="833"/>
    </row>
    <row r="280" spans="1:15" ht="30" customHeight="1" x14ac:dyDescent="0.25">
      <c r="A280" s="828"/>
      <c r="B280" s="828" t="s">
        <v>1416</v>
      </c>
      <c r="C28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TEPIN0004-160-(?)</v>
      </c>
      <c r="D280" s="828" t="s">
        <v>1414</v>
      </c>
      <c r="E280" s="829"/>
      <c r="F280" s="829"/>
      <c r="G280" s="1058" t="s">
        <v>1635</v>
      </c>
      <c r="H280" s="829" t="s">
        <v>1417</v>
      </c>
      <c r="I280" s="829">
        <v>160</v>
      </c>
      <c r="J280" s="829"/>
      <c r="K280" s="829"/>
      <c r="L280" s="834">
        <v>44862</v>
      </c>
      <c r="M280" s="835">
        <v>24.14</v>
      </c>
      <c r="N280" s="832"/>
      <c r="O280" s="833"/>
    </row>
    <row r="281" spans="1:15" ht="30" customHeight="1" x14ac:dyDescent="0.25">
      <c r="A281" s="828"/>
      <c r="B281" s="828" t="s">
        <v>1418</v>
      </c>
      <c r="C28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TEPIN0005-160-(?)</v>
      </c>
      <c r="D281" s="828" t="s">
        <v>1414</v>
      </c>
      <c r="E281" s="828"/>
      <c r="F281" s="828"/>
      <c r="G281" s="1058" t="s">
        <v>1635</v>
      </c>
      <c r="H281" s="828" t="s">
        <v>1419</v>
      </c>
      <c r="I281" s="828">
        <v>160</v>
      </c>
      <c r="J281" s="828"/>
      <c r="K281" s="828"/>
      <c r="L281" s="830">
        <v>44862</v>
      </c>
      <c r="M281" s="831">
        <v>17.399999999999999</v>
      </c>
      <c r="N281" s="832"/>
      <c r="O281" s="833"/>
    </row>
    <row r="282" spans="1:15" ht="30" customHeight="1" x14ac:dyDescent="0.25">
      <c r="A282" s="828"/>
      <c r="B282" s="828" t="s">
        <v>1420</v>
      </c>
      <c r="C28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TEPIN0008-160-(?)</v>
      </c>
      <c r="D282" s="828" t="s">
        <v>1414</v>
      </c>
      <c r="E282" s="828"/>
      <c r="F282" s="828"/>
      <c r="G282" s="1058" t="s">
        <v>1635</v>
      </c>
      <c r="H282" s="828" t="s">
        <v>1421</v>
      </c>
      <c r="I282" s="828">
        <v>160</v>
      </c>
      <c r="J282" s="828"/>
      <c r="K282" s="828"/>
      <c r="L282" s="830">
        <v>44862</v>
      </c>
      <c r="M282" s="831">
        <v>19.61</v>
      </c>
      <c r="N282" s="832"/>
      <c r="O282" s="833"/>
    </row>
    <row r="283" spans="1:15" ht="30" customHeight="1" x14ac:dyDescent="0.25">
      <c r="A283" s="828"/>
      <c r="B283" s="828" t="s">
        <v>1422</v>
      </c>
      <c r="C28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TEPIN0020-150-(?)</v>
      </c>
      <c r="D283" s="828" t="s">
        <v>624</v>
      </c>
      <c r="E283" s="828"/>
      <c r="F283" s="828"/>
      <c r="G283" s="1058" t="s">
        <v>1635</v>
      </c>
      <c r="H283" s="828" t="s">
        <v>625</v>
      </c>
      <c r="I283" s="828">
        <v>150</v>
      </c>
      <c r="J283" s="828"/>
      <c r="K283" s="828"/>
      <c r="L283" s="830">
        <v>44862</v>
      </c>
      <c r="M283" s="831">
        <v>20.9</v>
      </c>
      <c r="N283" s="832"/>
      <c r="O283" s="833"/>
    </row>
    <row r="284" spans="1:15" ht="30" customHeight="1" x14ac:dyDescent="0.25">
      <c r="A284" s="828"/>
      <c r="B284" s="828" t="s">
        <v>1436</v>
      </c>
      <c r="C28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TEPIN0010-150-(?)</v>
      </c>
      <c r="D284" s="828" t="s">
        <v>624</v>
      </c>
      <c r="E284" s="829"/>
      <c r="F284" s="829"/>
      <c r="G284" s="1058" t="s">
        <v>1635</v>
      </c>
      <c r="H284" s="829" t="s">
        <v>420</v>
      </c>
      <c r="I284" s="829">
        <v>150</v>
      </c>
      <c r="J284" s="829"/>
      <c r="K284" s="829"/>
      <c r="L284" s="834">
        <v>44862</v>
      </c>
      <c r="M284" s="835">
        <v>23.9</v>
      </c>
      <c r="N284" s="832"/>
      <c r="O284" s="833"/>
    </row>
    <row r="285" spans="1:15" ht="30" customHeight="1" x14ac:dyDescent="0.25">
      <c r="A285" s="828"/>
      <c r="B285" s="828" t="s">
        <v>1437</v>
      </c>
      <c r="C28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TEPIN0032-150-(?)</v>
      </c>
      <c r="D285" s="828" t="s">
        <v>624</v>
      </c>
      <c r="E285" s="829"/>
      <c r="F285" s="829"/>
      <c r="G285" s="1058" t="s">
        <v>1635</v>
      </c>
      <c r="H285" s="829" t="s">
        <v>1438</v>
      </c>
      <c r="I285" s="829">
        <v>150</v>
      </c>
      <c r="J285" s="829"/>
      <c r="K285" s="829"/>
      <c r="L285" s="834">
        <v>44862</v>
      </c>
      <c r="M285" s="835">
        <v>31.9</v>
      </c>
      <c r="N285" s="832"/>
      <c r="O285" s="833"/>
    </row>
    <row r="286" spans="1:15" ht="30" customHeight="1" x14ac:dyDescent="0.25">
      <c r="A286" s="828"/>
      <c r="B286" s="828" t="s">
        <v>1169</v>
      </c>
      <c r="C28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TEPIN0251-140-Verde </v>
      </c>
      <c r="D286" s="828" t="s">
        <v>493</v>
      </c>
      <c r="E286" s="829"/>
      <c r="F286" s="829"/>
      <c r="G286" s="1059" t="s">
        <v>1635</v>
      </c>
      <c r="H286" s="829" t="s">
        <v>591</v>
      </c>
      <c r="I286" s="829"/>
      <c r="J286" s="829" t="s">
        <v>592</v>
      </c>
      <c r="K286" s="829"/>
      <c r="L286" s="834">
        <v>44531</v>
      </c>
      <c r="M286" s="835">
        <v>40</v>
      </c>
      <c r="N286" s="832" t="s">
        <v>365</v>
      </c>
      <c r="O286" s="833"/>
    </row>
    <row r="287" spans="1:15" ht="30" customHeight="1" x14ac:dyDescent="0.25">
      <c r="A287" s="828"/>
      <c r="B287" s="828" t="s">
        <v>1017</v>
      </c>
      <c r="C28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TEPIN0263-140-Azul M</v>
      </c>
      <c r="D287" s="828" t="s">
        <v>493</v>
      </c>
      <c r="E287" s="829"/>
      <c r="F287" s="829"/>
      <c r="G287" s="1059" t="s">
        <v>1635</v>
      </c>
      <c r="H287" s="829" t="s">
        <v>1018</v>
      </c>
      <c r="I287" s="829"/>
      <c r="J287" s="829" t="s">
        <v>1009</v>
      </c>
      <c r="K287" s="829"/>
      <c r="L287" s="834">
        <v>44531</v>
      </c>
      <c r="M287" s="835">
        <v>46.634999999999998</v>
      </c>
      <c r="N287" s="836"/>
      <c r="O287" s="833"/>
    </row>
    <row r="288" spans="1:15" ht="30" customHeight="1" x14ac:dyDescent="0.25">
      <c r="A288" s="828"/>
      <c r="B288" s="828" t="s">
        <v>1019</v>
      </c>
      <c r="C28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TEPIN0289-140-Vermel</v>
      </c>
      <c r="D288" s="828" t="s">
        <v>493</v>
      </c>
      <c r="E288" s="829"/>
      <c r="F288" s="829"/>
      <c r="G288" s="1058" t="s">
        <v>1635</v>
      </c>
      <c r="H288" s="829" t="s">
        <v>1020</v>
      </c>
      <c r="I288" s="829"/>
      <c r="J288" s="829" t="s">
        <v>574</v>
      </c>
      <c r="K288" s="829"/>
      <c r="L288" s="834">
        <v>44531</v>
      </c>
      <c r="M288" s="835">
        <v>46.634999999999998</v>
      </c>
      <c r="N288" s="832"/>
      <c r="O288" s="833"/>
    </row>
    <row r="289" spans="1:15" ht="30" customHeight="1" x14ac:dyDescent="0.25">
      <c r="A289" s="828"/>
      <c r="B289" s="828" t="s">
        <v>1255</v>
      </c>
      <c r="C28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TEPIN0265-140-Cinza </v>
      </c>
      <c r="D289" s="828" t="s">
        <v>493</v>
      </c>
      <c r="E289" s="829"/>
      <c r="F289" s="829"/>
      <c r="G289" s="1058" t="s">
        <v>1635</v>
      </c>
      <c r="H289" s="829" t="s">
        <v>594</v>
      </c>
      <c r="I289" s="829"/>
      <c r="J289" s="829" t="s">
        <v>595</v>
      </c>
      <c r="K289" s="829"/>
      <c r="L289" s="834">
        <v>44531</v>
      </c>
      <c r="M289" s="835">
        <v>18.02</v>
      </c>
      <c r="N289" s="832"/>
      <c r="O289" s="833"/>
    </row>
    <row r="290" spans="1:15" ht="30" customHeight="1" x14ac:dyDescent="0.25">
      <c r="A290" s="828"/>
      <c r="B290" s="828" t="s">
        <v>1256</v>
      </c>
      <c r="C29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TEPIN0266-140-Jeans</v>
      </c>
      <c r="D290" s="828" t="s">
        <v>493</v>
      </c>
      <c r="E290" s="829"/>
      <c r="F290" s="829"/>
      <c r="G290" s="1058" t="s">
        <v>1635</v>
      </c>
      <c r="H290" s="829" t="s">
        <v>1257</v>
      </c>
      <c r="I290" s="829"/>
      <c r="J290" s="829" t="s">
        <v>1258</v>
      </c>
      <c r="K290" s="829"/>
      <c r="L290" s="834">
        <v>44531</v>
      </c>
      <c r="M290" s="835">
        <v>17.736000000000001</v>
      </c>
      <c r="N290" s="832"/>
      <c r="O290" s="833"/>
    </row>
    <row r="291" spans="1:15" ht="30" customHeight="1" x14ac:dyDescent="0.25">
      <c r="A291" s="828"/>
      <c r="B291" s="828" t="s">
        <v>1259</v>
      </c>
      <c r="C29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TEPIN0267-140-Marrom</v>
      </c>
      <c r="D291" s="828" t="s">
        <v>493</v>
      </c>
      <c r="E291" s="828"/>
      <c r="F291" s="828"/>
      <c r="G291" s="1058" t="s">
        <v>1635</v>
      </c>
      <c r="H291" s="829" t="s">
        <v>1260</v>
      </c>
      <c r="I291" s="829"/>
      <c r="J291" s="829" t="s">
        <v>1261</v>
      </c>
      <c r="K291" s="828"/>
      <c r="L291" s="830">
        <v>44531</v>
      </c>
      <c r="M291" s="831">
        <v>17.306000000000001</v>
      </c>
      <c r="N291" s="832"/>
      <c r="O291" s="833"/>
    </row>
    <row r="292" spans="1:15" ht="30" customHeight="1" x14ac:dyDescent="0.25">
      <c r="A292" s="828"/>
      <c r="B292" s="828" t="s">
        <v>1262</v>
      </c>
      <c r="C29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TEPIN0268-140-Amarel</v>
      </c>
      <c r="D292" s="828" t="s">
        <v>493</v>
      </c>
      <c r="E292" s="828"/>
      <c r="F292" s="828"/>
      <c r="G292" s="1058" t="s">
        <v>1635</v>
      </c>
      <c r="H292" s="829" t="s">
        <v>1263</v>
      </c>
      <c r="I292" s="829"/>
      <c r="J292" s="829" t="s">
        <v>1264</v>
      </c>
      <c r="K292" s="828"/>
      <c r="L292" s="830">
        <v>44531</v>
      </c>
      <c r="M292" s="831">
        <v>17.8</v>
      </c>
      <c r="N292" s="832"/>
      <c r="O292" s="833"/>
    </row>
    <row r="293" spans="1:15" ht="30" customHeight="1" x14ac:dyDescent="0.25">
      <c r="A293" s="828"/>
      <c r="B293" s="828" t="s">
        <v>1265</v>
      </c>
      <c r="C29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TEPIN0269-140-Azul R</v>
      </c>
      <c r="D293" s="828" t="s">
        <v>493</v>
      </c>
      <c r="E293" s="828"/>
      <c r="F293" s="828"/>
      <c r="G293" s="1058" t="s">
        <v>1635</v>
      </c>
      <c r="H293" s="829" t="s">
        <v>1266</v>
      </c>
      <c r="I293" s="829"/>
      <c r="J293" s="829" t="s">
        <v>1267</v>
      </c>
      <c r="K293" s="828"/>
      <c r="L293" s="830">
        <v>44531</v>
      </c>
      <c r="M293" s="831">
        <v>17.8</v>
      </c>
      <c r="N293" s="832"/>
      <c r="O293" s="833"/>
    </row>
    <row r="294" spans="1:15" ht="30" customHeight="1" x14ac:dyDescent="0.25">
      <c r="A294" s="828"/>
      <c r="B294" s="828" t="s">
        <v>1268</v>
      </c>
      <c r="C29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TEPIN0270-140-Lilás</v>
      </c>
      <c r="D294" s="828" t="s">
        <v>493</v>
      </c>
      <c r="E294" s="829"/>
      <c r="F294" s="829"/>
      <c r="G294" s="1058" t="s">
        <v>1635</v>
      </c>
      <c r="H294" s="829" t="s">
        <v>1269</v>
      </c>
      <c r="I294" s="829"/>
      <c r="J294" s="829" t="s">
        <v>1085</v>
      </c>
      <c r="K294" s="829"/>
      <c r="L294" s="834">
        <v>44531</v>
      </c>
      <c r="M294" s="835">
        <v>17.8</v>
      </c>
      <c r="N294" s="832"/>
      <c r="O294" s="833"/>
    </row>
    <row r="295" spans="1:15" ht="30" customHeight="1" x14ac:dyDescent="0.25">
      <c r="A295" s="828"/>
      <c r="B295" s="828" t="s">
        <v>1270</v>
      </c>
      <c r="C29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TEPIN0271-140-Preto</v>
      </c>
      <c r="D295" s="828" t="s">
        <v>493</v>
      </c>
      <c r="E295" s="828"/>
      <c r="F295" s="828"/>
      <c r="G295" s="1058" t="s">
        <v>1635</v>
      </c>
      <c r="H295" s="828" t="s">
        <v>596</v>
      </c>
      <c r="I295" s="828"/>
      <c r="J295" s="828" t="s">
        <v>499</v>
      </c>
      <c r="K295" s="828"/>
      <c r="L295" s="830">
        <v>44531</v>
      </c>
      <c r="M295" s="831">
        <v>14.478999999999999</v>
      </c>
      <c r="N295" s="832"/>
      <c r="O295" s="833"/>
    </row>
    <row r="296" spans="1:15" ht="30" customHeight="1" x14ac:dyDescent="0.25">
      <c r="A296" s="828"/>
      <c r="B296" s="828" t="s">
        <v>1271</v>
      </c>
      <c r="C29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TEPIN0272-140-Rosa P</v>
      </c>
      <c r="D296" s="828" t="s">
        <v>493</v>
      </c>
      <c r="E296" s="828"/>
      <c r="F296" s="828"/>
      <c r="G296" s="1058" t="s">
        <v>1635</v>
      </c>
      <c r="H296" s="828" t="s">
        <v>1272</v>
      </c>
      <c r="I296" s="828"/>
      <c r="J296" s="828" t="s">
        <v>1273</v>
      </c>
      <c r="K296" s="828"/>
      <c r="L296" s="830">
        <v>44531</v>
      </c>
      <c r="M296" s="831">
        <v>17.8</v>
      </c>
      <c r="N296" s="832"/>
      <c r="O296" s="833"/>
    </row>
    <row r="297" spans="1:15" ht="30" customHeight="1" x14ac:dyDescent="0.25">
      <c r="A297" s="828"/>
      <c r="B297" s="828" t="s">
        <v>1274</v>
      </c>
      <c r="C29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TEPIN0273-140-Verde</v>
      </c>
      <c r="D297" s="828" t="s">
        <v>493</v>
      </c>
      <c r="E297" s="829"/>
      <c r="F297" s="829"/>
      <c r="G297" s="1058" t="s">
        <v>1635</v>
      </c>
      <c r="H297" s="829" t="s">
        <v>1275</v>
      </c>
      <c r="I297" s="829"/>
      <c r="J297" s="829" t="s">
        <v>1276</v>
      </c>
      <c r="K297" s="829"/>
      <c r="L297" s="834">
        <v>44531</v>
      </c>
      <c r="M297" s="837">
        <v>17.8</v>
      </c>
      <c r="N297" s="836"/>
      <c r="O297" s="833"/>
    </row>
    <row r="298" spans="1:15" ht="30" customHeight="1" x14ac:dyDescent="0.25">
      <c r="A298" s="828"/>
      <c r="B298" s="828" t="s">
        <v>1277</v>
      </c>
      <c r="C29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TEPIN0274-140-Vermel</v>
      </c>
      <c r="D298" s="828" t="s">
        <v>493</v>
      </c>
      <c r="E298" s="829"/>
      <c r="F298" s="829"/>
      <c r="G298" s="1058" t="s">
        <v>1635</v>
      </c>
      <c r="H298" s="829" t="s">
        <v>1278</v>
      </c>
      <c r="I298" s="829"/>
      <c r="J298" s="829" t="s">
        <v>574</v>
      </c>
      <c r="K298" s="829"/>
      <c r="L298" s="834">
        <v>44531</v>
      </c>
      <c r="M298" s="837">
        <v>17.8</v>
      </c>
      <c r="N298" s="836"/>
      <c r="O298" s="833"/>
    </row>
    <row r="299" spans="1:15" ht="30" customHeight="1" x14ac:dyDescent="0.25">
      <c r="A299" s="828"/>
      <c r="B299" s="828" t="s">
        <v>1279</v>
      </c>
      <c r="C29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TEPIN0275-140-Azul R</v>
      </c>
      <c r="D299" s="828" t="s">
        <v>493</v>
      </c>
      <c r="E299" s="828"/>
      <c r="F299" s="828"/>
      <c r="G299" s="1058" t="s">
        <v>1635</v>
      </c>
      <c r="H299" s="828" t="s">
        <v>1280</v>
      </c>
      <c r="I299" s="828"/>
      <c r="J299" s="828" t="s">
        <v>1267</v>
      </c>
      <c r="K299" s="828"/>
      <c r="L299" s="830">
        <v>44531</v>
      </c>
      <c r="M299" s="831">
        <v>9.6110000000000007</v>
      </c>
      <c r="N299" s="832"/>
      <c r="O299" s="833"/>
    </row>
    <row r="300" spans="1:15" ht="30" customHeight="1" x14ac:dyDescent="0.25">
      <c r="A300" s="828"/>
      <c r="B300" s="828" t="s">
        <v>1281</v>
      </c>
      <c r="C30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TEPIN0276-140-Preto</v>
      </c>
      <c r="D300" s="828" t="s">
        <v>493</v>
      </c>
      <c r="E300" s="828"/>
      <c r="F300" s="828"/>
      <c r="G300" s="1058" t="s">
        <v>1635</v>
      </c>
      <c r="H300" s="828" t="s">
        <v>1282</v>
      </c>
      <c r="I300" s="828"/>
      <c r="J300" s="828" t="s">
        <v>499</v>
      </c>
      <c r="K300" s="828"/>
      <c r="L300" s="830">
        <v>44531</v>
      </c>
      <c r="M300" s="831">
        <v>9.7230000000000008</v>
      </c>
      <c r="N300" s="832"/>
      <c r="O300" s="833"/>
    </row>
    <row r="301" spans="1:15" ht="30" customHeight="1" x14ac:dyDescent="0.25">
      <c r="A301" s="828"/>
      <c r="B301" s="828" t="s">
        <v>1283</v>
      </c>
      <c r="C30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TEPIN0014-140-Vermel</v>
      </c>
      <c r="D301" s="828" t="s">
        <v>493</v>
      </c>
      <c r="E301" s="828"/>
      <c r="F301" s="828"/>
      <c r="G301" s="1058" t="s">
        <v>1635</v>
      </c>
      <c r="H301" s="828" t="s">
        <v>1284</v>
      </c>
      <c r="I301" s="828"/>
      <c r="J301" s="828" t="s">
        <v>574</v>
      </c>
      <c r="K301" s="828"/>
      <c r="L301" s="830">
        <v>44531</v>
      </c>
      <c r="M301" s="831">
        <v>9.6110000000000007</v>
      </c>
      <c r="N301" s="832"/>
      <c r="O301" s="833"/>
    </row>
    <row r="302" spans="1:15" ht="30" customHeight="1" x14ac:dyDescent="0.25">
      <c r="A302" s="828"/>
      <c r="B302" s="828" t="s">
        <v>1285</v>
      </c>
      <c r="C30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TEPIN0015-140-(?)</v>
      </c>
      <c r="D302" s="828" t="s">
        <v>426</v>
      </c>
      <c r="E302" s="828"/>
      <c r="F302" s="828"/>
      <c r="G302" s="1058" t="s">
        <v>1635</v>
      </c>
      <c r="H302" s="828" t="s">
        <v>1286</v>
      </c>
      <c r="I302" s="828"/>
      <c r="J302" s="828"/>
      <c r="K302" s="828"/>
      <c r="L302" s="830">
        <v>44862</v>
      </c>
      <c r="M302" s="831">
        <v>19.55</v>
      </c>
      <c r="N302" s="832"/>
      <c r="O302" s="833"/>
    </row>
    <row r="303" spans="1:15" ht="30" customHeight="1" x14ac:dyDescent="0.25">
      <c r="A303" s="828"/>
      <c r="B303" s="828" t="s">
        <v>1287</v>
      </c>
      <c r="C30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TEPIN0016-140-(?)</v>
      </c>
      <c r="D303" s="828" t="s">
        <v>426</v>
      </c>
      <c r="E303" s="829"/>
      <c r="F303" s="829"/>
      <c r="G303" s="1058" t="s">
        <v>1635</v>
      </c>
      <c r="H303" s="829" t="s">
        <v>1288</v>
      </c>
      <c r="I303" s="829"/>
      <c r="J303" s="829"/>
      <c r="K303" s="829"/>
      <c r="L303" s="834">
        <v>44862</v>
      </c>
      <c r="M303" s="837">
        <v>21.6</v>
      </c>
      <c r="N303" s="836"/>
      <c r="O303" s="833"/>
    </row>
    <row r="304" spans="1:15" ht="30" customHeight="1" x14ac:dyDescent="0.25">
      <c r="A304" s="828"/>
      <c r="B304" s="828" t="s">
        <v>1289</v>
      </c>
      <c r="C30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TEPIN0220-140-(?)</v>
      </c>
      <c r="D304" s="828" t="s">
        <v>426</v>
      </c>
      <c r="E304" s="829"/>
      <c r="F304" s="829"/>
      <c r="G304" s="1058" t="s">
        <v>1635</v>
      </c>
      <c r="H304" s="829" t="s">
        <v>1290</v>
      </c>
      <c r="I304" s="829"/>
      <c r="J304" s="829"/>
      <c r="K304" s="829"/>
      <c r="L304" s="834">
        <v>44862</v>
      </c>
      <c r="M304" s="837">
        <v>15.9</v>
      </c>
      <c r="N304" s="832"/>
      <c r="O304" s="833"/>
    </row>
    <row r="305" spans="1:15" ht="30" customHeight="1" x14ac:dyDescent="0.25">
      <c r="A305" s="828"/>
      <c r="B305" s="828" t="s">
        <v>1143</v>
      </c>
      <c r="C30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TEPIN0249-140-(?)</v>
      </c>
      <c r="D305" s="828" t="s">
        <v>429</v>
      </c>
      <c r="E305" s="828"/>
      <c r="F305" s="828"/>
      <c r="G305" s="1058" t="s">
        <v>1635</v>
      </c>
      <c r="H305" s="828" t="s">
        <v>634</v>
      </c>
      <c r="I305" s="828"/>
      <c r="J305" s="828"/>
      <c r="K305" s="828"/>
      <c r="L305" s="830">
        <v>44862</v>
      </c>
      <c r="M305" s="831">
        <v>7</v>
      </c>
      <c r="N305" s="832"/>
      <c r="O305" s="833"/>
    </row>
    <row r="306" spans="1:15" ht="30" customHeight="1" x14ac:dyDescent="0.25">
      <c r="A306" s="828"/>
      <c r="B306" s="828" t="s">
        <v>1293</v>
      </c>
      <c r="C30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TEPIN0298-140-(?)</v>
      </c>
      <c r="D306" s="828" t="s">
        <v>427</v>
      </c>
      <c r="E306" s="828"/>
      <c r="F306" s="828"/>
      <c r="G306" s="1058" t="s">
        <v>1635</v>
      </c>
      <c r="H306" s="828" t="s">
        <v>422</v>
      </c>
      <c r="I306" s="828"/>
      <c r="J306" s="828"/>
      <c r="K306" s="828"/>
      <c r="L306" s="830">
        <v>44862</v>
      </c>
      <c r="M306" s="831">
        <v>10.9</v>
      </c>
      <c r="N306" s="832"/>
      <c r="O306" s="833"/>
    </row>
    <row r="307" spans="1:15" ht="30" customHeight="1" x14ac:dyDescent="0.25">
      <c r="A307" s="828"/>
      <c r="B307" s="828" t="s">
        <v>1365</v>
      </c>
      <c r="C30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TEPIN0278-140-Prata</v>
      </c>
      <c r="D307" s="828" t="s">
        <v>493</v>
      </c>
      <c r="E307" s="828"/>
      <c r="F307" s="828"/>
      <c r="G307" s="1058" t="s">
        <v>1635</v>
      </c>
      <c r="H307" s="828" t="s">
        <v>597</v>
      </c>
      <c r="I307" s="828"/>
      <c r="J307" s="828" t="s">
        <v>454</v>
      </c>
      <c r="K307" s="828"/>
      <c r="L307" s="830">
        <v>44531</v>
      </c>
      <c r="M307" s="831">
        <v>23.832999999999998</v>
      </c>
      <c r="N307" s="832"/>
      <c r="O307" s="833"/>
    </row>
    <row r="308" spans="1:15" ht="30" customHeight="1" x14ac:dyDescent="0.25">
      <c r="A308" s="828"/>
      <c r="B308" s="828" t="s">
        <v>1366</v>
      </c>
      <c r="C30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TEPIN0279-140-Preto</v>
      </c>
      <c r="D308" s="828" t="s">
        <v>493</v>
      </c>
      <c r="E308" s="828"/>
      <c r="F308" s="828"/>
      <c r="G308" s="1058" t="s">
        <v>1635</v>
      </c>
      <c r="H308" s="828" t="s">
        <v>598</v>
      </c>
      <c r="I308" s="828"/>
      <c r="J308" s="828" t="s">
        <v>499</v>
      </c>
      <c r="K308" s="828"/>
      <c r="L308" s="830">
        <v>44531</v>
      </c>
      <c r="M308" s="831">
        <v>26.402999999999999</v>
      </c>
      <c r="N308" s="832"/>
      <c r="O308" s="833"/>
    </row>
    <row r="309" spans="1:15" ht="30" customHeight="1" x14ac:dyDescent="0.25">
      <c r="A309" s="828"/>
      <c r="B309" s="828" t="s">
        <v>1367</v>
      </c>
      <c r="C30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TEPIN0280-140-Vermel</v>
      </c>
      <c r="D309" s="828" t="s">
        <v>493</v>
      </c>
      <c r="E309" s="828"/>
      <c r="F309" s="828"/>
      <c r="G309" s="1058" t="s">
        <v>1635</v>
      </c>
      <c r="H309" s="828" t="s">
        <v>1368</v>
      </c>
      <c r="I309" s="828"/>
      <c r="J309" s="828" t="s">
        <v>574</v>
      </c>
      <c r="K309" s="828"/>
      <c r="L309" s="830">
        <v>44531</v>
      </c>
      <c r="M309" s="831">
        <v>23.832999999999998</v>
      </c>
      <c r="N309" s="832"/>
      <c r="O309" s="833"/>
    </row>
    <row r="310" spans="1:15" ht="30" customHeight="1" x14ac:dyDescent="0.25">
      <c r="A310" s="828"/>
      <c r="B310" s="828" t="s">
        <v>1369</v>
      </c>
      <c r="C31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TEPIN0281-140-Branco</v>
      </c>
      <c r="D310" s="828" t="s">
        <v>493</v>
      </c>
      <c r="E310" s="829"/>
      <c r="F310" s="829"/>
      <c r="G310" s="1058" t="s">
        <v>1635</v>
      </c>
      <c r="H310" s="829" t="s">
        <v>599</v>
      </c>
      <c r="I310" s="829"/>
      <c r="J310" s="829" t="s">
        <v>556</v>
      </c>
      <c r="K310" s="829"/>
      <c r="L310" s="834">
        <v>44531</v>
      </c>
      <c r="M310" s="835">
        <v>10.176</v>
      </c>
      <c r="N310" s="836"/>
      <c r="O310" s="833"/>
    </row>
    <row r="311" spans="1:15" ht="30" customHeight="1" x14ac:dyDescent="0.25">
      <c r="A311" s="828"/>
      <c r="B311" s="828" t="s">
        <v>1370</v>
      </c>
      <c r="C31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TEPIN0282-140-Laranj</v>
      </c>
      <c r="D311" s="828" t="s">
        <v>493</v>
      </c>
      <c r="E311" s="829"/>
      <c r="F311" s="829"/>
      <c r="G311" s="1058" t="s">
        <v>1635</v>
      </c>
      <c r="H311" s="829" t="s">
        <v>1371</v>
      </c>
      <c r="I311" s="829"/>
      <c r="J311" s="829" t="s">
        <v>552</v>
      </c>
      <c r="K311" s="829"/>
      <c r="L311" s="834">
        <v>44531</v>
      </c>
      <c r="M311" s="835">
        <v>10.779</v>
      </c>
      <c r="N311" s="832"/>
      <c r="O311" s="833"/>
    </row>
    <row r="312" spans="1:15" ht="30" customHeight="1" x14ac:dyDescent="0.25">
      <c r="A312" s="828"/>
      <c r="B312" s="828" t="s">
        <v>1372</v>
      </c>
      <c r="C31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TEPIN0283-140-Preto </v>
      </c>
      <c r="D312" s="828" t="s">
        <v>493</v>
      </c>
      <c r="E312" s="829"/>
      <c r="F312" s="829"/>
      <c r="G312" s="1058" t="s">
        <v>1635</v>
      </c>
      <c r="H312" s="829" t="s">
        <v>600</v>
      </c>
      <c r="I312" s="829"/>
      <c r="J312" s="829" t="s">
        <v>495</v>
      </c>
      <c r="K312" s="829"/>
      <c r="L312" s="834">
        <v>44531</v>
      </c>
      <c r="M312" s="835">
        <v>12</v>
      </c>
      <c r="N312" s="836"/>
      <c r="O312" s="833"/>
    </row>
    <row r="313" spans="1:15" ht="30" customHeight="1" x14ac:dyDescent="0.25">
      <c r="A313" s="828"/>
      <c r="B313" s="828" t="s">
        <v>1373</v>
      </c>
      <c r="C31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xml:space="preserve">TEPIN0284-140-Verde </v>
      </c>
      <c r="D313" s="828" t="s">
        <v>493</v>
      </c>
      <c r="E313" s="829"/>
      <c r="F313" s="829"/>
      <c r="G313" s="1058" t="s">
        <v>1635</v>
      </c>
      <c r="H313" s="829" t="s">
        <v>601</v>
      </c>
      <c r="I313" s="829"/>
      <c r="J313" s="829" t="s">
        <v>602</v>
      </c>
      <c r="K313" s="829"/>
      <c r="L313" s="834">
        <v>44531</v>
      </c>
      <c r="M313" s="835">
        <v>18.079999999999998</v>
      </c>
      <c r="N313" s="832"/>
      <c r="O313" s="833"/>
    </row>
    <row r="314" spans="1:15" ht="30" customHeight="1" x14ac:dyDescent="0.25">
      <c r="A314" s="828"/>
      <c r="B314" s="828" t="s">
        <v>1374</v>
      </c>
      <c r="C31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TEPIN0218-140-Preto</v>
      </c>
      <c r="D314" s="828" t="s">
        <v>493</v>
      </c>
      <c r="E314" s="829"/>
      <c r="F314" s="829"/>
      <c r="G314" s="1058" t="s">
        <v>1635</v>
      </c>
      <c r="H314" s="829" t="s">
        <v>603</v>
      </c>
      <c r="I314" s="829"/>
      <c r="J314" s="829" t="s">
        <v>499</v>
      </c>
      <c r="K314" s="829"/>
      <c r="L314" s="834">
        <v>44531</v>
      </c>
      <c r="M314" s="835">
        <v>15.866</v>
      </c>
      <c r="N314" s="836"/>
      <c r="O314" s="833"/>
    </row>
    <row r="315" spans="1:15" ht="30" customHeight="1" x14ac:dyDescent="0.25">
      <c r="A315" s="828"/>
      <c r="B315" s="828" t="s">
        <v>1352</v>
      </c>
      <c r="C31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TNTIN0025-(?)-Crista</v>
      </c>
      <c r="D315" s="828" t="s">
        <v>493</v>
      </c>
      <c r="E315" s="828"/>
      <c r="F315" s="828"/>
      <c r="G315" s="1058" t="s">
        <v>1353</v>
      </c>
      <c r="H315" s="828" t="s">
        <v>1354</v>
      </c>
      <c r="I315" s="828"/>
      <c r="J315" s="828" t="s">
        <v>1355</v>
      </c>
      <c r="K315" s="828"/>
      <c r="L315" s="830">
        <v>44531</v>
      </c>
      <c r="M315" s="831">
        <v>5</v>
      </c>
      <c r="N315" s="832"/>
      <c r="O315" s="833"/>
    </row>
    <row r="316" spans="1:15" ht="30" customHeight="1" x14ac:dyDescent="0.25">
      <c r="A316" s="828"/>
      <c r="B316" s="828" t="s">
        <v>1253</v>
      </c>
      <c r="C31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TNTIN0264-(?)-Preto</v>
      </c>
      <c r="D316" s="828" t="s">
        <v>493</v>
      </c>
      <c r="E316" s="829"/>
      <c r="F316" s="829"/>
      <c r="G316" s="1059" t="s">
        <v>1254</v>
      </c>
      <c r="H316" s="829" t="s">
        <v>604</v>
      </c>
      <c r="I316" s="829"/>
      <c r="J316" s="829" t="s">
        <v>499</v>
      </c>
      <c r="K316" s="829"/>
      <c r="L316" s="834">
        <v>44531</v>
      </c>
      <c r="M316" s="835">
        <v>5.5419999999999998</v>
      </c>
      <c r="N316" s="836"/>
      <c r="O316" s="833"/>
    </row>
    <row r="317" spans="1:15" ht="30" customHeight="1" x14ac:dyDescent="0.25">
      <c r="A317" s="828"/>
      <c r="B317" s="828" t="s">
        <v>1356</v>
      </c>
      <c r="C31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TNTIN0026-140-(?)</v>
      </c>
      <c r="D317" s="828" t="s">
        <v>428</v>
      </c>
      <c r="E317" s="828"/>
      <c r="F317" s="828"/>
      <c r="G317" s="1058" t="s">
        <v>1254</v>
      </c>
      <c r="H317" s="828" t="s">
        <v>1357</v>
      </c>
      <c r="I317" s="828">
        <v>140</v>
      </c>
      <c r="J317" s="828"/>
      <c r="K317" s="828"/>
      <c r="L317" s="830">
        <v>44862</v>
      </c>
      <c r="M317" s="831">
        <v>13.2</v>
      </c>
      <c r="N317" s="832"/>
      <c r="O317" s="833"/>
    </row>
    <row r="318" spans="1:15" ht="30" customHeight="1" x14ac:dyDescent="0.25">
      <c r="A318" s="828"/>
      <c r="B318" s="828" t="s">
        <v>1358</v>
      </c>
      <c r="C31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TNTIN0035-140-(?)</v>
      </c>
      <c r="D318" s="828" t="s">
        <v>428</v>
      </c>
      <c r="E318" s="828"/>
      <c r="F318" s="828"/>
      <c r="G318" s="1058" t="s">
        <v>1254</v>
      </c>
      <c r="H318" s="828" t="s">
        <v>1359</v>
      </c>
      <c r="I318" s="828">
        <v>140</v>
      </c>
      <c r="J318" s="828"/>
      <c r="K318" s="828"/>
      <c r="L318" s="830">
        <v>44862</v>
      </c>
      <c r="M318" s="831">
        <v>19.8</v>
      </c>
      <c r="N318" s="832"/>
      <c r="O318" s="833"/>
    </row>
    <row r="319" spans="1:15" ht="30" customHeight="1" x14ac:dyDescent="0.25">
      <c r="A319" s="828"/>
      <c r="B319" s="828" t="s">
        <v>1360</v>
      </c>
      <c r="C31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TNTIN0027-140-(?)</v>
      </c>
      <c r="D319" s="828" t="s">
        <v>1361</v>
      </c>
      <c r="E319" s="829"/>
      <c r="F319" s="829"/>
      <c r="G319" s="1059" t="s">
        <v>1254</v>
      </c>
      <c r="H319" s="829" t="s">
        <v>1362</v>
      </c>
      <c r="I319" s="829">
        <v>140</v>
      </c>
      <c r="J319" s="829"/>
      <c r="K319" s="829"/>
      <c r="L319" s="834">
        <v>44862</v>
      </c>
      <c r="M319" s="835">
        <v>26.4</v>
      </c>
      <c r="N319" s="832"/>
      <c r="O319" s="833"/>
    </row>
    <row r="320" spans="1:15" ht="30" customHeight="1" x14ac:dyDescent="0.25">
      <c r="A320" s="828"/>
      <c r="B320" s="828" t="s">
        <v>1363</v>
      </c>
      <c r="C32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TNTIN0024-140-(?)</v>
      </c>
      <c r="D320" s="828" t="s">
        <v>428</v>
      </c>
      <c r="E320" s="829"/>
      <c r="F320" s="829"/>
      <c r="G320" s="1059" t="s">
        <v>1254</v>
      </c>
      <c r="H320" s="829" t="s">
        <v>630</v>
      </c>
      <c r="I320" s="829">
        <v>140</v>
      </c>
      <c r="J320" s="829"/>
      <c r="K320" s="829"/>
      <c r="L320" s="834">
        <v>44862</v>
      </c>
      <c r="M320" s="835">
        <v>16.8</v>
      </c>
      <c r="N320" s="836"/>
      <c r="O320" s="833"/>
    </row>
    <row r="321" spans="1:15" ht="30" customHeight="1" x14ac:dyDescent="0.25">
      <c r="A321" s="828"/>
      <c r="B321" s="828" t="s">
        <v>1364</v>
      </c>
      <c r="C32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TNTIN0277-140-(?)</v>
      </c>
      <c r="D321" s="828" t="s">
        <v>428</v>
      </c>
      <c r="E321" s="828"/>
      <c r="F321" s="828"/>
      <c r="G321" s="1058" t="s">
        <v>1254</v>
      </c>
      <c r="H321" s="828" t="s">
        <v>629</v>
      </c>
      <c r="I321" s="828">
        <v>140</v>
      </c>
      <c r="J321" s="828"/>
      <c r="K321" s="828"/>
      <c r="L321" s="830">
        <v>44862</v>
      </c>
      <c r="M321" s="831">
        <v>20.8</v>
      </c>
      <c r="N321" s="832"/>
      <c r="O321" s="833"/>
    </row>
    <row r="322" spans="1:15" ht="30" customHeight="1" x14ac:dyDescent="0.25">
      <c r="A322" s="828"/>
      <c r="B322" s="828" t="s">
        <v>1402</v>
      </c>
      <c r="C32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TNTIN0028-140-(?)</v>
      </c>
      <c r="D322" s="828" t="s">
        <v>428</v>
      </c>
      <c r="E322" s="828"/>
      <c r="F322" s="828"/>
      <c r="G322" s="1058" t="s">
        <v>1254</v>
      </c>
      <c r="H322" s="828" t="s">
        <v>665</v>
      </c>
      <c r="I322" s="828">
        <v>140</v>
      </c>
      <c r="J322" s="828"/>
      <c r="K322" s="828"/>
      <c r="L322" s="830">
        <v>44862</v>
      </c>
      <c r="M322" s="831">
        <v>52.8</v>
      </c>
      <c r="N322" s="832"/>
      <c r="O322" s="833"/>
    </row>
    <row r="323" spans="1:15" ht="30" customHeight="1" x14ac:dyDescent="0.25">
      <c r="A323" s="828"/>
      <c r="B323" s="828" t="s">
        <v>1403</v>
      </c>
      <c r="C32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TNTIN0194-140-(?)</v>
      </c>
      <c r="D323" s="828" t="s">
        <v>428</v>
      </c>
      <c r="E323" s="829"/>
      <c r="F323" s="829"/>
      <c r="G323" s="1059" t="s">
        <v>1254</v>
      </c>
      <c r="H323" s="829" t="s">
        <v>423</v>
      </c>
      <c r="I323" s="829">
        <v>140</v>
      </c>
      <c r="J323" s="829"/>
      <c r="K323" s="829"/>
      <c r="L323" s="834">
        <v>44862</v>
      </c>
      <c r="M323" s="835">
        <v>73.8</v>
      </c>
      <c r="N323" s="832"/>
      <c r="O323" s="833"/>
    </row>
    <row r="324" spans="1:15" ht="30" customHeight="1" x14ac:dyDescent="0.25">
      <c r="A324" s="828"/>
      <c r="B324" s="828" t="s">
        <v>1427</v>
      </c>
      <c r="C32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TNTIN0036-(?)-(?)</v>
      </c>
      <c r="D324" s="828" t="s">
        <v>1361</v>
      </c>
      <c r="E324" s="828"/>
      <c r="F324" s="828"/>
      <c r="G324" s="1058" t="s">
        <v>1254</v>
      </c>
      <c r="H324" s="828" t="s">
        <v>1428</v>
      </c>
      <c r="I324" s="828"/>
      <c r="J324" s="828"/>
      <c r="K324" s="843"/>
      <c r="L324" s="830">
        <v>44862</v>
      </c>
      <c r="M324" s="831">
        <v>6.56</v>
      </c>
      <c r="N324" s="832"/>
      <c r="O324" s="833"/>
    </row>
    <row r="325" spans="1:15" ht="30" customHeight="1" x14ac:dyDescent="0.25">
      <c r="A325" s="828"/>
      <c r="B325" s="828" t="s">
        <v>1429</v>
      </c>
      <c r="C32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TNTIN0238-(?)-(?)</v>
      </c>
      <c r="D325" s="828" t="s">
        <v>1361</v>
      </c>
      <c r="E325" s="828"/>
      <c r="F325" s="828"/>
      <c r="G325" s="1058" t="s">
        <v>1254</v>
      </c>
      <c r="H325" s="828" t="s">
        <v>928</v>
      </c>
      <c r="I325" s="828"/>
      <c r="J325" s="828"/>
      <c r="K325" s="843"/>
      <c r="L325" s="830">
        <v>44862</v>
      </c>
      <c r="M325" s="831">
        <v>7.9</v>
      </c>
      <c r="N325" s="832"/>
      <c r="O325" s="833"/>
    </row>
    <row r="326" spans="1:15" ht="30" customHeight="1" x14ac:dyDescent="0.25">
      <c r="A326" s="828"/>
      <c r="B326" s="828" t="s">
        <v>1025</v>
      </c>
      <c r="C32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ZIPIN0062-n.6 YKK-(?)</v>
      </c>
      <c r="D326" s="828" t="s">
        <v>1011</v>
      </c>
      <c r="E326" s="829"/>
      <c r="F326" s="829"/>
      <c r="G326" s="1059" t="s">
        <v>1627</v>
      </c>
      <c r="H326" s="829" t="s">
        <v>1026</v>
      </c>
      <c r="I326" s="829" t="s">
        <v>1027</v>
      </c>
      <c r="J326" s="829"/>
      <c r="K326" s="829"/>
      <c r="L326" s="834">
        <v>44862</v>
      </c>
      <c r="M326" s="835">
        <v>1</v>
      </c>
      <c r="N326" s="836"/>
      <c r="O326" s="833"/>
    </row>
    <row r="327" spans="1:15" ht="30" customHeight="1" x14ac:dyDescent="0.25">
      <c r="A327" s="828"/>
      <c r="B327" s="828" t="s">
        <v>1028</v>
      </c>
      <c r="C32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ZIPIN0061-n.6 CANOA-(?)</v>
      </c>
      <c r="D327" s="828" t="s">
        <v>428</v>
      </c>
      <c r="E327" s="829"/>
      <c r="F327" s="829"/>
      <c r="G327" s="1059" t="s">
        <v>1627</v>
      </c>
      <c r="H327" s="829" t="s">
        <v>1029</v>
      </c>
      <c r="I327" s="829" t="s">
        <v>1030</v>
      </c>
      <c r="J327" s="829"/>
      <c r="K327" s="829"/>
      <c r="L327" s="834">
        <v>44862</v>
      </c>
      <c r="M327" s="835">
        <v>0.9</v>
      </c>
      <c r="N327" s="836"/>
      <c r="O327" s="833"/>
    </row>
    <row r="328" spans="1:15" ht="30" customHeight="1" x14ac:dyDescent="0.25">
      <c r="A328" s="828"/>
      <c r="B328" s="828" t="s">
        <v>1031</v>
      </c>
      <c r="C32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ZIPIN0109-n.6 IMPORTADO-(?)</v>
      </c>
      <c r="D328" s="828" t="s">
        <v>428</v>
      </c>
      <c r="E328" s="829"/>
      <c r="F328" s="829"/>
      <c r="G328" s="1059" t="s">
        <v>1627</v>
      </c>
      <c r="H328" s="829" t="s">
        <v>1032</v>
      </c>
      <c r="I328" s="829" t="s">
        <v>1033</v>
      </c>
      <c r="J328" s="829"/>
      <c r="K328" s="829"/>
      <c r="L328" s="834">
        <v>44862</v>
      </c>
      <c r="M328" s="835">
        <v>0.3</v>
      </c>
      <c r="N328" s="832"/>
      <c r="O328" s="833"/>
    </row>
    <row r="329" spans="1:15" ht="30" customHeight="1" x14ac:dyDescent="0.25">
      <c r="A329" s="828"/>
      <c r="B329" s="828" t="s">
        <v>1445</v>
      </c>
      <c r="C32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ZIPIN0223-(?)-Color</v>
      </c>
      <c r="D329" s="828" t="s">
        <v>493</v>
      </c>
      <c r="E329" s="829"/>
      <c r="F329" s="829"/>
      <c r="G329" s="1059" t="s">
        <v>1627</v>
      </c>
      <c r="H329" s="829" t="s">
        <v>1446</v>
      </c>
      <c r="I329" s="829"/>
      <c r="J329" s="829" t="s">
        <v>442</v>
      </c>
      <c r="K329" s="829"/>
      <c r="L329" s="834">
        <v>44985</v>
      </c>
      <c r="M329" s="835">
        <v>0.67</v>
      </c>
      <c r="N329" s="836"/>
      <c r="O329" s="833"/>
    </row>
    <row r="330" spans="1:15" ht="30" customHeight="1" x14ac:dyDescent="0.25">
      <c r="A330" s="828"/>
      <c r="B330" s="828" t="s">
        <v>1447</v>
      </c>
      <c r="C33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ZIPIN0224-(?)-Preto</v>
      </c>
      <c r="D330" s="828" t="s">
        <v>493</v>
      </c>
      <c r="E330" s="829"/>
      <c r="F330" s="829"/>
      <c r="G330" s="1059" t="s">
        <v>1627</v>
      </c>
      <c r="H330" s="829" t="s">
        <v>1448</v>
      </c>
      <c r="I330" s="829"/>
      <c r="J330" s="829" t="s">
        <v>499</v>
      </c>
      <c r="K330" s="829"/>
      <c r="L330" s="834">
        <v>44690</v>
      </c>
      <c r="M330" s="835">
        <v>0.57999999999999996</v>
      </c>
      <c r="N330" s="832"/>
      <c r="O330" s="833"/>
    </row>
    <row r="331" spans="1:15" ht="30" customHeight="1" x14ac:dyDescent="0.25">
      <c r="A331" s="828"/>
      <c r="B331" s="828" t="s">
        <v>1449</v>
      </c>
      <c r="C33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ZIPIN0225-(?)-Color</v>
      </c>
      <c r="D331" s="828" t="s">
        <v>493</v>
      </c>
      <c r="E331" s="829"/>
      <c r="F331" s="829"/>
      <c r="G331" s="1059" t="s">
        <v>1627</v>
      </c>
      <c r="H331" s="829" t="s">
        <v>1450</v>
      </c>
      <c r="I331" s="829"/>
      <c r="J331" s="829" t="s">
        <v>442</v>
      </c>
      <c r="K331" s="829"/>
      <c r="L331" s="834">
        <v>44692</v>
      </c>
      <c r="M331" s="835">
        <v>1.48</v>
      </c>
      <c r="N331" s="832"/>
      <c r="O331" s="833"/>
    </row>
    <row r="332" spans="1:15" ht="30" customHeight="1" x14ac:dyDescent="0.25">
      <c r="A332" s="828"/>
      <c r="B332" s="828" t="s">
        <v>1451</v>
      </c>
      <c r="C33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ZIPIN0060-(?)-Preto</v>
      </c>
      <c r="D332" s="828" t="s">
        <v>493</v>
      </c>
      <c r="E332" s="829"/>
      <c r="F332" s="829"/>
      <c r="G332" s="1059" t="s">
        <v>1627</v>
      </c>
      <c r="H332" s="829" t="s">
        <v>1452</v>
      </c>
      <c r="I332" s="829"/>
      <c r="J332" s="829" t="s">
        <v>499</v>
      </c>
      <c r="K332" s="829"/>
      <c r="L332" s="834">
        <v>44692</v>
      </c>
      <c r="M332" s="835">
        <v>0.85</v>
      </c>
      <c r="N332" s="832"/>
      <c r="O332" s="833"/>
    </row>
    <row r="333" spans="1:15" ht="30" customHeight="1" x14ac:dyDescent="0.25">
      <c r="A333" s="828"/>
      <c r="B333" s="828" t="s">
        <v>1453</v>
      </c>
      <c r="C33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ZIPIN0052-5mm-(?)</v>
      </c>
      <c r="D333" s="828" t="s">
        <v>428</v>
      </c>
      <c r="E333" s="828"/>
      <c r="F333" s="828"/>
      <c r="G333" s="1059" t="s">
        <v>1627</v>
      </c>
      <c r="H333" s="829" t="s">
        <v>1454</v>
      </c>
      <c r="I333" s="828" t="s">
        <v>647</v>
      </c>
      <c r="J333" s="828"/>
      <c r="K333" s="828"/>
      <c r="L333" s="830">
        <v>44862</v>
      </c>
      <c r="M333" s="831">
        <v>1.4</v>
      </c>
      <c r="N333" s="832"/>
      <c r="O333" s="833"/>
    </row>
    <row r="334" spans="1:15" ht="30" customHeight="1" x14ac:dyDescent="0.25">
      <c r="A334" s="828"/>
      <c r="B334" s="828" t="s">
        <v>1455</v>
      </c>
      <c r="C33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ZIPIN0053-20cm-(?)</v>
      </c>
      <c r="D334" s="828" t="s">
        <v>430</v>
      </c>
      <c r="E334" s="829"/>
      <c r="F334" s="829"/>
      <c r="G334" s="1059" t="s">
        <v>1627</v>
      </c>
      <c r="H334" s="829" t="s">
        <v>639</v>
      </c>
      <c r="I334" s="829" t="s">
        <v>431</v>
      </c>
      <c r="J334" s="829"/>
      <c r="K334" s="829"/>
      <c r="L334" s="834">
        <v>44862</v>
      </c>
      <c r="M334" s="835">
        <v>1.22</v>
      </c>
      <c r="N334" s="836"/>
      <c r="O334" s="833"/>
    </row>
    <row r="335" spans="1:15" ht="30" customHeight="1" x14ac:dyDescent="0.25">
      <c r="A335" s="828"/>
      <c r="B335" s="828" t="s">
        <v>1456</v>
      </c>
      <c r="C33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ZIPIN0054-25cm-(?)</v>
      </c>
      <c r="D335" s="828" t="s">
        <v>430</v>
      </c>
      <c r="E335" s="828"/>
      <c r="F335" s="828"/>
      <c r="G335" s="1059" t="s">
        <v>1627</v>
      </c>
      <c r="H335" s="828" t="s">
        <v>640</v>
      </c>
      <c r="I335" s="828" t="s">
        <v>432</v>
      </c>
      <c r="J335" s="828"/>
      <c r="K335" s="828"/>
      <c r="L335" s="830">
        <v>44862</v>
      </c>
      <c r="M335" s="831">
        <v>1.27</v>
      </c>
      <c r="N335" s="832"/>
      <c r="O335" s="833"/>
    </row>
    <row r="336" spans="1:15" ht="30" customHeight="1" x14ac:dyDescent="0.25">
      <c r="A336" s="828"/>
      <c r="B336" s="828" t="s">
        <v>1457</v>
      </c>
      <c r="C33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ZIPIN0055-30cm-(?)</v>
      </c>
      <c r="D336" s="828" t="s">
        <v>430</v>
      </c>
      <c r="E336" s="829"/>
      <c r="F336" s="829"/>
      <c r="G336" s="1059" t="s">
        <v>1627</v>
      </c>
      <c r="H336" s="829" t="s">
        <v>641</v>
      </c>
      <c r="I336" s="829" t="s">
        <v>433</v>
      </c>
      <c r="J336" s="829"/>
      <c r="K336" s="829"/>
      <c r="L336" s="834">
        <v>44862</v>
      </c>
      <c r="M336" s="835">
        <v>1.34</v>
      </c>
      <c r="N336" s="836"/>
      <c r="O336" s="833"/>
    </row>
    <row r="337" spans="1:15" ht="30" customHeight="1" x14ac:dyDescent="0.25">
      <c r="A337" s="828"/>
      <c r="B337" s="828" t="s">
        <v>1458</v>
      </c>
      <c r="C33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ZIPIN0056-40cm-(?)</v>
      </c>
      <c r="D337" s="828" t="s">
        <v>430</v>
      </c>
      <c r="E337" s="828"/>
      <c r="F337" s="828"/>
      <c r="G337" s="1059" t="s">
        <v>1627</v>
      </c>
      <c r="H337" s="828" t="s">
        <v>642</v>
      </c>
      <c r="I337" s="828" t="s">
        <v>434</v>
      </c>
      <c r="J337" s="828"/>
      <c r="K337" s="828"/>
      <c r="L337" s="830">
        <v>44862</v>
      </c>
      <c r="M337" s="831">
        <v>1.52</v>
      </c>
      <c r="N337" s="832"/>
      <c r="O337" s="833"/>
    </row>
    <row r="338" spans="1:15" ht="30" customHeight="1" x14ac:dyDescent="0.25">
      <c r="A338" s="828"/>
      <c r="B338" s="828" t="s">
        <v>1459</v>
      </c>
      <c r="C33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ZIPIN0057-45cm-(?)</v>
      </c>
      <c r="D338" s="828" t="s">
        <v>430</v>
      </c>
      <c r="E338" s="828"/>
      <c r="F338" s="828"/>
      <c r="G338" s="1059" t="s">
        <v>1627</v>
      </c>
      <c r="H338" s="828" t="s">
        <v>643</v>
      </c>
      <c r="I338" s="828" t="s">
        <v>435</v>
      </c>
      <c r="J338" s="828"/>
      <c r="K338" s="828"/>
      <c r="L338" s="830">
        <v>44862</v>
      </c>
      <c r="M338" s="831">
        <v>1.61</v>
      </c>
      <c r="N338" s="832"/>
      <c r="O338" s="833"/>
    </row>
    <row r="339" spans="1:15" ht="30" customHeight="1" x14ac:dyDescent="0.25">
      <c r="A339" s="828"/>
      <c r="B339" s="828" t="s">
        <v>1460</v>
      </c>
      <c r="C33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ZIPIN0058-50cm-(?)</v>
      </c>
      <c r="D339" s="828" t="s">
        <v>430</v>
      </c>
      <c r="E339" s="828"/>
      <c r="F339" s="828"/>
      <c r="G339" s="1059" t="s">
        <v>1627</v>
      </c>
      <c r="H339" s="828" t="s">
        <v>644</v>
      </c>
      <c r="I339" s="828" t="s">
        <v>436</v>
      </c>
      <c r="J339" s="828"/>
      <c r="K339" s="828"/>
      <c r="L339" s="830">
        <v>44862</v>
      </c>
      <c r="M339" s="831">
        <v>1.72</v>
      </c>
      <c r="N339" s="832"/>
      <c r="O339" s="833"/>
    </row>
    <row r="340" spans="1:15" ht="30" customHeight="1" x14ac:dyDescent="0.25">
      <c r="A340" s="828"/>
      <c r="B340" s="828" t="s">
        <v>1461</v>
      </c>
      <c r="C34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ZIPIN0059-55cm-(?)</v>
      </c>
      <c r="D340" s="828" t="s">
        <v>430</v>
      </c>
      <c r="E340" s="828"/>
      <c r="F340" s="828"/>
      <c r="G340" s="1059" t="s">
        <v>1627</v>
      </c>
      <c r="H340" s="828" t="s">
        <v>645</v>
      </c>
      <c r="I340" s="828" t="s">
        <v>437</v>
      </c>
      <c r="J340" s="828"/>
      <c r="K340" s="828"/>
      <c r="L340" s="830">
        <v>44862</v>
      </c>
      <c r="M340" s="831">
        <v>1.85</v>
      </c>
      <c r="N340" s="832"/>
      <c r="O340" s="833"/>
    </row>
    <row r="341" spans="1:15" ht="30" customHeight="1" x14ac:dyDescent="0.25">
      <c r="A341" s="828"/>
      <c r="B341" s="828" t="s">
        <v>1462</v>
      </c>
      <c r="C34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ZIPIN0290-60cm-(?)</v>
      </c>
      <c r="D341" s="828" t="s">
        <v>430</v>
      </c>
      <c r="E341" s="828"/>
      <c r="F341" s="828"/>
      <c r="G341" s="1059" t="s">
        <v>1627</v>
      </c>
      <c r="H341" s="828" t="s">
        <v>646</v>
      </c>
      <c r="I341" s="828" t="s">
        <v>438</v>
      </c>
      <c r="J341" s="828"/>
      <c r="K341" s="828"/>
      <c r="L341" s="830">
        <v>44862</v>
      </c>
      <c r="M341" s="831">
        <v>1.98</v>
      </c>
      <c r="N341" s="832"/>
      <c r="O341" s="833"/>
    </row>
    <row r="342" spans="1:15" ht="30" customHeight="1" x14ac:dyDescent="0.25">
      <c r="A342" s="828"/>
      <c r="B342" s="828" t="s">
        <v>1463</v>
      </c>
      <c r="C34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ZIPIN0291-18cm-(?)</v>
      </c>
      <c r="D342" s="829"/>
      <c r="E342" s="829"/>
      <c r="F342" s="829"/>
      <c r="G342" s="1059" t="s">
        <v>1627</v>
      </c>
      <c r="H342" s="829" t="s">
        <v>649</v>
      </c>
      <c r="I342" s="829" t="s">
        <v>650</v>
      </c>
      <c r="J342" s="829"/>
      <c r="K342" s="829"/>
      <c r="L342" s="834">
        <v>44862</v>
      </c>
      <c r="M342" s="835">
        <v>3.57</v>
      </c>
      <c r="N342" s="836"/>
      <c r="O342" s="833"/>
    </row>
    <row r="343" spans="1:15" ht="30" customHeight="1" x14ac:dyDescent="0.25">
      <c r="A343" s="828"/>
      <c r="B343" s="828" t="s">
        <v>1464</v>
      </c>
      <c r="C34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ZIPIN0292-25cm-(?)</v>
      </c>
      <c r="D343" s="828"/>
      <c r="E343" s="828"/>
      <c r="F343" s="828"/>
      <c r="G343" s="1059" t="s">
        <v>1627</v>
      </c>
      <c r="H343" s="828" t="s">
        <v>651</v>
      </c>
      <c r="I343" s="828" t="s">
        <v>432</v>
      </c>
      <c r="J343" s="828"/>
      <c r="K343" s="828"/>
      <c r="L343" s="830">
        <v>44862</v>
      </c>
      <c r="M343" s="831">
        <v>4.3499999999999996</v>
      </c>
      <c r="N343" s="832"/>
      <c r="O343" s="833"/>
    </row>
    <row r="344" spans="1:15" ht="30" customHeight="1" x14ac:dyDescent="0.25">
      <c r="A344" s="828"/>
      <c r="B344" s="828" t="s">
        <v>1465</v>
      </c>
      <c r="C34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ZIPIN0293-30cm-(?)</v>
      </c>
      <c r="D344" s="828"/>
      <c r="E344" s="828"/>
      <c r="F344" s="828"/>
      <c r="G344" s="1059" t="s">
        <v>1627</v>
      </c>
      <c r="H344" s="828" t="s">
        <v>652</v>
      </c>
      <c r="I344" s="828" t="s">
        <v>433</v>
      </c>
      <c r="J344" s="828"/>
      <c r="K344" s="828"/>
      <c r="L344" s="830">
        <v>44862</v>
      </c>
      <c r="M344" s="831">
        <v>4.66</v>
      </c>
      <c r="N344" s="832"/>
      <c r="O344" s="833"/>
    </row>
    <row r="345" spans="1:15" ht="30" customHeight="1" x14ac:dyDescent="0.25">
      <c r="A345" s="828"/>
      <c r="B345" s="828" t="s">
        <v>1466</v>
      </c>
      <c r="C34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ZIPIN0050-60cm-(?)</v>
      </c>
      <c r="D345" s="828"/>
      <c r="E345" s="828"/>
      <c r="F345" s="828"/>
      <c r="G345" s="1059" t="s">
        <v>1627</v>
      </c>
      <c r="H345" s="828" t="s">
        <v>653</v>
      </c>
      <c r="I345" s="828" t="s">
        <v>438</v>
      </c>
      <c r="J345" s="828"/>
      <c r="K345" s="828"/>
      <c r="L345" s="830">
        <v>44862</v>
      </c>
      <c r="M345" s="831">
        <v>4.66</v>
      </c>
      <c r="N345" s="832"/>
      <c r="O345" s="833"/>
    </row>
    <row r="346" spans="1:15" ht="30" customHeight="1" x14ac:dyDescent="0.25">
      <c r="A346" s="828"/>
      <c r="B346" s="828" t="s">
        <v>1467</v>
      </c>
      <c r="C34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ZIPIN0308-n.6-(?)</v>
      </c>
      <c r="D346" s="828" t="s">
        <v>1011</v>
      </c>
      <c r="E346" s="829"/>
      <c r="F346" s="829"/>
      <c r="G346" s="1059" t="s">
        <v>1627</v>
      </c>
      <c r="H346" s="829" t="s">
        <v>1468</v>
      </c>
      <c r="I346" s="829" t="s">
        <v>657</v>
      </c>
      <c r="J346" s="829"/>
      <c r="K346" s="829"/>
      <c r="L346" s="834">
        <v>44985</v>
      </c>
      <c r="M346" s="835">
        <v>5.35</v>
      </c>
      <c r="N346" s="832"/>
      <c r="O346" s="833"/>
    </row>
    <row r="347" spans="1:15" ht="30" customHeight="1" x14ac:dyDescent="0.25">
      <c r="A347" s="828"/>
      <c r="B347" s="828" t="s">
        <v>1378</v>
      </c>
      <c r="C34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47" s="828"/>
      <c r="E347" s="829"/>
      <c r="F347" s="829"/>
      <c r="G347" s="1059"/>
      <c r="H347" s="829"/>
      <c r="I347" s="829">
        <v>140</v>
      </c>
      <c r="J347" s="829"/>
      <c r="K347" s="829"/>
      <c r="L347" s="834">
        <v>44862</v>
      </c>
      <c r="M347" s="835">
        <v>35.799999999999997</v>
      </c>
      <c r="N347" s="832"/>
      <c r="O347" s="833"/>
    </row>
    <row r="348" spans="1:15" ht="30" customHeight="1" x14ac:dyDescent="0.25">
      <c r="A348" s="828"/>
      <c r="B348" s="828" t="s">
        <v>1379</v>
      </c>
      <c r="C34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48" s="828"/>
      <c r="E348" s="829"/>
      <c r="F348" s="829"/>
      <c r="G348" s="1059"/>
      <c r="H348" s="829"/>
      <c r="I348" s="829">
        <v>140</v>
      </c>
      <c r="J348" s="829"/>
      <c r="K348" s="829"/>
      <c r="L348" s="834">
        <v>44862</v>
      </c>
      <c r="M348" s="835">
        <v>56</v>
      </c>
      <c r="N348" s="832"/>
      <c r="O348" s="833"/>
    </row>
    <row r="349" spans="1:15" ht="30" customHeight="1" x14ac:dyDescent="0.25">
      <c r="A349" s="828"/>
      <c r="B349" s="828" t="s">
        <v>1439</v>
      </c>
      <c r="C34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(?)IN0031-140-(?)</v>
      </c>
      <c r="D349" s="828" t="s">
        <v>428</v>
      </c>
      <c r="E349" s="829"/>
      <c r="F349" s="829"/>
      <c r="G349" s="1059"/>
      <c r="H349" s="829" t="s">
        <v>633</v>
      </c>
      <c r="I349" s="829">
        <v>140</v>
      </c>
      <c r="J349" s="829"/>
      <c r="K349" s="829"/>
      <c r="L349" s="834">
        <v>44862</v>
      </c>
      <c r="M349" s="835">
        <v>58</v>
      </c>
      <c r="N349" s="832"/>
      <c r="O349" s="833"/>
    </row>
    <row r="350" spans="1:15" ht="30" customHeight="1" x14ac:dyDescent="0.25">
      <c r="A350" s="828"/>
      <c r="B350" s="828" t="s">
        <v>1440</v>
      </c>
      <c r="C35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(?)IN0087-140-(?)</v>
      </c>
      <c r="D350" s="828" t="s">
        <v>428</v>
      </c>
      <c r="E350" s="829"/>
      <c r="F350" s="829"/>
      <c r="G350" s="1059"/>
      <c r="H350" s="829" t="s">
        <v>632</v>
      </c>
      <c r="I350" s="829">
        <v>140</v>
      </c>
      <c r="J350" s="829"/>
      <c r="K350" s="829"/>
      <c r="L350" s="834">
        <v>44862</v>
      </c>
      <c r="M350" s="835">
        <v>44</v>
      </c>
      <c r="N350" s="832"/>
      <c r="O350" s="833"/>
    </row>
    <row r="351" spans="1:15" ht="30" customHeight="1" x14ac:dyDescent="0.25">
      <c r="A351" s="828"/>
      <c r="B351" s="828" t="s">
        <v>1476</v>
      </c>
      <c r="C35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51" s="828" t="s">
        <v>267</v>
      </c>
      <c r="E351" s="828"/>
      <c r="F351" s="828"/>
      <c r="G351" s="1058"/>
      <c r="H351" s="828"/>
      <c r="I351" s="828"/>
      <c r="J351" s="828"/>
      <c r="K351" s="828"/>
      <c r="L351" s="830"/>
      <c r="M351" s="831">
        <v>0</v>
      </c>
      <c r="N351" s="832"/>
      <c r="O351" s="833"/>
    </row>
    <row r="352" spans="1:15" ht="30" customHeight="1" x14ac:dyDescent="0.25">
      <c r="A352" s="828"/>
      <c r="B352" s="828" t="s">
        <v>1477</v>
      </c>
      <c r="C35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52" s="828" t="s">
        <v>267</v>
      </c>
      <c r="E352" s="828"/>
      <c r="F352" s="828"/>
      <c r="G352" s="1058"/>
      <c r="H352" s="828"/>
      <c r="I352" s="828"/>
      <c r="J352" s="828"/>
      <c r="K352" s="828"/>
      <c r="L352" s="830"/>
      <c r="M352" s="831">
        <v>0</v>
      </c>
      <c r="N352" s="832"/>
      <c r="O352" s="833"/>
    </row>
    <row r="353" spans="1:15" ht="30" customHeight="1" x14ac:dyDescent="0.25">
      <c r="A353" s="828"/>
      <c r="B353" s="828" t="s">
        <v>1478</v>
      </c>
      <c r="C35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53" s="828" t="s">
        <v>267</v>
      </c>
      <c r="E353" s="828"/>
      <c r="F353" s="828"/>
      <c r="G353" s="1058"/>
      <c r="H353" s="828"/>
      <c r="I353" s="828"/>
      <c r="J353" s="828"/>
      <c r="K353" s="828"/>
      <c r="L353" s="830"/>
      <c r="M353" s="831">
        <v>0</v>
      </c>
      <c r="N353" s="832"/>
      <c r="O353" s="833"/>
    </row>
    <row r="354" spans="1:15" ht="30" customHeight="1" x14ac:dyDescent="0.25">
      <c r="A354" s="828"/>
      <c r="B354" s="828" t="s">
        <v>1479</v>
      </c>
      <c r="C35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54" s="828" t="s">
        <v>267</v>
      </c>
      <c r="E354" s="828"/>
      <c r="F354" s="828"/>
      <c r="G354" s="1058"/>
      <c r="H354" s="828"/>
      <c r="I354" s="828"/>
      <c r="J354" s="828"/>
      <c r="K354" s="828"/>
      <c r="L354" s="830"/>
      <c r="M354" s="831">
        <v>0</v>
      </c>
      <c r="N354" s="832"/>
      <c r="O354" s="833"/>
    </row>
    <row r="355" spans="1:15" ht="30" customHeight="1" x14ac:dyDescent="0.25">
      <c r="A355" s="828"/>
      <c r="B355" s="828" t="s">
        <v>1480</v>
      </c>
      <c r="C35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55" s="828" t="s">
        <v>267</v>
      </c>
      <c r="E355" s="828"/>
      <c r="F355" s="828"/>
      <c r="G355" s="1058"/>
      <c r="H355" s="828"/>
      <c r="I355" s="828"/>
      <c r="J355" s="828"/>
      <c r="K355" s="828"/>
      <c r="L355" s="830"/>
      <c r="M355" s="831">
        <v>0</v>
      </c>
      <c r="N355" s="832"/>
      <c r="O355" s="833"/>
    </row>
    <row r="356" spans="1:15" ht="30" customHeight="1" x14ac:dyDescent="0.25">
      <c r="A356" s="828"/>
      <c r="B356" s="828" t="s">
        <v>1481</v>
      </c>
      <c r="C35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56" s="828" t="s">
        <v>267</v>
      </c>
      <c r="E356" s="828"/>
      <c r="F356" s="828"/>
      <c r="G356" s="1058"/>
      <c r="H356" s="828"/>
      <c r="I356" s="828"/>
      <c r="J356" s="828"/>
      <c r="K356" s="828"/>
      <c r="L356" s="830"/>
      <c r="M356" s="831">
        <v>0</v>
      </c>
      <c r="N356" s="832"/>
      <c r="O356" s="833"/>
    </row>
    <row r="357" spans="1:15" ht="30" customHeight="1" x14ac:dyDescent="0.25">
      <c r="A357" s="828"/>
      <c r="B357" s="828" t="s">
        <v>1482</v>
      </c>
      <c r="C35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57" s="828" t="s">
        <v>267</v>
      </c>
      <c r="E357" s="828"/>
      <c r="F357" s="828"/>
      <c r="G357" s="1058"/>
      <c r="H357" s="828"/>
      <c r="I357" s="828"/>
      <c r="J357" s="828"/>
      <c r="K357" s="828"/>
      <c r="L357" s="830"/>
      <c r="M357" s="831">
        <v>0</v>
      </c>
      <c r="N357" s="832"/>
      <c r="O357" s="833"/>
    </row>
    <row r="358" spans="1:15" ht="30" customHeight="1" x14ac:dyDescent="0.25">
      <c r="A358" s="828"/>
      <c r="B358" s="828" t="s">
        <v>1483</v>
      </c>
      <c r="C35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58" s="828" t="s">
        <v>267</v>
      </c>
      <c r="E358" s="828"/>
      <c r="F358" s="828"/>
      <c r="G358" s="1058"/>
      <c r="H358" s="828"/>
      <c r="I358" s="828"/>
      <c r="J358" s="828"/>
      <c r="K358" s="828"/>
      <c r="L358" s="830"/>
      <c r="M358" s="831">
        <v>0</v>
      </c>
      <c r="N358" s="832"/>
      <c r="O358" s="833"/>
    </row>
    <row r="359" spans="1:15" ht="30" customHeight="1" x14ac:dyDescent="0.25">
      <c r="A359" s="828"/>
      <c r="B359" s="828" t="s">
        <v>1484</v>
      </c>
      <c r="C35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59" s="829" t="s">
        <v>267</v>
      </c>
      <c r="E359" s="829"/>
      <c r="F359" s="829"/>
      <c r="G359" s="1059"/>
      <c r="H359" s="829"/>
      <c r="I359" s="829"/>
      <c r="J359" s="829"/>
      <c r="K359" s="829"/>
      <c r="L359" s="834"/>
      <c r="M359" s="835">
        <v>0</v>
      </c>
      <c r="N359" s="832"/>
      <c r="O359" s="833"/>
    </row>
    <row r="360" spans="1:15" ht="30" customHeight="1" x14ac:dyDescent="0.25">
      <c r="A360" s="828"/>
      <c r="B360" s="828" t="s">
        <v>1485</v>
      </c>
      <c r="C36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60" s="828" t="s">
        <v>267</v>
      </c>
      <c r="E360" s="828"/>
      <c r="F360" s="828"/>
      <c r="G360" s="1058"/>
      <c r="H360" s="828"/>
      <c r="I360" s="828"/>
      <c r="J360" s="828"/>
      <c r="K360" s="828"/>
      <c r="L360" s="830"/>
      <c r="M360" s="831">
        <v>0</v>
      </c>
      <c r="N360" s="832"/>
      <c r="O360" s="833"/>
    </row>
    <row r="361" spans="1:15" ht="30" customHeight="1" x14ac:dyDescent="0.25">
      <c r="A361" s="828"/>
      <c r="B361" s="828" t="s">
        <v>1486</v>
      </c>
      <c r="C36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61" s="829" t="s">
        <v>267</v>
      </c>
      <c r="E361" s="829"/>
      <c r="F361" s="829"/>
      <c r="G361" s="1059"/>
      <c r="H361" s="829"/>
      <c r="I361" s="829"/>
      <c r="J361" s="829"/>
      <c r="K361" s="829"/>
      <c r="L361" s="834"/>
      <c r="M361" s="835">
        <v>0</v>
      </c>
      <c r="N361" s="832"/>
      <c r="O361" s="833"/>
    </row>
    <row r="362" spans="1:15" ht="30" customHeight="1" x14ac:dyDescent="0.25">
      <c r="A362" s="828"/>
      <c r="B362" s="828" t="s">
        <v>1487</v>
      </c>
      <c r="C36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62" s="828" t="s">
        <v>267</v>
      </c>
      <c r="E362" s="828"/>
      <c r="F362" s="828"/>
      <c r="G362" s="1058"/>
      <c r="H362" s="829"/>
      <c r="I362" s="828"/>
      <c r="J362" s="828"/>
      <c r="K362" s="828"/>
      <c r="L362" s="830"/>
      <c r="M362" s="831">
        <v>0</v>
      </c>
      <c r="N362" s="828"/>
      <c r="O362" s="828"/>
    </row>
    <row r="363" spans="1:15" ht="30" customHeight="1" x14ac:dyDescent="0.25">
      <c r="A363" s="828"/>
      <c r="B363" s="828" t="s">
        <v>1488</v>
      </c>
      <c r="C36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63" s="828" t="s">
        <v>267</v>
      </c>
      <c r="E363" s="829"/>
      <c r="F363" s="829"/>
      <c r="G363" s="1059"/>
      <c r="H363" s="829"/>
      <c r="I363" s="829"/>
      <c r="J363" s="829"/>
      <c r="K363" s="829"/>
      <c r="L363" s="834"/>
      <c r="M363" s="835">
        <v>0</v>
      </c>
      <c r="N363" s="832"/>
      <c r="O363" s="833"/>
    </row>
    <row r="364" spans="1:15" ht="30" customHeight="1" x14ac:dyDescent="0.25">
      <c r="A364" s="828"/>
      <c r="B364" s="828" t="s">
        <v>1489</v>
      </c>
      <c r="C36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64" s="828" t="s">
        <v>267</v>
      </c>
      <c r="E364" s="828"/>
      <c r="F364" s="828"/>
      <c r="G364" s="1058"/>
      <c r="H364" s="829"/>
      <c r="I364" s="828"/>
      <c r="J364" s="828"/>
      <c r="K364" s="828"/>
      <c r="L364" s="830"/>
      <c r="M364" s="831">
        <v>0</v>
      </c>
      <c r="N364" s="832"/>
      <c r="O364" s="833"/>
    </row>
    <row r="365" spans="1:15" ht="30" customHeight="1" x14ac:dyDescent="0.25">
      <c r="A365" s="828"/>
      <c r="B365" s="828" t="s">
        <v>1490</v>
      </c>
      <c r="C36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65" s="828" t="s">
        <v>267</v>
      </c>
      <c r="E365" s="829"/>
      <c r="F365" s="829"/>
      <c r="G365" s="1059"/>
      <c r="H365" s="829"/>
      <c r="I365" s="829"/>
      <c r="J365" s="829"/>
      <c r="K365" s="829"/>
      <c r="L365" s="834"/>
      <c r="M365" s="835">
        <v>0</v>
      </c>
      <c r="N365" s="836"/>
      <c r="O365" s="833"/>
    </row>
    <row r="366" spans="1:15" ht="30" customHeight="1" x14ac:dyDescent="0.25">
      <c r="A366" s="828"/>
      <c r="B366" s="828" t="s">
        <v>1491</v>
      </c>
      <c r="C36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66" s="828" t="s">
        <v>267</v>
      </c>
      <c r="E366" s="828"/>
      <c r="F366" s="828"/>
      <c r="G366" s="1058"/>
      <c r="H366" s="828"/>
      <c r="I366" s="829"/>
      <c r="J366" s="828"/>
      <c r="K366" s="828"/>
      <c r="L366" s="830"/>
      <c r="M366" s="831">
        <v>0</v>
      </c>
      <c r="N366" s="832"/>
      <c r="O366" s="833"/>
    </row>
    <row r="367" spans="1:15" ht="30" customHeight="1" x14ac:dyDescent="0.25">
      <c r="A367" s="828"/>
      <c r="B367" s="828" t="s">
        <v>1492</v>
      </c>
      <c r="C36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67" s="828" t="s">
        <v>267</v>
      </c>
      <c r="E367" s="829"/>
      <c r="F367" s="829"/>
      <c r="G367" s="1058"/>
      <c r="H367" s="828"/>
      <c r="I367" s="829"/>
      <c r="J367" s="828"/>
      <c r="K367" s="828"/>
      <c r="L367" s="830"/>
      <c r="M367" s="831">
        <v>0</v>
      </c>
      <c r="N367" s="828"/>
      <c r="O367" s="828"/>
    </row>
    <row r="368" spans="1:15" ht="30" customHeight="1" x14ac:dyDescent="0.25">
      <c r="A368" s="828"/>
      <c r="B368" s="828" t="s">
        <v>1493</v>
      </c>
      <c r="C36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68" s="828" t="s">
        <v>267</v>
      </c>
      <c r="E368" s="828"/>
      <c r="F368" s="828"/>
      <c r="G368" s="1058"/>
      <c r="H368" s="828"/>
      <c r="I368" s="829"/>
      <c r="J368" s="828"/>
      <c r="K368" s="828"/>
      <c r="L368" s="830"/>
      <c r="M368" s="831">
        <v>0</v>
      </c>
      <c r="N368" s="832"/>
      <c r="O368" s="833"/>
    </row>
    <row r="369" spans="1:15" ht="30" customHeight="1" x14ac:dyDescent="0.25">
      <c r="A369" s="828"/>
      <c r="B369" s="828" t="s">
        <v>1494</v>
      </c>
      <c r="C36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69" s="828" t="s">
        <v>267</v>
      </c>
      <c r="E369" s="829"/>
      <c r="F369" s="829"/>
      <c r="G369" s="1058"/>
      <c r="H369" s="828"/>
      <c r="I369" s="829"/>
      <c r="J369" s="828"/>
      <c r="K369" s="828"/>
      <c r="L369" s="830"/>
      <c r="M369" s="831">
        <v>0</v>
      </c>
      <c r="N369" s="828"/>
      <c r="O369" s="828"/>
    </row>
    <row r="370" spans="1:15" ht="30" customHeight="1" x14ac:dyDescent="0.25">
      <c r="A370" s="828"/>
      <c r="B370" s="828" t="s">
        <v>1495</v>
      </c>
      <c r="C37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70" s="828" t="s">
        <v>267</v>
      </c>
      <c r="E370" s="829"/>
      <c r="F370" s="829"/>
      <c r="G370" s="1058"/>
      <c r="H370" s="828"/>
      <c r="I370" s="829"/>
      <c r="J370" s="828"/>
      <c r="K370" s="828"/>
      <c r="L370" s="830"/>
      <c r="M370" s="831">
        <v>0</v>
      </c>
      <c r="N370" s="828"/>
      <c r="O370" s="828"/>
    </row>
    <row r="371" spans="1:15" ht="30" customHeight="1" x14ac:dyDescent="0.25">
      <c r="A371" s="828"/>
      <c r="B371" s="828" t="s">
        <v>1496</v>
      </c>
      <c r="C37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71" s="828" t="s">
        <v>267</v>
      </c>
      <c r="E371" s="829"/>
      <c r="F371" s="829"/>
      <c r="G371" s="1058"/>
      <c r="H371" s="828"/>
      <c r="I371" s="829"/>
      <c r="J371" s="828"/>
      <c r="K371" s="828"/>
      <c r="L371" s="830"/>
      <c r="M371" s="831">
        <v>0</v>
      </c>
      <c r="N371" s="828"/>
      <c r="O371" s="828"/>
    </row>
    <row r="372" spans="1:15" ht="30" customHeight="1" x14ac:dyDescent="0.25">
      <c r="A372" s="828"/>
      <c r="B372" s="828" t="s">
        <v>1497</v>
      </c>
      <c r="C37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72" s="829" t="s">
        <v>267</v>
      </c>
      <c r="E372" s="829"/>
      <c r="F372" s="829"/>
      <c r="G372" s="1059"/>
      <c r="H372" s="829"/>
      <c r="I372" s="829"/>
      <c r="J372" s="829"/>
      <c r="K372" s="829"/>
      <c r="L372" s="834"/>
      <c r="M372" s="835">
        <v>0</v>
      </c>
      <c r="N372" s="832"/>
      <c r="O372" s="833"/>
    </row>
    <row r="373" spans="1:15" ht="30" customHeight="1" x14ac:dyDescent="0.25">
      <c r="A373" s="828"/>
      <c r="B373" s="828" t="s">
        <v>1498</v>
      </c>
      <c r="C37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73" s="828" t="s">
        <v>267</v>
      </c>
      <c r="E373" s="829"/>
      <c r="F373" s="829"/>
      <c r="G373" s="1059"/>
      <c r="H373" s="829"/>
      <c r="I373" s="829"/>
      <c r="J373" s="829"/>
      <c r="K373" s="829"/>
      <c r="L373" s="834"/>
      <c r="M373" s="835">
        <v>0</v>
      </c>
      <c r="N373" s="836"/>
      <c r="O373" s="833"/>
    </row>
    <row r="374" spans="1:15" ht="30" customHeight="1" x14ac:dyDescent="0.25">
      <c r="A374" s="828"/>
      <c r="B374" s="828" t="s">
        <v>1499</v>
      </c>
      <c r="C37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74" s="828" t="s">
        <v>267</v>
      </c>
      <c r="E374" s="829"/>
      <c r="F374" s="829"/>
      <c r="G374" s="1059"/>
      <c r="H374" s="838"/>
      <c r="I374" s="829"/>
      <c r="J374" s="829"/>
      <c r="K374" s="829"/>
      <c r="L374" s="834"/>
      <c r="M374" s="835">
        <v>0</v>
      </c>
      <c r="N374" s="836"/>
      <c r="O374" s="833"/>
    </row>
    <row r="375" spans="1:15" ht="30" customHeight="1" x14ac:dyDescent="0.25">
      <c r="A375" s="828"/>
      <c r="B375" s="828" t="s">
        <v>1500</v>
      </c>
      <c r="C37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75" s="828" t="s">
        <v>267</v>
      </c>
      <c r="E375" s="828"/>
      <c r="F375" s="828"/>
      <c r="G375" s="1058"/>
      <c r="H375" s="828"/>
      <c r="I375" s="828"/>
      <c r="J375" s="828"/>
      <c r="K375" s="828"/>
      <c r="L375" s="830"/>
      <c r="M375" s="831">
        <v>0</v>
      </c>
      <c r="N375" s="832"/>
      <c r="O375" s="833"/>
    </row>
    <row r="376" spans="1:15" ht="30" customHeight="1" x14ac:dyDescent="0.25">
      <c r="A376" s="828"/>
      <c r="B376" s="828" t="s">
        <v>1501</v>
      </c>
      <c r="C37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76" s="828" t="s">
        <v>267</v>
      </c>
      <c r="E376" s="829"/>
      <c r="F376" s="829"/>
      <c r="G376" s="1059"/>
      <c r="H376" s="829"/>
      <c r="I376" s="829"/>
      <c r="J376" s="829"/>
      <c r="K376" s="829"/>
      <c r="L376" s="834"/>
      <c r="M376" s="835">
        <v>0</v>
      </c>
      <c r="N376" s="836"/>
      <c r="O376" s="833"/>
    </row>
    <row r="377" spans="1:15" ht="30" customHeight="1" x14ac:dyDescent="0.25">
      <c r="A377" s="828"/>
      <c r="B377" s="828" t="s">
        <v>1502</v>
      </c>
      <c r="C37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77" s="828" t="s">
        <v>267</v>
      </c>
      <c r="E377" s="829"/>
      <c r="F377" s="829"/>
      <c r="G377" s="1059"/>
      <c r="H377" s="829"/>
      <c r="I377" s="829"/>
      <c r="J377" s="829"/>
      <c r="K377" s="829"/>
      <c r="L377" s="834"/>
      <c r="M377" s="835">
        <v>0</v>
      </c>
      <c r="N377" s="836"/>
      <c r="O377" s="833"/>
    </row>
    <row r="378" spans="1:15" ht="30" customHeight="1" x14ac:dyDescent="0.25">
      <c r="A378" s="828"/>
      <c r="B378" s="828" t="s">
        <v>1503</v>
      </c>
      <c r="C37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78" s="828" t="s">
        <v>267</v>
      </c>
      <c r="E378" s="829"/>
      <c r="F378" s="829"/>
      <c r="G378" s="1059"/>
      <c r="H378" s="829"/>
      <c r="I378" s="829"/>
      <c r="J378" s="829"/>
      <c r="K378" s="829"/>
      <c r="L378" s="834"/>
      <c r="M378" s="835">
        <v>0</v>
      </c>
      <c r="N378" s="832"/>
      <c r="O378" s="833"/>
    </row>
    <row r="379" spans="1:15" ht="30" customHeight="1" x14ac:dyDescent="0.25">
      <c r="A379" s="828"/>
      <c r="B379" s="828" t="s">
        <v>1504</v>
      </c>
      <c r="C37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79" s="828" t="s">
        <v>267</v>
      </c>
      <c r="E379" s="829"/>
      <c r="F379" s="829"/>
      <c r="G379" s="1059"/>
      <c r="H379" s="829"/>
      <c r="I379" s="829"/>
      <c r="J379" s="829"/>
      <c r="K379" s="829"/>
      <c r="L379" s="834"/>
      <c r="M379" s="835">
        <v>0</v>
      </c>
      <c r="N379" s="832"/>
      <c r="O379" s="833"/>
    </row>
    <row r="380" spans="1:15" ht="30" customHeight="1" x14ac:dyDescent="0.25">
      <c r="A380" s="828"/>
      <c r="B380" s="828" t="s">
        <v>1505</v>
      </c>
      <c r="C38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80" s="828" t="s">
        <v>267</v>
      </c>
      <c r="E380" s="829"/>
      <c r="F380" s="829"/>
      <c r="G380" s="1059"/>
      <c r="H380" s="829"/>
      <c r="I380" s="829"/>
      <c r="J380" s="829"/>
      <c r="K380" s="829"/>
      <c r="L380" s="834"/>
      <c r="M380" s="835">
        <v>0</v>
      </c>
      <c r="N380" s="832"/>
      <c r="O380" s="833"/>
    </row>
    <row r="381" spans="1:15" ht="30" customHeight="1" x14ac:dyDescent="0.25">
      <c r="A381" s="828"/>
      <c r="B381" s="828" t="s">
        <v>1506</v>
      </c>
      <c r="C38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81" s="828" t="s">
        <v>267</v>
      </c>
      <c r="E381" s="828"/>
      <c r="F381" s="828"/>
      <c r="G381" s="1058"/>
      <c r="H381" s="828"/>
      <c r="I381" s="828"/>
      <c r="J381" s="828"/>
      <c r="K381" s="828"/>
      <c r="L381" s="830"/>
      <c r="M381" s="831">
        <v>0</v>
      </c>
      <c r="N381" s="832"/>
      <c r="O381" s="833"/>
    </row>
    <row r="382" spans="1:15" ht="30" customHeight="1" x14ac:dyDescent="0.25">
      <c r="A382" s="828"/>
      <c r="B382" s="828" t="s">
        <v>1507</v>
      </c>
      <c r="C38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82" s="828" t="s">
        <v>267</v>
      </c>
      <c r="E382" s="829"/>
      <c r="F382" s="829"/>
      <c r="G382" s="1059"/>
      <c r="H382" s="829"/>
      <c r="I382" s="829"/>
      <c r="J382" s="829"/>
      <c r="K382" s="829"/>
      <c r="L382" s="834"/>
      <c r="M382" s="835">
        <v>0</v>
      </c>
      <c r="N382" s="832"/>
      <c r="O382" s="833"/>
    </row>
    <row r="383" spans="1:15" ht="30" customHeight="1" x14ac:dyDescent="0.25">
      <c r="A383" s="828"/>
      <c r="B383" s="828" t="s">
        <v>1508</v>
      </c>
      <c r="C38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83" s="828" t="s">
        <v>267</v>
      </c>
      <c r="E383" s="829"/>
      <c r="F383" s="829"/>
      <c r="G383" s="1059"/>
      <c r="H383" s="829"/>
      <c r="I383" s="829"/>
      <c r="J383" s="829"/>
      <c r="K383" s="829"/>
      <c r="L383" s="834"/>
      <c r="M383" s="835">
        <v>0</v>
      </c>
      <c r="N383" s="832"/>
      <c r="O383" s="833"/>
    </row>
    <row r="384" spans="1:15" ht="30" customHeight="1" x14ac:dyDescent="0.25">
      <c r="A384" s="828"/>
      <c r="B384" s="828" t="s">
        <v>1509</v>
      </c>
      <c r="C38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84" s="828" t="s">
        <v>267</v>
      </c>
      <c r="E384" s="829"/>
      <c r="F384" s="829"/>
      <c r="G384" s="1059"/>
      <c r="H384" s="829"/>
      <c r="I384" s="829"/>
      <c r="J384" s="829"/>
      <c r="K384" s="829"/>
      <c r="L384" s="834"/>
      <c r="M384" s="835">
        <v>0</v>
      </c>
      <c r="N384" s="832"/>
      <c r="O384" s="833"/>
    </row>
    <row r="385" spans="1:15" ht="30" customHeight="1" x14ac:dyDescent="0.25">
      <c r="A385" s="828"/>
      <c r="B385" s="828" t="s">
        <v>1510</v>
      </c>
      <c r="C38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85" s="828" t="s">
        <v>267</v>
      </c>
      <c r="E385" s="829"/>
      <c r="F385" s="829"/>
      <c r="G385" s="1059"/>
      <c r="H385" s="829"/>
      <c r="I385" s="829"/>
      <c r="J385" s="829"/>
      <c r="K385" s="829"/>
      <c r="L385" s="834"/>
      <c r="M385" s="835">
        <v>0</v>
      </c>
      <c r="N385" s="836"/>
      <c r="O385" s="833"/>
    </row>
    <row r="386" spans="1:15" ht="30" customHeight="1" x14ac:dyDescent="0.25">
      <c r="A386" s="828"/>
      <c r="B386" s="828" t="s">
        <v>1511</v>
      </c>
      <c r="C38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86" s="828" t="s">
        <v>267</v>
      </c>
      <c r="E386" s="829"/>
      <c r="F386" s="829"/>
      <c r="G386" s="1059"/>
      <c r="H386" s="829"/>
      <c r="I386" s="829"/>
      <c r="J386" s="829"/>
      <c r="K386" s="829"/>
      <c r="L386" s="834"/>
      <c r="M386" s="835">
        <v>0</v>
      </c>
      <c r="N386" s="832"/>
      <c r="O386" s="833"/>
    </row>
    <row r="387" spans="1:15" ht="30" customHeight="1" x14ac:dyDescent="0.25">
      <c r="A387" s="828"/>
      <c r="B387" s="828" t="s">
        <v>1512</v>
      </c>
      <c r="C38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87" s="828" t="s">
        <v>267</v>
      </c>
      <c r="E387" s="829"/>
      <c r="F387" s="829"/>
      <c r="G387" s="1059"/>
      <c r="H387" s="829"/>
      <c r="I387" s="829"/>
      <c r="J387" s="829"/>
      <c r="K387" s="829"/>
      <c r="L387" s="834"/>
      <c r="M387" s="835">
        <v>0</v>
      </c>
      <c r="N387" s="836"/>
      <c r="O387" s="833"/>
    </row>
    <row r="388" spans="1:15" ht="30" customHeight="1" x14ac:dyDescent="0.25">
      <c r="A388" s="828"/>
      <c r="B388" s="828" t="s">
        <v>1513</v>
      </c>
      <c r="C38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88" s="828" t="s">
        <v>267</v>
      </c>
      <c r="E388" s="828"/>
      <c r="F388" s="828"/>
      <c r="G388" s="1058"/>
      <c r="H388" s="828"/>
      <c r="I388" s="828"/>
      <c r="J388" s="828"/>
      <c r="K388" s="828"/>
      <c r="L388" s="830"/>
      <c r="M388" s="831">
        <v>0</v>
      </c>
      <c r="N388" s="832"/>
      <c r="O388" s="833"/>
    </row>
    <row r="389" spans="1:15" ht="30" customHeight="1" x14ac:dyDescent="0.25">
      <c r="A389" s="828"/>
      <c r="B389" s="828" t="s">
        <v>1514</v>
      </c>
      <c r="C38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89" s="828" t="s">
        <v>267</v>
      </c>
      <c r="E389" s="828"/>
      <c r="F389" s="828"/>
      <c r="G389" s="1058"/>
      <c r="H389" s="828"/>
      <c r="I389" s="828"/>
      <c r="J389" s="828"/>
      <c r="K389" s="828"/>
      <c r="L389" s="830"/>
      <c r="M389" s="831">
        <v>0</v>
      </c>
      <c r="N389" s="832"/>
      <c r="O389" s="833"/>
    </row>
    <row r="390" spans="1:15" ht="30" customHeight="1" x14ac:dyDescent="0.25">
      <c r="A390" s="828"/>
      <c r="B390" s="828" t="s">
        <v>1515</v>
      </c>
      <c r="C39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90" s="828" t="s">
        <v>267</v>
      </c>
      <c r="E390" s="828"/>
      <c r="F390" s="828"/>
      <c r="G390" s="1058"/>
      <c r="H390" s="828"/>
      <c r="I390" s="828"/>
      <c r="J390" s="828"/>
      <c r="K390" s="828"/>
      <c r="L390" s="830"/>
      <c r="M390" s="831">
        <v>0</v>
      </c>
      <c r="N390" s="832"/>
      <c r="O390" s="833"/>
    </row>
    <row r="391" spans="1:15" ht="30" customHeight="1" x14ac:dyDescent="0.25">
      <c r="A391" s="828"/>
      <c r="B391" s="828" t="s">
        <v>1516</v>
      </c>
      <c r="C39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91" s="828" t="s">
        <v>267</v>
      </c>
      <c r="E391" s="828"/>
      <c r="F391" s="828"/>
      <c r="G391" s="1058"/>
      <c r="H391" s="828"/>
      <c r="I391" s="828"/>
      <c r="J391" s="828"/>
      <c r="K391" s="828"/>
      <c r="L391" s="830"/>
      <c r="M391" s="831">
        <v>0</v>
      </c>
      <c r="N391" s="832"/>
      <c r="O391" s="833"/>
    </row>
    <row r="392" spans="1:15" ht="30" customHeight="1" x14ac:dyDescent="0.25">
      <c r="A392" s="828"/>
      <c r="B392" s="828" t="s">
        <v>1517</v>
      </c>
      <c r="C39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92" s="828" t="s">
        <v>267</v>
      </c>
      <c r="E392" s="828"/>
      <c r="F392" s="828"/>
      <c r="G392" s="1058"/>
      <c r="H392" s="828"/>
      <c r="I392" s="828"/>
      <c r="J392" s="828"/>
      <c r="K392" s="828"/>
      <c r="L392" s="830"/>
      <c r="M392" s="831">
        <v>0</v>
      </c>
      <c r="N392" s="832"/>
      <c r="O392" s="833"/>
    </row>
    <row r="393" spans="1:15" ht="30" customHeight="1" x14ac:dyDescent="0.25">
      <c r="A393" s="828"/>
      <c r="B393" s="828" t="s">
        <v>1518</v>
      </c>
      <c r="C39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93" s="828" t="s">
        <v>267</v>
      </c>
      <c r="E393" s="828"/>
      <c r="F393" s="828"/>
      <c r="G393" s="1058"/>
      <c r="H393" s="828"/>
      <c r="I393" s="828"/>
      <c r="J393" s="828"/>
      <c r="K393" s="828"/>
      <c r="L393" s="830"/>
      <c r="M393" s="831">
        <v>0</v>
      </c>
      <c r="N393" s="832"/>
      <c r="O393" s="833"/>
    </row>
    <row r="394" spans="1:15" ht="30" customHeight="1" x14ac:dyDescent="0.25">
      <c r="A394" s="828"/>
      <c r="B394" s="828" t="s">
        <v>1519</v>
      </c>
      <c r="C39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94" s="828" t="s">
        <v>267</v>
      </c>
      <c r="E394" s="828"/>
      <c r="F394" s="828"/>
      <c r="G394" s="1058"/>
      <c r="H394" s="828"/>
      <c r="I394" s="828"/>
      <c r="J394" s="828"/>
      <c r="K394" s="828"/>
      <c r="L394" s="830"/>
      <c r="M394" s="831">
        <v>0</v>
      </c>
      <c r="N394" s="832"/>
      <c r="O394" s="833"/>
    </row>
    <row r="395" spans="1:15" ht="30" customHeight="1" x14ac:dyDescent="0.25">
      <c r="A395" s="828"/>
      <c r="B395" s="828" t="s">
        <v>1520</v>
      </c>
      <c r="C39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95" s="828" t="s">
        <v>267</v>
      </c>
      <c r="E395" s="828"/>
      <c r="F395" s="828"/>
      <c r="G395" s="1058"/>
      <c r="H395" s="828"/>
      <c r="I395" s="828"/>
      <c r="J395" s="828"/>
      <c r="K395" s="828"/>
      <c r="L395" s="830"/>
      <c r="M395" s="831">
        <v>0</v>
      </c>
      <c r="N395" s="832"/>
      <c r="O395" s="833"/>
    </row>
    <row r="396" spans="1:15" ht="30" customHeight="1" x14ac:dyDescent="0.25">
      <c r="A396" s="828"/>
      <c r="B396" s="828" t="s">
        <v>1521</v>
      </c>
      <c r="C39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96" s="828" t="s">
        <v>267</v>
      </c>
      <c r="E396" s="828"/>
      <c r="F396" s="828"/>
      <c r="G396" s="1058"/>
      <c r="H396" s="828"/>
      <c r="I396" s="828"/>
      <c r="J396" s="828"/>
      <c r="K396" s="828"/>
      <c r="L396" s="830"/>
      <c r="M396" s="831">
        <v>0</v>
      </c>
      <c r="N396" s="836"/>
      <c r="O396" s="833"/>
    </row>
    <row r="397" spans="1:15" ht="30" customHeight="1" x14ac:dyDescent="0.25">
      <c r="A397" s="828"/>
      <c r="B397" s="828" t="s">
        <v>1522</v>
      </c>
      <c r="C39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97" s="828" t="s">
        <v>267</v>
      </c>
      <c r="E397" s="829"/>
      <c r="F397" s="829"/>
      <c r="G397" s="1058"/>
      <c r="H397" s="829"/>
      <c r="I397" s="829"/>
      <c r="J397" s="828"/>
      <c r="K397" s="829"/>
      <c r="L397" s="834"/>
      <c r="M397" s="835">
        <v>0</v>
      </c>
      <c r="N397" s="832"/>
      <c r="O397" s="833"/>
    </row>
    <row r="398" spans="1:15" ht="30" customHeight="1" x14ac:dyDescent="0.25">
      <c r="A398" s="828"/>
      <c r="B398" s="828" t="s">
        <v>1523</v>
      </c>
      <c r="C39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98" s="828" t="s">
        <v>267</v>
      </c>
      <c r="E398" s="829"/>
      <c r="F398" s="829"/>
      <c r="G398" s="1059"/>
      <c r="H398" s="829"/>
      <c r="I398" s="829"/>
      <c r="J398" s="829"/>
      <c r="K398" s="829"/>
      <c r="L398" s="834"/>
      <c r="M398" s="835">
        <v>0</v>
      </c>
      <c r="N398" s="832"/>
      <c r="O398" s="833"/>
    </row>
    <row r="399" spans="1:15" ht="30" customHeight="1" x14ac:dyDescent="0.25">
      <c r="A399" s="828"/>
      <c r="B399" s="828" t="s">
        <v>1524</v>
      </c>
      <c r="C39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399" s="828" t="s">
        <v>267</v>
      </c>
      <c r="E399" s="828"/>
      <c r="F399" s="828"/>
      <c r="G399" s="1058"/>
      <c r="H399" s="828"/>
      <c r="I399" s="828"/>
      <c r="J399" s="828"/>
      <c r="K399" s="828"/>
      <c r="L399" s="830"/>
      <c r="M399" s="831">
        <v>0</v>
      </c>
      <c r="N399" s="832"/>
      <c r="O399" s="833"/>
    </row>
    <row r="400" spans="1:15" ht="30" customHeight="1" x14ac:dyDescent="0.25">
      <c r="A400" s="828"/>
      <c r="B400" s="828" t="s">
        <v>1525</v>
      </c>
      <c r="C40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00" s="828" t="s">
        <v>267</v>
      </c>
      <c r="E400" s="829"/>
      <c r="F400" s="829"/>
      <c r="G400" s="1058"/>
      <c r="H400" s="829"/>
      <c r="I400" s="829"/>
      <c r="J400" s="829"/>
      <c r="K400" s="828"/>
      <c r="L400" s="830"/>
      <c r="M400" s="835">
        <v>0</v>
      </c>
      <c r="N400" s="832"/>
      <c r="O400" s="833"/>
    </row>
    <row r="401" spans="1:15" ht="30" customHeight="1" x14ac:dyDescent="0.25">
      <c r="A401" s="828"/>
      <c r="B401" s="828" t="s">
        <v>1526</v>
      </c>
      <c r="C40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01" s="828" t="s">
        <v>267</v>
      </c>
      <c r="E401" s="829"/>
      <c r="F401" s="829"/>
      <c r="G401" s="1058"/>
      <c r="H401" s="829"/>
      <c r="I401" s="828"/>
      <c r="J401" s="828"/>
      <c r="K401" s="829"/>
      <c r="L401" s="830"/>
      <c r="M401" s="835">
        <v>0</v>
      </c>
      <c r="N401" s="832"/>
      <c r="O401" s="833"/>
    </row>
    <row r="402" spans="1:15" ht="30" customHeight="1" x14ac:dyDescent="0.25">
      <c r="A402" s="828"/>
      <c r="B402" s="828" t="s">
        <v>1527</v>
      </c>
      <c r="C40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02" s="828" t="s">
        <v>267</v>
      </c>
      <c r="E402" s="829"/>
      <c r="F402" s="829"/>
      <c r="G402" s="1058"/>
      <c r="H402" s="829"/>
      <c r="I402" s="828"/>
      <c r="J402" s="828"/>
      <c r="K402" s="829"/>
      <c r="L402" s="830"/>
      <c r="M402" s="835">
        <v>0</v>
      </c>
      <c r="N402" s="832"/>
      <c r="O402" s="833"/>
    </row>
    <row r="403" spans="1:15" ht="30" customHeight="1" x14ac:dyDescent="0.25">
      <c r="A403" s="828"/>
      <c r="B403" s="828" t="s">
        <v>1528</v>
      </c>
      <c r="C40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03" s="828" t="s">
        <v>267</v>
      </c>
      <c r="E403" s="829"/>
      <c r="F403" s="829"/>
      <c r="G403" s="1058"/>
      <c r="H403" s="829"/>
      <c r="I403" s="829"/>
      <c r="J403" s="828"/>
      <c r="K403" s="828"/>
      <c r="L403" s="830"/>
      <c r="M403" s="837">
        <v>0</v>
      </c>
      <c r="N403" s="832"/>
      <c r="O403" s="833"/>
    </row>
    <row r="404" spans="1:15" ht="30" customHeight="1" x14ac:dyDescent="0.25">
      <c r="A404" s="828"/>
      <c r="B404" s="828" t="s">
        <v>1529</v>
      </c>
      <c r="C40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04" s="828" t="s">
        <v>267</v>
      </c>
      <c r="E404" s="829"/>
      <c r="F404" s="829"/>
      <c r="G404" s="1059"/>
      <c r="H404" s="829"/>
      <c r="I404" s="829"/>
      <c r="J404" s="829"/>
      <c r="K404" s="829"/>
      <c r="L404" s="830"/>
      <c r="M404" s="835">
        <v>0</v>
      </c>
      <c r="N404" s="832"/>
      <c r="O404" s="833"/>
    </row>
    <row r="405" spans="1:15" ht="30" customHeight="1" x14ac:dyDescent="0.25">
      <c r="A405" s="828"/>
      <c r="B405" s="828" t="s">
        <v>1530</v>
      </c>
      <c r="C40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05" s="828" t="s">
        <v>267</v>
      </c>
      <c r="E405" s="828"/>
      <c r="F405" s="828"/>
      <c r="G405" s="1058"/>
      <c r="H405" s="828"/>
      <c r="I405" s="828"/>
      <c r="J405" s="828"/>
      <c r="K405" s="828"/>
      <c r="L405" s="830"/>
      <c r="M405" s="831">
        <v>0</v>
      </c>
      <c r="N405" s="836"/>
      <c r="O405" s="833"/>
    </row>
    <row r="406" spans="1:15" ht="30" customHeight="1" x14ac:dyDescent="0.25">
      <c r="A406" s="828"/>
      <c r="B406" s="828" t="s">
        <v>1531</v>
      </c>
      <c r="C40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06" s="828" t="s">
        <v>267</v>
      </c>
      <c r="E406" s="829"/>
      <c r="F406" s="829"/>
      <c r="G406" s="1058"/>
      <c r="H406" s="829"/>
      <c r="I406" s="829"/>
      <c r="J406" s="829"/>
      <c r="K406" s="828"/>
      <c r="L406" s="834"/>
      <c r="M406" s="835">
        <v>0</v>
      </c>
      <c r="N406" s="836"/>
      <c r="O406" s="833"/>
    </row>
    <row r="407" spans="1:15" ht="30" customHeight="1" x14ac:dyDescent="0.25">
      <c r="A407" s="828"/>
      <c r="B407" s="828" t="s">
        <v>1532</v>
      </c>
      <c r="C40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07" s="829" t="s">
        <v>267</v>
      </c>
      <c r="E407" s="829"/>
      <c r="F407" s="829"/>
      <c r="G407" s="1058"/>
      <c r="H407" s="829"/>
      <c r="I407" s="829"/>
      <c r="J407" s="828"/>
      <c r="K407" s="829"/>
      <c r="L407" s="834"/>
      <c r="M407" s="837">
        <v>0</v>
      </c>
      <c r="N407" s="832"/>
      <c r="O407" s="833"/>
    </row>
    <row r="408" spans="1:15" ht="30" customHeight="1" x14ac:dyDescent="0.25">
      <c r="A408" s="828"/>
      <c r="B408" s="828" t="s">
        <v>1533</v>
      </c>
      <c r="C40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08" s="829" t="s">
        <v>267</v>
      </c>
      <c r="E408" s="829"/>
      <c r="F408" s="829"/>
      <c r="G408" s="1058"/>
      <c r="H408" s="829"/>
      <c r="I408" s="829"/>
      <c r="J408" s="828"/>
      <c r="K408" s="829"/>
      <c r="L408" s="834"/>
      <c r="M408" s="837">
        <v>0</v>
      </c>
      <c r="N408" s="832"/>
      <c r="O408" s="833"/>
    </row>
    <row r="409" spans="1:15" ht="30" customHeight="1" x14ac:dyDescent="0.25">
      <c r="A409" s="828"/>
      <c r="B409" s="828" t="s">
        <v>1534</v>
      </c>
      <c r="C40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09" s="829" t="s">
        <v>267</v>
      </c>
      <c r="E409" s="829"/>
      <c r="F409" s="829"/>
      <c r="G409" s="1058"/>
      <c r="H409" s="829"/>
      <c r="I409" s="829"/>
      <c r="J409" s="828"/>
      <c r="K409" s="829"/>
      <c r="L409" s="834"/>
      <c r="M409" s="837">
        <v>0</v>
      </c>
      <c r="N409" s="832"/>
      <c r="O409" s="833"/>
    </row>
    <row r="410" spans="1:15" ht="30" customHeight="1" x14ac:dyDescent="0.25">
      <c r="A410" s="828"/>
      <c r="B410" s="828" t="s">
        <v>1535</v>
      </c>
      <c r="C41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10" s="829" t="s">
        <v>267</v>
      </c>
      <c r="E410" s="829"/>
      <c r="F410" s="829"/>
      <c r="G410" s="1058"/>
      <c r="H410" s="829"/>
      <c r="I410" s="829"/>
      <c r="J410" s="828"/>
      <c r="K410" s="829"/>
      <c r="L410" s="834"/>
      <c r="M410" s="835">
        <v>0</v>
      </c>
      <c r="N410" s="832"/>
      <c r="O410" s="833"/>
    </row>
    <row r="411" spans="1:15" ht="30" customHeight="1" x14ac:dyDescent="0.25">
      <c r="A411" s="828"/>
      <c r="B411" s="828" t="s">
        <v>1536</v>
      </c>
      <c r="C41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11" s="829" t="s">
        <v>267</v>
      </c>
      <c r="E411" s="829"/>
      <c r="F411" s="829"/>
      <c r="G411" s="1058"/>
      <c r="H411" s="829"/>
      <c r="I411" s="829"/>
      <c r="J411" s="828"/>
      <c r="K411" s="829"/>
      <c r="L411" s="834"/>
      <c r="M411" s="837">
        <v>0</v>
      </c>
      <c r="N411" s="832"/>
      <c r="O411" s="833"/>
    </row>
    <row r="412" spans="1:15" ht="30" customHeight="1" x14ac:dyDescent="0.25">
      <c r="A412" s="828"/>
      <c r="B412" s="828" t="s">
        <v>1537</v>
      </c>
      <c r="C41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12" s="828" t="s">
        <v>267</v>
      </c>
      <c r="E412" s="828"/>
      <c r="F412" s="828"/>
      <c r="G412" s="1058"/>
      <c r="H412" s="828"/>
      <c r="I412" s="828"/>
      <c r="J412" s="828"/>
      <c r="K412" s="828"/>
      <c r="L412" s="830"/>
      <c r="M412" s="831">
        <v>0</v>
      </c>
      <c r="N412" s="832"/>
      <c r="O412" s="833"/>
    </row>
    <row r="413" spans="1:15" ht="30" customHeight="1" x14ac:dyDescent="0.25">
      <c r="A413" s="828"/>
      <c r="B413" s="828" t="s">
        <v>1538</v>
      </c>
      <c r="C41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13" s="828" t="s">
        <v>267</v>
      </c>
      <c r="E413" s="828"/>
      <c r="F413" s="828"/>
      <c r="G413" s="1058"/>
      <c r="H413" s="828"/>
      <c r="I413" s="828"/>
      <c r="J413" s="828"/>
      <c r="K413" s="828"/>
      <c r="L413" s="830"/>
      <c r="M413" s="831">
        <v>0</v>
      </c>
      <c r="N413" s="836"/>
      <c r="O413" s="833"/>
    </row>
    <row r="414" spans="1:15" ht="30" customHeight="1" x14ac:dyDescent="0.25">
      <c r="A414" s="828"/>
      <c r="B414" s="828" t="s">
        <v>1539</v>
      </c>
      <c r="C41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14" s="829" t="s">
        <v>267</v>
      </c>
      <c r="E414" s="829"/>
      <c r="F414" s="829"/>
      <c r="G414" s="1058"/>
      <c r="H414" s="829"/>
      <c r="I414" s="829"/>
      <c r="J414" s="829"/>
      <c r="K414" s="829"/>
      <c r="L414" s="834"/>
      <c r="M414" s="837">
        <v>0</v>
      </c>
      <c r="N414" s="832"/>
      <c r="O414" s="833"/>
    </row>
    <row r="415" spans="1:15" ht="30" customHeight="1" x14ac:dyDescent="0.25">
      <c r="A415" s="828"/>
      <c r="B415" s="828" t="s">
        <v>1540</v>
      </c>
      <c r="C41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15" s="828" t="s">
        <v>267</v>
      </c>
      <c r="E415" s="828"/>
      <c r="F415" s="828"/>
      <c r="G415" s="1058"/>
      <c r="H415" s="828"/>
      <c r="I415" s="828"/>
      <c r="J415" s="828"/>
      <c r="K415" s="828"/>
      <c r="L415" s="830"/>
      <c r="M415" s="831">
        <v>0</v>
      </c>
      <c r="N415" s="832"/>
      <c r="O415" s="833"/>
    </row>
    <row r="416" spans="1:15" ht="30" customHeight="1" x14ac:dyDescent="0.25">
      <c r="A416" s="828"/>
      <c r="B416" s="828" t="s">
        <v>1541</v>
      </c>
      <c r="C41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16" s="828" t="s">
        <v>267</v>
      </c>
      <c r="E416" s="828"/>
      <c r="F416" s="828"/>
      <c r="G416" s="1058"/>
      <c r="H416" s="828"/>
      <c r="I416" s="828"/>
      <c r="J416" s="828"/>
      <c r="K416" s="828"/>
      <c r="L416" s="830"/>
      <c r="M416" s="831">
        <v>0</v>
      </c>
      <c r="N416" s="836"/>
      <c r="O416" s="833"/>
    </row>
    <row r="417" spans="1:15" ht="30" customHeight="1" x14ac:dyDescent="0.25">
      <c r="A417" s="828"/>
      <c r="B417" s="828" t="s">
        <v>1542</v>
      </c>
      <c r="C41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17" s="829" t="s">
        <v>267</v>
      </c>
      <c r="E417" s="829"/>
      <c r="F417" s="829"/>
      <c r="G417" s="1058"/>
      <c r="H417" s="829"/>
      <c r="I417" s="829"/>
      <c r="J417" s="829"/>
      <c r="K417" s="829"/>
      <c r="L417" s="834"/>
      <c r="M417" s="837">
        <v>0</v>
      </c>
      <c r="N417" s="832"/>
      <c r="O417" s="833"/>
    </row>
    <row r="418" spans="1:15" ht="30" customHeight="1" x14ac:dyDescent="0.25">
      <c r="A418" s="828"/>
      <c r="B418" s="828" t="s">
        <v>1543</v>
      </c>
      <c r="C41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18" s="828" t="s">
        <v>267</v>
      </c>
      <c r="E418" s="829"/>
      <c r="F418" s="829"/>
      <c r="G418" s="1058"/>
      <c r="H418" s="829"/>
      <c r="I418" s="829"/>
      <c r="J418" s="829"/>
      <c r="K418" s="829"/>
      <c r="L418" s="834"/>
      <c r="M418" s="837">
        <v>0</v>
      </c>
      <c r="N418" s="832"/>
      <c r="O418" s="833"/>
    </row>
    <row r="419" spans="1:15" ht="30" customHeight="1" x14ac:dyDescent="0.25">
      <c r="A419" s="828"/>
      <c r="B419" s="828" t="s">
        <v>1544</v>
      </c>
      <c r="C41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19" s="828" t="s">
        <v>267</v>
      </c>
      <c r="E419" s="828"/>
      <c r="F419" s="828"/>
      <c r="G419" s="1058"/>
      <c r="H419" s="828"/>
      <c r="I419" s="828"/>
      <c r="J419" s="828"/>
      <c r="K419" s="828"/>
      <c r="L419" s="830"/>
      <c r="M419" s="831">
        <v>0</v>
      </c>
      <c r="N419" s="836"/>
      <c r="O419" s="833"/>
    </row>
    <row r="420" spans="1:15" ht="30" customHeight="1" x14ac:dyDescent="0.25">
      <c r="A420" s="828"/>
      <c r="B420" s="828" t="s">
        <v>1545</v>
      </c>
      <c r="C42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20" s="829" t="s">
        <v>267</v>
      </c>
      <c r="E420" s="829"/>
      <c r="F420" s="829"/>
      <c r="G420" s="1058"/>
      <c r="H420" s="829"/>
      <c r="I420" s="829"/>
      <c r="J420" s="829"/>
      <c r="K420" s="829"/>
      <c r="L420" s="834"/>
      <c r="M420" s="837">
        <v>0</v>
      </c>
      <c r="N420" s="832"/>
      <c r="O420" s="833"/>
    </row>
    <row r="421" spans="1:15" ht="30" customHeight="1" x14ac:dyDescent="0.25">
      <c r="A421" s="828"/>
      <c r="B421" s="828" t="s">
        <v>1546</v>
      </c>
      <c r="C42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21" s="828" t="s">
        <v>267</v>
      </c>
      <c r="E421" s="829"/>
      <c r="F421" s="829"/>
      <c r="G421" s="1058"/>
      <c r="H421" s="829"/>
      <c r="I421" s="829"/>
      <c r="J421" s="829"/>
      <c r="K421" s="829"/>
      <c r="L421" s="834"/>
      <c r="M421" s="837">
        <v>0</v>
      </c>
      <c r="N421" s="832"/>
      <c r="O421" s="833"/>
    </row>
    <row r="422" spans="1:15" ht="30" customHeight="1" x14ac:dyDescent="0.25">
      <c r="A422" s="828"/>
      <c r="B422" s="828" t="s">
        <v>1547</v>
      </c>
      <c r="C42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22" s="828" t="s">
        <v>267</v>
      </c>
      <c r="E422" s="828"/>
      <c r="F422" s="828"/>
      <c r="G422" s="1058"/>
      <c r="H422" s="828"/>
      <c r="I422" s="828"/>
      <c r="J422" s="828"/>
      <c r="K422" s="828"/>
      <c r="L422" s="830"/>
      <c r="M422" s="831">
        <v>0</v>
      </c>
      <c r="N422" s="836"/>
      <c r="O422" s="833"/>
    </row>
    <row r="423" spans="1:15" ht="30" customHeight="1" x14ac:dyDescent="0.25">
      <c r="A423" s="828"/>
      <c r="B423" s="828" t="s">
        <v>1548</v>
      </c>
      <c r="C42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23" s="829" t="s">
        <v>267</v>
      </c>
      <c r="E423" s="829"/>
      <c r="F423" s="829"/>
      <c r="G423" s="1058"/>
      <c r="H423" s="829"/>
      <c r="I423" s="829"/>
      <c r="J423" s="829"/>
      <c r="K423" s="829"/>
      <c r="L423" s="834"/>
      <c r="M423" s="837">
        <v>0</v>
      </c>
      <c r="N423" s="832"/>
      <c r="O423" s="833"/>
    </row>
    <row r="424" spans="1:15" ht="30" customHeight="1" x14ac:dyDescent="0.25">
      <c r="A424" s="828"/>
      <c r="B424" s="828" t="s">
        <v>1549</v>
      </c>
      <c r="C42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24" s="828" t="s">
        <v>267</v>
      </c>
      <c r="E424" s="829"/>
      <c r="F424" s="829"/>
      <c r="G424" s="1058"/>
      <c r="H424" s="829"/>
      <c r="I424" s="829"/>
      <c r="J424" s="829"/>
      <c r="K424" s="829"/>
      <c r="L424" s="834"/>
      <c r="M424" s="837">
        <v>0</v>
      </c>
      <c r="N424" s="832"/>
      <c r="O424" s="833"/>
    </row>
    <row r="425" spans="1:15" ht="30" customHeight="1" x14ac:dyDescent="0.25">
      <c r="A425" s="828"/>
      <c r="B425" s="828" t="s">
        <v>1550</v>
      </c>
      <c r="C42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25" s="828" t="s">
        <v>267</v>
      </c>
      <c r="E425" s="828"/>
      <c r="F425" s="828"/>
      <c r="G425" s="1058"/>
      <c r="H425" s="828"/>
      <c r="I425" s="828"/>
      <c r="J425" s="828"/>
      <c r="K425" s="828"/>
      <c r="L425" s="830"/>
      <c r="M425" s="831">
        <v>0</v>
      </c>
      <c r="N425" s="836"/>
      <c r="O425" s="833"/>
    </row>
    <row r="426" spans="1:15" ht="30" customHeight="1" x14ac:dyDescent="0.25">
      <c r="A426" s="828"/>
      <c r="B426" s="828" t="s">
        <v>1551</v>
      </c>
      <c r="C42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26" s="828" t="s">
        <v>267</v>
      </c>
      <c r="E426" s="828"/>
      <c r="F426" s="828"/>
      <c r="G426" s="1058"/>
      <c r="H426" s="828"/>
      <c r="I426" s="828"/>
      <c r="J426" s="828"/>
      <c r="K426" s="828"/>
      <c r="L426" s="830"/>
      <c r="M426" s="831">
        <v>0</v>
      </c>
      <c r="N426" s="832"/>
      <c r="O426" s="833"/>
    </row>
    <row r="427" spans="1:15" ht="30" customHeight="1" x14ac:dyDescent="0.25">
      <c r="A427" s="828"/>
      <c r="B427" s="828" t="s">
        <v>1552</v>
      </c>
      <c r="C42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27" s="828" t="s">
        <v>267</v>
      </c>
      <c r="E427" s="829"/>
      <c r="F427" s="829"/>
      <c r="G427" s="1058"/>
      <c r="H427" s="829"/>
      <c r="I427" s="829"/>
      <c r="J427" s="829"/>
      <c r="K427" s="828"/>
      <c r="L427" s="834"/>
      <c r="M427" s="835">
        <v>0</v>
      </c>
      <c r="N427" s="836"/>
      <c r="O427" s="833"/>
    </row>
    <row r="428" spans="1:15" ht="30" customHeight="1" x14ac:dyDescent="0.25">
      <c r="A428" s="828"/>
      <c r="B428" s="828" t="s">
        <v>1553</v>
      </c>
      <c r="C42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28" s="828" t="s">
        <v>267</v>
      </c>
      <c r="E428" s="828"/>
      <c r="F428" s="828"/>
      <c r="G428" s="1058"/>
      <c r="H428" s="828"/>
      <c r="I428" s="828"/>
      <c r="J428" s="828"/>
      <c r="K428" s="828"/>
      <c r="L428" s="830"/>
      <c r="M428" s="831">
        <v>0</v>
      </c>
      <c r="N428" s="836"/>
      <c r="O428" s="833"/>
    </row>
    <row r="429" spans="1:15" ht="30" customHeight="1" x14ac:dyDescent="0.25">
      <c r="A429" s="828"/>
      <c r="B429" s="828" t="s">
        <v>1554</v>
      </c>
      <c r="C42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29" s="828" t="s">
        <v>267</v>
      </c>
      <c r="E429" s="828"/>
      <c r="F429" s="828"/>
      <c r="G429" s="1058"/>
      <c r="H429" s="828"/>
      <c r="I429" s="828"/>
      <c r="J429" s="828"/>
      <c r="K429" s="828"/>
      <c r="L429" s="830"/>
      <c r="M429" s="831">
        <v>0</v>
      </c>
      <c r="N429" s="836"/>
      <c r="O429" s="833"/>
    </row>
    <row r="430" spans="1:15" ht="30" customHeight="1" x14ac:dyDescent="0.25">
      <c r="A430" s="828"/>
      <c r="B430" s="828" t="s">
        <v>1555</v>
      </c>
      <c r="C43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30" s="829" t="s">
        <v>267</v>
      </c>
      <c r="E430" s="829"/>
      <c r="F430" s="829"/>
      <c r="G430" s="1059"/>
      <c r="H430" s="829"/>
      <c r="I430" s="829"/>
      <c r="J430" s="829"/>
      <c r="K430" s="829"/>
      <c r="L430" s="834"/>
      <c r="M430" s="835">
        <v>0</v>
      </c>
      <c r="N430" s="836"/>
      <c r="O430" s="833"/>
    </row>
    <row r="431" spans="1:15" ht="30" customHeight="1" x14ac:dyDescent="0.25">
      <c r="A431" s="828"/>
      <c r="B431" s="828" t="s">
        <v>1556</v>
      </c>
      <c r="C43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31" s="829" t="s">
        <v>267</v>
      </c>
      <c r="E431" s="829"/>
      <c r="F431" s="829"/>
      <c r="G431" s="1059"/>
      <c r="H431" s="829"/>
      <c r="I431" s="829"/>
      <c r="J431" s="829"/>
      <c r="K431" s="829"/>
      <c r="L431" s="834"/>
      <c r="M431" s="835">
        <v>0</v>
      </c>
      <c r="N431" s="836"/>
      <c r="O431" s="833"/>
    </row>
    <row r="432" spans="1:15" ht="30" customHeight="1" x14ac:dyDescent="0.25">
      <c r="A432" s="828"/>
      <c r="B432" s="828" t="s">
        <v>1557</v>
      </c>
      <c r="C43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32" s="828" t="s">
        <v>267</v>
      </c>
      <c r="E432" s="828"/>
      <c r="F432" s="828"/>
      <c r="G432" s="1058"/>
      <c r="H432" s="828"/>
      <c r="I432" s="828"/>
      <c r="J432" s="828"/>
      <c r="K432" s="828"/>
      <c r="L432" s="830"/>
      <c r="M432" s="831">
        <v>0</v>
      </c>
      <c r="N432" s="832"/>
      <c r="O432" s="833"/>
    </row>
    <row r="433" spans="1:15" ht="30" customHeight="1" x14ac:dyDescent="0.25">
      <c r="A433" s="828"/>
      <c r="B433" s="828" t="s">
        <v>1558</v>
      </c>
      <c r="C43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33" s="829" t="s">
        <v>267</v>
      </c>
      <c r="E433" s="829"/>
      <c r="F433" s="829"/>
      <c r="G433" s="1059"/>
      <c r="H433" s="829"/>
      <c r="I433" s="829"/>
      <c r="J433" s="829"/>
      <c r="K433" s="829"/>
      <c r="L433" s="834"/>
      <c r="M433" s="835">
        <v>0</v>
      </c>
      <c r="N433" s="832"/>
      <c r="O433" s="833"/>
    </row>
    <row r="434" spans="1:15" ht="30" customHeight="1" x14ac:dyDescent="0.25">
      <c r="A434" s="828"/>
      <c r="B434" s="828" t="s">
        <v>1559</v>
      </c>
      <c r="C43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34" s="829" t="s">
        <v>267</v>
      </c>
      <c r="E434" s="829"/>
      <c r="F434" s="829"/>
      <c r="G434" s="1059"/>
      <c r="H434" s="829"/>
      <c r="I434" s="829"/>
      <c r="J434" s="829"/>
      <c r="K434" s="829"/>
      <c r="L434" s="834"/>
      <c r="M434" s="835">
        <v>0</v>
      </c>
      <c r="N434" s="836"/>
      <c r="O434" s="833"/>
    </row>
    <row r="435" spans="1:15" ht="30" customHeight="1" x14ac:dyDescent="0.25">
      <c r="A435" s="828"/>
      <c r="B435" s="828" t="s">
        <v>1560</v>
      </c>
      <c r="C43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35" s="829" t="s">
        <v>267</v>
      </c>
      <c r="E435" s="829"/>
      <c r="F435" s="829"/>
      <c r="G435" s="1059"/>
      <c r="H435" s="829"/>
      <c r="I435" s="829"/>
      <c r="J435" s="829"/>
      <c r="K435" s="829"/>
      <c r="L435" s="834"/>
      <c r="M435" s="835">
        <v>0</v>
      </c>
      <c r="N435" s="836"/>
      <c r="O435" s="833"/>
    </row>
    <row r="436" spans="1:15" ht="30" customHeight="1" x14ac:dyDescent="0.25">
      <c r="A436" s="828"/>
      <c r="B436" s="828" t="s">
        <v>1561</v>
      </c>
      <c r="C43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36" s="829" t="s">
        <v>267</v>
      </c>
      <c r="E436" s="829"/>
      <c r="F436" s="829"/>
      <c r="G436" s="1059"/>
      <c r="H436" s="829"/>
      <c r="I436" s="829"/>
      <c r="J436" s="829"/>
      <c r="K436" s="829"/>
      <c r="L436" s="834"/>
      <c r="M436" s="835">
        <v>0</v>
      </c>
      <c r="N436" s="836"/>
      <c r="O436" s="833"/>
    </row>
    <row r="437" spans="1:15" ht="30" customHeight="1" x14ac:dyDescent="0.25">
      <c r="A437" s="828"/>
      <c r="B437" s="828" t="s">
        <v>1562</v>
      </c>
      <c r="C43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37" s="829" t="s">
        <v>267</v>
      </c>
      <c r="E437" s="829"/>
      <c r="F437" s="829"/>
      <c r="G437" s="1059"/>
      <c r="H437" s="829"/>
      <c r="I437" s="829"/>
      <c r="J437" s="829"/>
      <c r="K437" s="829"/>
      <c r="L437" s="834"/>
      <c r="M437" s="835">
        <v>0</v>
      </c>
      <c r="N437" s="836"/>
      <c r="O437" s="833"/>
    </row>
    <row r="438" spans="1:15" ht="30" customHeight="1" x14ac:dyDescent="0.25">
      <c r="A438" s="828"/>
      <c r="B438" s="828" t="s">
        <v>1563</v>
      </c>
      <c r="C43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38" s="829" t="s">
        <v>267</v>
      </c>
      <c r="E438" s="829"/>
      <c r="F438" s="829"/>
      <c r="G438" s="1059"/>
      <c r="H438" s="829"/>
      <c r="I438" s="829"/>
      <c r="J438" s="829"/>
      <c r="K438" s="829"/>
      <c r="L438" s="834"/>
      <c r="M438" s="835">
        <v>0</v>
      </c>
      <c r="N438" s="832"/>
      <c r="O438" s="833"/>
    </row>
    <row r="439" spans="1:15" ht="30" customHeight="1" x14ac:dyDescent="0.25">
      <c r="A439" s="828"/>
      <c r="B439" s="828" t="s">
        <v>1564</v>
      </c>
      <c r="C43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39" s="829" t="s">
        <v>267</v>
      </c>
      <c r="E439" s="829"/>
      <c r="F439" s="829"/>
      <c r="G439" s="1059"/>
      <c r="H439" s="829"/>
      <c r="I439" s="829"/>
      <c r="J439" s="829"/>
      <c r="K439" s="829"/>
      <c r="L439" s="834"/>
      <c r="M439" s="835">
        <v>0</v>
      </c>
      <c r="N439" s="832"/>
      <c r="O439" s="833"/>
    </row>
    <row r="440" spans="1:15" ht="30" customHeight="1" x14ac:dyDescent="0.25">
      <c r="A440" s="828"/>
      <c r="B440" s="828" t="s">
        <v>1565</v>
      </c>
      <c r="C44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40" s="829" t="s">
        <v>267</v>
      </c>
      <c r="E440" s="829"/>
      <c r="F440" s="829"/>
      <c r="G440" s="1059"/>
      <c r="H440" s="829"/>
      <c r="I440" s="829"/>
      <c r="J440" s="829"/>
      <c r="K440" s="829"/>
      <c r="L440" s="834"/>
      <c r="M440" s="835">
        <v>0</v>
      </c>
      <c r="N440" s="832"/>
      <c r="O440" s="833"/>
    </row>
    <row r="441" spans="1:15" ht="30" customHeight="1" x14ac:dyDescent="0.25">
      <c r="A441" s="828"/>
      <c r="B441" s="828" t="s">
        <v>1566</v>
      </c>
      <c r="C44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41" s="829" t="s">
        <v>267</v>
      </c>
      <c r="E441" s="829"/>
      <c r="F441" s="829"/>
      <c r="G441" s="1059"/>
      <c r="H441" s="829"/>
      <c r="I441" s="829"/>
      <c r="J441" s="829"/>
      <c r="K441" s="829"/>
      <c r="L441" s="834"/>
      <c r="M441" s="837">
        <v>0</v>
      </c>
      <c r="N441" s="832"/>
      <c r="O441" s="833"/>
    </row>
    <row r="442" spans="1:15" ht="30" customHeight="1" x14ac:dyDescent="0.25">
      <c r="A442" s="828"/>
      <c r="B442" s="828" t="s">
        <v>1567</v>
      </c>
      <c r="C44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42" s="829" t="s">
        <v>267</v>
      </c>
      <c r="E442" s="829"/>
      <c r="F442" s="829"/>
      <c r="G442" s="1059"/>
      <c r="H442" s="829"/>
      <c r="I442" s="829"/>
      <c r="J442" s="829"/>
      <c r="K442" s="829"/>
      <c r="L442" s="834"/>
      <c r="M442" s="835">
        <v>0</v>
      </c>
      <c r="N442" s="836"/>
      <c r="O442" s="833"/>
    </row>
    <row r="443" spans="1:15" ht="30" customHeight="1" x14ac:dyDescent="0.25">
      <c r="A443" s="828"/>
      <c r="B443" s="828" t="s">
        <v>1568</v>
      </c>
      <c r="C44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43" s="829" t="s">
        <v>267</v>
      </c>
      <c r="E443" s="829"/>
      <c r="F443" s="829"/>
      <c r="G443" s="1059"/>
      <c r="H443" s="829"/>
      <c r="I443" s="829"/>
      <c r="J443" s="829"/>
      <c r="K443" s="829"/>
      <c r="L443" s="834"/>
      <c r="M443" s="835">
        <v>0</v>
      </c>
      <c r="N443" s="836"/>
      <c r="O443" s="833"/>
    </row>
    <row r="444" spans="1:15" ht="30" customHeight="1" x14ac:dyDescent="0.25">
      <c r="A444" s="828"/>
      <c r="B444" s="828" t="s">
        <v>1569</v>
      </c>
      <c r="C44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44" s="829" t="s">
        <v>267</v>
      </c>
      <c r="E444" s="829"/>
      <c r="F444" s="829"/>
      <c r="G444" s="1059"/>
      <c r="H444" s="829"/>
      <c r="I444" s="829"/>
      <c r="J444" s="829"/>
      <c r="K444" s="829"/>
      <c r="L444" s="834"/>
      <c r="M444" s="835">
        <v>0</v>
      </c>
      <c r="N444" s="832"/>
      <c r="O444" s="833"/>
    </row>
    <row r="445" spans="1:15" ht="30" customHeight="1" x14ac:dyDescent="0.25">
      <c r="A445" s="828"/>
      <c r="B445" s="828" t="s">
        <v>1570</v>
      </c>
      <c r="C44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45" s="829" t="s">
        <v>267</v>
      </c>
      <c r="E445" s="829"/>
      <c r="F445" s="829"/>
      <c r="G445" s="1059"/>
      <c r="H445" s="829"/>
      <c r="I445" s="829"/>
      <c r="J445" s="829"/>
      <c r="K445" s="829"/>
      <c r="L445" s="834"/>
      <c r="M445" s="835">
        <v>0</v>
      </c>
      <c r="N445" s="832"/>
      <c r="O445" s="833"/>
    </row>
    <row r="446" spans="1:15" ht="30" customHeight="1" x14ac:dyDescent="0.25">
      <c r="A446" s="828"/>
      <c r="B446" s="828" t="s">
        <v>1571</v>
      </c>
      <c r="C44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46" s="829" t="s">
        <v>267</v>
      </c>
      <c r="E446" s="829"/>
      <c r="F446" s="829"/>
      <c r="G446" s="1059"/>
      <c r="H446" s="829"/>
      <c r="I446" s="829"/>
      <c r="J446" s="829"/>
      <c r="K446" s="829"/>
      <c r="L446" s="834"/>
      <c r="M446" s="835">
        <v>0</v>
      </c>
      <c r="N446" s="832"/>
      <c r="O446" s="833"/>
    </row>
    <row r="447" spans="1:15" ht="30" customHeight="1" x14ac:dyDescent="0.25">
      <c r="A447" s="828"/>
      <c r="B447" s="828" t="s">
        <v>1572</v>
      </c>
      <c r="C44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47" s="829" t="s">
        <v>267</v>
      </c>
      <c r="E447" s="829"/>
      <c r="F447" s="829"/>
      <c r="G447" s="1058"/>
      <c r="H447" s="829"/>
      <c r="I447" s="829"/>
      <c r="J447" s="829"/>
      <c r="K447" s="829"/>
      <c r="L447" s="834"/>
      <c r="M447" s="835">
        <v>0</v>
      </c>
      <c r="N447" s="836"/>
      <c r="O447" s="833"/>
    </row>
    <row r="448" spans="1:15" ht="30" customHeight="1" x14ac:dyDescent="0.25">
      <c r="A448" s="828"/>
      <c r="B448" s="828" t="s">
        <v>1573</v>
      </c>
      <c r="C44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48" s="829" t="s">
        <v>267</v>
      </c>
      <c r="E448" s="829"/>
      <c r="F448" s="829"/>
      <c r="G448" s="1059"/>
      <c r="H448" s="829"/>
      <c r="I448" s="829"/>
      <c r="J448" s="829"/>
      <c r="K448" s="829"/>
      <c r="L448" s="834"/>
      <c r="M448" s="835">
        <v>0</v>
      </c>
      <c r="N448" s="836"/>
      <c r="O448" s="833"/>
    </row>
    <row r="449" spans="1:15" ht="30" customHeight="1" x14ac:dyDescent="0.25">
      <c r="A449" s="828"/>
      <c r="B449" s="828" t="s">
        <v>1574</v>
      </c>
      <c r="C44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49" s="829" t="s">
        <v>267</v>
      </c>
      <c r="E449" s="829"/>
      <c r="F449" s="829"/>
      <c r="G449" s="1059"/>
      <c r="H449" s="829"/>
      <c r="I449" s="829"/>
      <c r="J449" s="829"/>
      <c r="K449" s="829"/>
      <c r="L449" s="834"/>
      <c r="M449" s="837">
        <v>0</v>
      </c>
      <c r="N449" s="836"/>
      <c r="O449" s="833"/>
    </row>
    <row r="450" spans="1:15" ht="30" customHeight="1" x14ac:dyDescent="0.25">
      <c r="A450" s="828"/>
      <c r="B450" s="828" t="s">
        <v>1575</v>
      </c>
      <c r="C45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50" s="829" t="s">
        <v>267</v>
      </c>
      <c r="E450" s="829"/>
      <c r="F450" s="829"/>
      <c r="G450" s="1059"/>
      <c r="H450" s="829"/>
      <c r="I450" s="829"/>
      <c r="J450" s="829"/>
      <c r="K450" s="829"/>
      <c r="L450" s="834"/>
      <c r="M450" s="835">
        <v>0</v>
      </c>
      <c r="N450" s="832"/>
      <c r="O450" s="833"/>
    </row>
    <row r="451" spans="1:15" ht="30" customHeight="1" x14ac:dyDescent="0.25">
      <c r="A451" s="828"/>
      <c r="B451" s="828" t="s">
        <v>1576</v>
      </c>
      <c r="C45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51" s="829" t="s">
        <v>267</v>
      </c>
      <c r="E451" s="829"/>
      <c r="F451" s="829"/>
      <c r="G451" s="1059"/>
      <c r="H451" s="829"/>
      <c r="I451" s="829"/>
      <c r="J451" s="828"/>
      <c r="K451" s="829"/>
      <c r="L451" s="834"/>
      <c r="M451" s="835">
        <v>0</v>
      </c>
      <c r="N451" s="832"/>
      <c r="O451" s="833"/>
    </row>
    <row r="452" spans="1:15" ht="30" customHeight="1" x14ac:dyDescent="0.25">
      <c r="A452" s="828"/>
      <c r="B452" s="828" t="s">
        <v>1577</v>
      </c>
      <c r="C45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52" s="829" t="s">
        <v>267</v>
      </c>
      <c r="E452" s="829"/>
      <c r="F452" s="829"/>
      <c r="G452" s="1059"/>
      <c r="H452" s="829"/>
      <c r="I452" s="829"/>
      <c r="J452" s="829"/>
      <c r="K452" s="829"/>
      <c r="L452" s="834"/>
      <c r="M452" s="835">
        <v>0</v>
      </c>
      <c r="N452" s="832"/>
      <c r="O452" s="833"/>
    </row>
    <row r="453" spans="1:15" ht="30" customHeight="1" x14ac:dyDescent="0.25">
      <c r="A453" s="828"/>
      <c r="B453" s="828" t="s">
        <v>1578</v>
      </c>
      <c r="C45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53" s="829" t="s">
        <v>267</v>
      </c>
      <c r="E453" s="829"/>
      <c r="F453" s="829"/>
      <c r="G453" s="1059"/>
      <c r="H453" s="829"/>
      <c r="I453" s="829"/>
      <c r="J453" s="829"/>
      <c r="K453" s="829"/>
      <c r="L453" s="834"/>
      <c r="M453" s="835">
        <v>0</v>
      </c>
      <c r="N453" s="832"/>
      <c r="O453" s="833"/>
    </row>
    <row r="454" spans="1:15" ht="30" customHeight="1" x14ac:dyDescent="0.25">
      <c r="A454" s="828"/>
      <c r="B454" s="828" t="s">
        <v>1579</v>
      </c>
      <c r="C45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54" s="829" t="s">
        <v>267</v>
      </c>
      <c r="E454" s="829"/>
      <c r="F454" s="829"/>
      <c r="G454" s="1059"/>
      <c r="H454" s="829"/>
      <c r="I454" s="829"/>
      <c r="J454" s="829"/>
      <c r="K454" s="829"/>
      <c r="L454" s="834"/>
      <c r="M454" s="837">
        <v>0</v>
      </c>
      <c r="N454" s="832"/>
      <c r="O454" s="833"/>
    </row>
    <row r="455" spans="1:15" ht="30" customHeight="1" x14ac:dyDescent="0.25">
      <c r="A455" s="828"/>
      <c r="B455" s="828" t="s">
        <v>1580</v>
      </c>
      <c r="C45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55" s="829" t="s">
        <v>267</v>
      </c>
      <c r="E455" s="829"/>
      <c r="F455" s="829"/>
      <c r="G455" s="1059"/>
      <c r="H455" s="829"/>
      <c r="I455" s="829"/>
      <c r="J455" s="829"/>
      <c r="K455" s="829"/>
      <c r="L455" s="834"/>
      <c r="M455" s="837">
        <v>0</v>
      </c>
      <c r="N455" s="832"/>
      <c r="O455" s="833"/>
    </row>
    <row r="456" spans="1:15" ht="30" customHeight="1" x14ac:dyDescent="0.25">
      <c r="A456" s="828"/>
      <c r="B456" s="828" t="s">
        <v>1581</v>
      </c>
      <c r="C45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56" s="829" t="s">
        <v>267</v>
      </c>
      <c r="E456" s="829"/>
      <c r="F456" s="829"/>
      <c r="G456" s="1059"/>
      <c r="H456" s="829"/>
      <c r="I456" s="829"/>
      <c r="J456" s="829"/>
      <c r="K456" s="829"/>
      <c r="L456" s="834"/>
      <c r="M456" s="835">
        <v>0</v>
      </c>
      <c r="N456" s="832"/>
      <c r="O456" s="833"/>
    </row>
    <row r="457" spans="1:15" ht="30" customHeight="1" x14ac:dyDescent="0.25">
      <c r="A457" s="828"/>
      <c r="B457" s="828" t="s">
        <v>1582</v>
      </c>
      <c r="C45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57" s="829" t="s">
        <v>267</v>
      </c>
      <c r="E457" s="829"/>
      <c r="F457" s="829"/>
      <c r="G457" s="1059"/>
      <c r="H457" s="829"/>
      <c r="I457" s="829"/>
      <c r="J457" s="829"/>
      <c r="K457" s="829"/>
      <c r="L457" s="834"/>
      <c r="M457" s="835">
        <v>0</v>
      </c>
      <c r="N457" s="832"/>
      <c r="O457" s="833"/>
    </row>
    <row r="458" spans="1:15" ht="30" customHeight="1" x14ac:dyDescent="0.25">
      <c r="A458" s="828"/>
      <c r="B458" s="828" t="s">
        <v>1583</v>
      </c>
      <c r="C45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58" s="829" t="s">
        <v>267</v>
      </c>
      <c r="E458" s="829"/>
      <c r="F458" s="829"/>
      <c r="G458" s="1059"/>
      <c r="H458" s="829"/>
      <c r="I458" s="829"/>
      <c r="J458" s="829"/>
      <c r="K458" s="829"/>
      <c r="L458" s="834"/>
      <c r="M458" s="835">
        <v>0</v>
      </c>
      <c r="N458" s="832"/>
      <c r="O458" s="833"/>
    </row>
    <row r="459" spans="1:15" ht="30" customHeight="1" x14ac:dyDescent="0.25">
      <c r="A459" s="828"/>
      <c r="B459" s="828" t="s">
        <v>1584</v>
      </c>
      <c r="C45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59" s="829" t="s">
        <v>267</v>
      </c>
      <c r="E459" s="829"/>
      <c r="F459" s="829"/>
      <c r="G459" s="1059"/>
      <c r="H459" s="829"/>
      <c r="I459" s="829"/>
      <c r="J459" s="829"/>
      <c r="K459" s="829"/>
      <c r="L459" s="834"/>
      <c r="M459" s="835">
        <v>0</v>
      </c>
      <c r="N459" s="832"/>
      <c r="O459" s="833"/>
    </row>
    <row r="460" spans="1:15" ht="30" customHeight="1" x14ac:dyDescent="0.25">
      <c r="A460" s="828"/>
      <c r="B460" s="828" t="s">
        <v>1585</v>
      </c>
      <c r="C46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60" s="829" t="s">
        <v>267</v>
      </c>
      <c r="E460" s="829"/>
      <c r="F460" s="829"/>
      <c r="G460" s="1059"/>
      <c r="H460" s="829"/>
      <c r="I460" s="829"/>
      <c r="J460" s="829"/>
      <c r="K460" s="829"/>
      <c r="L460" s="834"/>
      <c r="M460" s="835">
        <v>0</v>
      </c>
      <c r="N460" s="832"/>
      <c r="O460" s="833"/>
    </row>
    <row r="461" spans="1:15" ht="30" customHeight="1" x14ac:dyDescent="0.25">
      <c r="A461" s="828"/>
      <c r="B461" s="828" t="s">
        <v>1586</v>
      </c>
      <c r="C46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61" s="829" t="s">
        <v>267</v>
      </c>
      <c r="E461" s="829"/>
      <c r="F461" s="829"/>
      <c r="G461" s="1059"/>
      <c r="H461" s="829"/>
      <c r="I461" s="829"/>
      <c r="J461" s="829"/>
      <c r="K461" s="829"/>
      <c r="L461" s="834"/>
      <c r="M461" s="835">
        <v>0</v>
      </c>
      <c r="N461" s="836"/>
      <c r="O461" s="833"/>
    </row>
    <row r="462" spans="1:15" ht="30" customHeight="1" x14ac:dyDescent="0.25">
      <c r="A462" s="828"/>
      <c r="B462" s="828" t="s">
        <v>1587</v>
      </c>
      <c r="C46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62" s="829" t="s">
        <v>267</v>
      </c>
      <c r="E462" s="829"/>
      <c r="F462" s="829"/>
      <c r="G462" s="1059"/>
      <c r="H462" s="829"/>
      <c r="I462" s="829"/>
      <c r="J462" s="829"/>
      <c r="K462" s="829"/>
      <c r="L462" s="834"/>
      <c r="M462" s="835">
        <v>0</v>
      </c>
      <c r="N462" s="832"/>
      <c r="O462" s="833"/>
    </row>
    <row r="463" spans="1:15" ht="30" customHeight="1" x14ac:dyDescent="0.25">
      <c r="A463" s="828"/>
      <c r="B463" s="828" t="s">
        <v>1588</v>
      </c>
      <c r="C46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63" s="829" t="s">
        <v>267</v>
      </c>
      <c r="E463" s="829"/>
      <c r="F463" s="829"/>
      <c r="G463" s="1059"/>
      <c r="H463" s="829"/>
      <c r="I463" s="829"/>
      <c r="J463" s="829"/>
      <c r="K463" s="829"/>
      <c r="L463" s="834"/>
      <c r="M463" s="835">
        <v>0</v>
      </c>
      <c r="N463" s="832"/>
      <c r="O463" s="833"/>
    </row>
    <row r="464" spans="1:15" ht="30" customHeight="1" x14ac:dyDescent="0.25">
      <c r="A464" s="828"/>
      <c r="B464" s="828" t="s">
        <v>1589</v>
      </c>
      <c r="C46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64" s="829" t="s">
        <v>267</v>
      </c>
      <c r="E464" s="829"/>
      <c r="F464" s="829"/>
      <c r="G464" s="1059"/>
      <c r="H464" s="829"/>
      <c r="I464" s="829"/>
      <c r="J464" s="829"/>
      <c r="K464" s="829"/>
      <c r="L464" s="834"/>
      <c r="M464" s="835">
        <v>0</v>
      </c>
      <c r="N464" s="832"/>
      <c r="O464" s="833"/>
    </row>
    <row r="465" spans="1:15" ht="30" customHeight="1" x14ac:dyDescent="0.25">
      <c r="A465" s="828"/>
      <c r="B465" s="828" t="s">
        <v>1590</v>
      </c>
      <c r="C46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65" s="829" t="s">
        <v>267</v>
      </c>
      <c r="E465" s="829"/>
      <c r="F465" s="829"/>
      <c r="G465" s="1059"/>
      <c r="H465" s="829"/>
      <c r="I465" s="829"/>
      <c r="J465" s="829"/>
      <c r="K465" s="829"/>
      <c r="L465" s="834"/>
      <c r="M465" s="835">
        <v>0</v>
      </c>
      <c r="N465" s="832"/>
      <c r="O465" s="833"/>
    </row>
    <row r="466" spans="1:15" ht="30" customHeight="1" x14ac:dyDescent="0.25">
      <c r="A466" s="828"/>
      <c r="B466" s="828" t="s">
        <v>1591</v>
      </c>
      <c r="C46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66" s="829" t="s">
        <v>267</v>
      </c>
      <c r="E466" s="829"/>
      <c r="F466" s="829"/>
      <c r="G466" s="1059"/>
      <c r="H466" s="829"/>
      <c r="I466" s="829"/>
      <c r="J466" s="829"/>
      <c r="K466" s="829"/>
      <c r="L466" s="834"/>
      <c r="M466" s="835">
        <v>0</v>
      </c>
      <c r="N466" s="832"/>
      <c r="O466" s="833"/>
    </row>
    <row r="467" spans="1:15" ht="30" customHeight="1" x14ac:dyDescent="0.25">
      <c r="A467" s="828"/>
      <c r="B467" s="828" t="s">
        <v>1592</v>
      </c>
      <c r="C46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67" s="829" t="s">
        <v>267</v>
      </c>
      <c r="E467" s="829"/>
      <c r="F467" s="829"/>
      <c r="G467" s="1058"/>
      <c r="H467" s="829"/>
      <c r="I467" s="829"/>
      <c r="J467" s="829"/>
      <c r="K467" s="829"/>
      <c r="L467" s="834"/>
      <c r="M467" s="835">
        <v>0</v>
      </c>
      <c r="N467" s="832"/>
      <c r="O467" s="833"/>
    </row>
    <row r="468" spans="1:15" ht="30" customHeight="1" x14ac:dyDescent="0.25">
      <c r="A468" s="828"/>
      <c r="B468" s="828" t="s">
        <v>1593</v>
      </c>
      <c r="C46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68" s="829" t="s">
        <v>267</v>
      </c>
      <c r="E468" s="829"/>
      <c r="F468" s="829"/>
      <c r="G468" s="1058"/>
      <c r="H468" s="829"/>
      <c r="I468" s="829"/>
      <c r="J468" s="829"/>
      <c r="K468" s="829"/>
      <c r="L468" s="834"/>
      <c r="M468" s="835">
        <v>0</v>
      </c>
      <c r="N468" s="832"/>
      <c r="O468" s="833"/>
    </row>
    <row r="469" spans="1:15" ht="30" customHeight="1" x14ac:dyDescent="0.25">
      <c r="A469" s="828"/>
      <c r="B469" s="828" t="s">
        <v>1594</v>
      </c>
      <c r="C46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69" s="829" t="s">
        <v>267</v>
      </c>
      <c r="E469" s="829"/>
      <c r="F469" s="829"/>
      <c r="G469" s="1058"/>
      <c r="H469" s="829"/>
      <c r="I469" s="829"/>
      <c r="J469" s="829"/>
      <c r="K469" s="829"/>
      <c r="L469" s="834"/>
      <c r="M469" s="835">
        <v>0</v>
      </c>
      <c r="N469" s="832"/>
      <c r="O469" s="833"/>
    </row>
    <row r="470" spans="1:15" ht="30" customHeight="1" x14ac:dyDescent="0.25">
      <c r="A470" s="828"/>
      <c r="B470" s="828" t="s">
        <v>1595</v>
      </c>
      <c r="C47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70" s="829" t="s">
        <v>267</v>
      </c>
      <c r="E470" s="829"/>
      <c r="F470" s="829"/>
      <c r="G470" s="1058"/>
      <c r="H470" s="829"/>
      <c r="I470" s="829"/>
      <c r="J470" s="829"/>
      <c r="K470" s="829"/>
      <c r="L470" s="834"/>
      <c r="M470" s="835">
        <v>0</v>
      </c>
      <c r="N470" s="832"/>
      <c r="O470" s="833"/>
    </row>
    <row r="471" spans="1:15" ht="30" customHeight="1" x14ac:dyDescent="0.25">
      <c r="A471" s="828"/>
      <c r="B471" s="828" t="s">
        <v>1596</v>
      </c>
      <c r="C47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71" s="829" t="s">
        <v>267</v>
      </c>
      <c r="E471" s="829"/>
      <c r="F471" s="829"/>
      <c r="G471" s="1058"/>
      <c r="H471" s="829"/>
      <c r="I471" s="829"/>
      <c r="J471" s="829"/>
      <c r="K471" s="829"/>
      <c r="L471" s="834"/>
      <c r="M471" s="835">
        <v>0</v>
      </c>
      <c r="N471" s="832"/>
      <c r="O471" s="833"/>
    </row>
    <row r="472" spans="1:15" ht="30" customHeight="1" x14ac:dyDescent="0.25">
      <c r="A472" s="828"/>
      <c r="B472" s="828" t="s">
        <v>1597</v>
      </c>
      <c r="C47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72" s="829" t="s">
        <v>267</v>
      </c>
      <c r="E472" s="829"/>
      <c r="F472" s="829"/>
      <c r="G472" s="1059"/>
      <c r="H472" s="829"/>
      <c r="I472" s="829"/>
      <c r="J472" s="829"/>
      <c r="K472" s="829"/>
      <c r="L472" s="834"/>
      <c r="M472" s="835">
        <v>0</v>
      </c>
      <c r="N472" s="836"/>
      <c r="O472" s="833"/>
    </row>
    <row r="473" spans="1:15" ht="30" customHeight="1" x14ac:dyDescent="0.25">
      <c r="A473" s="828"/>
      <c r="B473" s="828" t="s">
        <v>1598</v>
      </c>
      <c r="C47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73" s="829" t="s">
        <v>267</v>
      </c>
      <c r="E473" s="829"/>
      <c r="F473" s="829"/>
      <c r="G473" s="1059"/>
      <c r="H473" s="829"/>
      <c r="I473" s="829"/>
      <c r="J473" s="829"/>
      <c r="K473" s="829"/>
      <c r="L473" s="834"/>
      <c r="M473" s="835">
        <v>0</v>
      </c>
      <c r="N473" s="832"/>
      <c r="O473" s="833"/>
    </row>
    <row r="474" spans="1:15" ht="30" customHeight="1" x14ac:dyDescent="0.25">
      <c r="A474" s="828"/>
      <c r="B474" s="828" t="s">
        <v>1599</v>
      </c>
      <c r="C47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74" s="828" t="s">
        <v>267</v>
      </c>
      <c r="E474" s="828"/>
      <c r="F474" s="828"/>
      <c r="G474" s="1058"/>
      <c r="H474" s="828"/>
      <c r="I474" s="828"/>
      <c r="J474" s="828"/>
      <c r="K474" s="828"/>
      <c r="L474" s="830"/>
      <c r="M474" s="831">
        <v>0</v>
      </c>
      <c r="N474" s="832"/>
      <c r="O474" s="833"/>
    </row>
    <row r="475" spans="1:15" ht="30" customHeight="1" x14ac:dyDescent="0.25">
      <c r="A475" s="828"/>
      <c r="B475" s="828" t="s">
        <v>1600</v>
      </c>
      <c r="C47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75" s="829" t="s">
        <v>267</v>
      </c>
      <c r="E475" s="829"/>
      <c r="F475" s="829"/>
      <c r="G475" s="1059"/>
      <c r="H475" s="829"/>
      <c r="I475" s="829"/>
      <c r="J475" s="829"/>
      <c r="K475" s="829"/>
      <c r="L475" s="834"/>
      <c r="M475" s="835">
        <v>0</v>
      </c>
      <c r="N475" s="832"/>
      <c r="O475" s="833"/>
    </row>
    <row r="476" spans="1:15" ht="30" customHeight="1" x14ac:dyDescent="0.25">
      <c r="A476" s="828"/>
      <c r="B476" s="828" t="s">
        <v>1601</v>
      </c>
      <c r="C47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76" s="829" t="s">
        <v>267</v>
      </c>
      <c r="E476" s="829"/>
      <c r="F476" s="829"/>
      <c r="G476" s="1059"/>
      <c r="H476" s="829"/>
      <c r="I476" s="829"/>
      <c r="J476" s="829"/>
      <c r="K476" s="829"/>
      <c r="L476" s="834"/>
      <c r="M476" s="835">
        <v>0</v>
      </c>
      <c r="N476" s="832"/>
      <c r="O476" s="833"/>
    </row>
    <row r="477" spans="1:15" ht="30" customHeight="1" x14ac:dyDescent="0.25">
      <c r="A477" s="828"/>
      <c r="B477" s="828" t="s">
        <v>1602</v>
      </c>
      <c r="C47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77" s="829" t="s">
        <v>267</v>
      </c>
      <c r="E477" s="829"/>
      <c r="F477" s="829"/>
      <c r="G477" s="1059"/>
      <c r="H477" s="829"/>
      <c r="I477" s="829"/>
      <c r="J477" s="829"/>
      <c r="K477" s="829"/>
      <c r="L477" s="834"/>
      <c r="M477" s="835">
        <v>0</v>
      </c>
      <c r="N477" s="832"/>
      <c r="O477" s="833"/>
    </row>
    <row r="478" spans="1:15" ht="30" customHeight="1" x14ac:dyDescent="0.25">
      <c r="A478" s="828"/>
      <c r="B478" s="828" t="s">
        <v>1603</v>
      </c>
      <c r="C47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78" s="829" t="s">
        <v>267</v>
      </c>
      <c r="E478" s="829"/>
      <c r="F478" s="829"/>
      <c r="G478" s="1059"/>
      <c r="H478" s="829"/>
      <c r="I478" s="829"/>
      <c r="J478" s="829"/>
      <c r="K478" s="829"/>
      <c r="L478" s="834"/>
      <c r="M478" s="835">
        <v>0</v>
      </c>
      <c r="N478" s="832"/>
      <c r="O478" s="833"/>
    </row>
    <row r="479" spans="1:15" ht="30" customHeight="1" x14ac:dyDescent="0.25">
      <c r="A479" s="828"/>
      <c r="B479" s="828" t="s">
        <v>1604</v>
      </c>
      <c r="C47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79" s="829" t="s">
        <v>267</v>
      </c>
      <c r="E479" s="829"/>
      <c r="F479" s="829"/>
      <c r="G479" s="1059"/>
      <c r="H479" s="829"/>
      <c r="I479" s="829"/>
      <c r="J479" s="829"/>
      <c r="K479" s="829"/>
      <c r="L479" s="834"/>
      <c r="M479" s="835">
        <v>0</v>
      </c>
      <c r="N479" s="832"/>
      <c r="O479" s="833"/>
    </row>
    <row r="480" spans="1:15" ht="30" customHeight="1" x14ac:dyDescent="0.25">
      <c r="A480" s="828"/>
      <c r="B480" s="828" t="s">
        <v>1605</v>
      </c>
      <c r="C48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80" s="829" t="s">
        <v>267</v>
      </c>
      <c r="E480" s="829"/>
      <c r="F480" s="829"/>
      <c r="G480" s="1059"/>
      <c r="H480" s="829"/>
      <c r="I480" s="829"/>
      <c r="J480" s="829"/>
      <c r="K480" s="829"/>
      <c r="L480" s="834"/>
      <c r="M480" s="835">
        <v>0</v>
      </c>
      <c r="N480" s="836"/>
      <c r="O480" s="833"/>
    </row>
    <row r="481" spans="1:15" ht="30" customHeight="1" x14ac:dyDescent="0.25">
      <c r="A481" s="828"/>
      <c r="B481" s="828" t="s">
        <v>1606</v>
      </c>
      <c r="C48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81" s="829" t="s">
        <v>267</v>
      </c>
      <c r="E481" s="829"/>
      <c r="F481" s="829"/>
      <c r="G481" s="1059"/>
      <c r="H481" s="829"/>
      <c r="I481" s="829"/>
      <c r="J481" s="829"/>
      <c r="K481" s="829"/>
      <c r="L481" s="834"/>
      <c r="M481" s="835">
        <v>0</v>
      </c>
      <c r="N481" s="832"/>
      <c r="O481" s="833"/>
    </row>
    <row r="482" spans="1:15" ht="30" customHeight="1" x14ac:dyDescent="0.25">
      <c r="A482" s="828"/>
      <c r="B482" s="828" t="s">
        <v>1607</v>
      </c>
      <c r="C48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82" s="829" t="s">
        <v>267</v>
      </c>
      <c r="E482" s="829"/>
      <c r="F482" s="829"/>
      <c r="G482" s="1059"/>
      <c r="H482" s="829"/>
      <c r="I482" s="829"/>
      <c r="J482" s="829"/>
      <c r="K482" s="829"/>
      <c r="L482" s="834"/>
      <c r="M482" s="835">
        <v>0</v>
      </c>
      <c r="N482" s="832"/>
      <c r="O482" s="833"/>
    </row>
    <row r="483" spans="1:15" ht="30" customHeight="1" x14ac:dyDescent="0.25">
      <c r="A483" s="828"/>
      <c r="B483" s="828" t="s">
        <v>1608</v>
      </c>
      <c r="C48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83" s="829" t="s">
        <v>267</v>
      </c>
      <c r="E483" s="829"/>
      <c r="F483" s="829"/>
      <c r="G483" s="1059"/>
      <c r="H483" s="829"/>
      <c r="I483" s="829"/>
      <c r="J483" s="829"/>
      <c r="K483" s="829"/>
      <c r="L483" s="834"/>
      <c r="M483" s="835">
        <v>0</v>
      </c>
      <c r="N483" s="836"/>
      <c r="O483" s="833"/>
    </row>
    <row r="484" spans="1:15" ht="30" customHeight="1" x14ac:dyDescent="0.25">
      <c r="A484" s="828"/>
      <c r="B484" s="828" t="s">
        <v>1609</v>
      </c>
      <c r="C48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84" s="829" t="s">
        <v>267</v>
      </c>
      <c r="E484" s="829"/>
      <c r="F484" s="829"/>
      <c r="G484" s="1059"/>
      <c r="H484" s="829"/>
      <c r="I484" s="829"/>
      <c r="J484" s="829"/>
      <c r="K484" s="829"/>
      <c r="L484" s="834"/>
      <c r="M484" s="835">
        <v>0</v>
      </c>
      <c r="N484" s="832"/>
      <c r="O484" s="833"/>
    </row>
    <row r="485" spans="1:15" ht="30" customHeight="1" x14ac:dyDescent="0.25">
      <c r="A485" s="828"/>
      <c r="B485" s="828" t="s">
        <v>1610</v>
      </c>
      <c r="C48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85" s="829" t="s">
        <v>267</v>
      </c>
      <c r="E485" s="829"/>
      <c r="F485" s="829"/>
      <c r="G485" s="1059"/>
      <c r="H485" s="829"/>
      <c r="I485" s="829"/>
      <c r="J485" s="829"/>
      <c r="K485" s="829"/>
      <c r="L485" s="834"/>
      <c r="M485" s="835">
        <v>0</v>
      </c>
      <c r="N485" s="832"/>
      <c r="O485" s="833"/>
    </row>
    <row r="486" spans="1:15" ht="30" customHeight="1" x14ac:dyDescent="0.25">
      <c r="A486" s="828"/>
      <c r="B486" s="828" t="s">
        <v>1611</v>
      </c>
      <c r="C48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86" s="829" t="s">
        <v>267</v>
      </c>
      <c r="E486" s="829"/>
      <c r="F486" s="829"/>
      <c r="G486" s="1059"/>
      <c r="H486" s="829"/>
      <c r="I486" s="829"/>
      <c r="J486" s="829"/>
      <c r="K486" s="829"/>
      <c r="L486" s="834"/>
      <c r="M486" s="835">
        <v>0</v>
      </c>
      <c r="N486" s="832"/>
      <c r="O486" s="833"/>
    </row>
    <row r="487" spans="1:15" ht="30" customHeight="1" x14ac:dyDescent="0.25">
      <c r="A487" s="828"/>
      <c r="B487" s="828" t="s">
        <v>1612</v>
      </c>
      <c r="C48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87" s="829" t="s">
        <v>267</v>
      </c>
      <c r="E487" s="829"/>
      <c r="F487" s="829"/>
      <c r="G487" s="1059"/>
      <c r="H487" s="829"/>
      <c r="I487" s="829"/>
      <c r="J487" s="829"/>
      <c r="K487" s="829"/>
      <c r="L487" s="834"/>
      <c r="M487" s="835">
        <v>0</v>
      </c>
      <c r="N487" s="832"/>
      <c r="O487" s="833"/>
    </row>
    <row r="488" spans="1:15" ht="30" customHeight="1" x14ac:dyDescent="0.25">
      <c r="A488" s="828"/>
      <c r="B488" s="828" t="s">
        <v>1613</v>
      </c>
      <c r="C48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88" s="829" t="s">
        <v>267</v>
      </c>
      <c r="E488" s="829"/>
      <c r="F488" s="829"/>
      <c r="G488" s="1059"/>
      <c r="H488" s="829"/>
      <c r="I488" s="829"/>
      <c r="J488" s="829"/>
      <c r="K488" s="829"/>
      <c r="L488" s="834"/>
      <c r="M488" s="835">
        <v>0</v>
      </c>
      <c r="N488" s="836"/>
      <c r="O488" s="833"/>
    </row>
    <row r="489" spans="1:15" ht="30" customHeight="1" x14ac:dyDescent="0.25">
      <c r="A489" s="828"/>
      <c r="B489" s="828" t="s">
        <v>1614</v>
      </c>
      <c r="C48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89" s="829" t="s">
        <v>267</v>
      </c>
      <c r="E489" s="829"/>
      <c r="F489" s="829"/>
      <c r="G489" s="1059"/>
      <c r="H489" s="829"/>
      <c r="I489" s="829"/>
      <c r="J489" s="829"/>
      <c r="K489" s="829"/>
      <c r="L489" s="834"/>
      <c r="M489" s="835">
        <v>0</v>
      </c>
      <c r="N489" s="836"/>
      <c r="O489" s="833"/>
    </row>
    <row r="490" spans="1:15" ht="30" customHeight="1" x14ac:dyDescent="0.25">
      <c r="A490" s="828"/>
      <c r="B490" s="828" t="s">
        <v>1615</v>
      </c>
      <c r="C49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90" s="829" t="s">
        <v>267</v>
      </c>
      <c r="E490" s="829"/>
      <c r="F490" s="829"/>
      <c r="G490" s="1059"/>
      <c r="H490" s="829"/>
      <c r="I490" s="829"/>
      <c r="J490" s="829"/>
      <c r="K490" s="829"/>
      <c r="L490" s="834"/>
      <c r="M490" s="835">
        <v>0</v>
      </c>
      <c r="N490" s="836"/>
      <c r="O490" s="833"/>
    </row>
    <row r="491" spans="1:15" ht="30" customHeight="1" x14ac:dyDescent="0.25">
      <c r="A491" s="828"/>
      <c r="B491" s="828" t="s">
        <v>1616</v>
      </c>
      <c r="C49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91" s="829" t="s">
        <v>267</v>
      </c>
      <c r="E491" s="829"/>
      <c r="F491" s="829"/>
      <c r="G491" s="1059"/>
      <c r="H491" s="829"/>
      <c r="I491" s="829"/>
      <c r="J491" s="829"/>
      <c r="K491" s="829"/>
      <c r="L491" s="834"/>
      <c r="M491" s="835">
        <v>0</v>
      </c>
      <c r="N491" s="836"/>
      <c r="O491" s="833"/>
    </row>
    <row r="492" spans="1:15" ht="30" customHeight="1" x14ac:dyDescent="0.25">
      <c r="A492" s="828"/>
      <c r="B492" s="828" t="s">
        <v>1617</v>
      </c>
      <c r="C49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92" s="829" t="s">
        <v>267</v>
      </c>
      <c r="E492" s="829"/>
      <c r="F492" s="829"/>
      <c r="G492" s="1059"/>
      <c r="H492" s="829"/>
      <c r="I492" s="829"/>
      <c r="J492" s="829"/>
      <c r="K492" s="829"/>
      <c r="L492" s="834"/>
      <c r="M492" s="837">
        <v>0</v>
      </c>
      <c r="N492" s="832"/>
      <c r="O492" s="833"/>
    </row>
    <row r="493" spans="1:15" ht="30" customHeight="1" x14ac:dyDescent="0.25">
      <c r="A493" s="828"/>
      <c r="B493" s="828" t="s">
        <v>1618</v>
      </c>
      <c r="C49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93" s="829" t="s">
        <v>267</v>
      </c>
      <c r="E493" s="829"/>
      <c r="F493" s="829"/>
      <c r="G493" s="1059"/>
      <c r="H493" s="829"/>
      <c r="I493" s="829"/>
      <c r="J493" s="829"/>
      <c r="K493" s="829"/>
      <c r="L493" s="834"/>
      <c r="M493" s="835">
        <v>0</v>
      </c>
      <c r="N493" s="836"/>
      <c r="O493" s="833"/>
    </row>
    <row r="494" spans="1:15" ht="30" customHeight="1" x14ac:dyDescent="0.25">
      <c r="A494" s="828"/>
      <c r="B494" s="828" t="s">
        <v>1619</v>
      </c>
      <c r="C49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94" s="829" t="s">
        <v>267</v>
      </c>
      <c r="E494" s="829"/>
      <c r="F494" s="829"/>
      <c r="G494" s="1059"/>
      <c r="H494" s="829"/>
      <c r="I494" s="829"/>
      <c r="J494" s="829"/>
      <c r="K494" s="829"/>
      <c r="L494" s="834"/>
      <c r="M494" s="835">
        <v>0</v>
      </c>
      <c r="N494" s="832"/>
      <c r="O494" s="833"/>
    </row>
    <row r="495" spans="1:15" ht="30" customHeight="1" x14ac:dyDescent="0.25">
      <c r="A495" s="828"/>
      <c r="B495" s="828" t="s">
        <v>1620</v>
      </c>
      <c r="C49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95" s="829" t="s">
        <v>267</v>
      </c>
      <c r="E495" s="829"/>
      <c r="F495" s="829"/>
      <c r="G495" s="1059"/>
      <c r="H495" s="829"/>
      <c r="I495" s="829"/>
      <c r="J495" s="829"/>
      <c r="K495" s="829"/>
      <c r="L495" s="834"/>
      <c r="M495" s="835">
        <v>0</v>
      </c>
      <c r="N495" s="832"/>
      <c r="O495" s="833"/>
    </row>
    <row r="496" spans="1:15" ht="30" customHeight="1" x14ac:dyDescent="0.25">
      <c r="A496" s="828"/>
      <c r="B496" s="828" t="s">
        <v>1621</v>
      </c>
      <c r="C49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96" s="829" t="s">
        <v>267</v>
      </c>
      <c r="E496" s="829"/>
      <c r="F496" s="829"/>
      <c r="G496" s="1059"/>
      <c r="H496" s="829"/>
      <c r="I496" s="829"/>
      <c r="J496" s="829"/>
      <c r="K496" s="829"/>
      <c r="L496" s="834"/>
      <c r="M496" s="835">
        <v>0</v>
      </c>
      <c r="N496" s="832"/>
      <c r="O496" s="833"/>
    </row>
    <row r="497" spans="1:15" ht="30" customHeight="1" x14ac:dyDescent="0.25">
      <c r="A497" s="828"/>
      <c r="B497" s="828" t="s">
        <v>1469</v>
      </c>
      <c r="C49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97" s="829"/>
      <c r="E497" s="829"/>
      <c r="F497" s="829"/>
      <c r="G497" s="1059"/>
      <c r="H497" s="829"/>
      <c r="I497" s="829"/>
      <c r="J497" s="829"/>
      <c r="K497" s="829"/>
      <c r="L497" s="834"/>
      <c r="M497" s="835"/>
      <c r="N497" s="832"/>
      <c r="O497" s="833"/>
    </row>
    <row r="498" spans="1:15" ht="30" customHeight="1" x14ac:dyDescent="0.25">
      <c r="A498" s="828"/>
      <c r="B498" s="828" t="s">
        <v>1470</v>
      </c>
      <c r="C49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98" s="828"/>
      <c r="E498" s="828"/>
      <c r="F498" s="828"/>
      <c r="G498" s="1058"/>
      <c r="H498" s="828"/>
      <c r="I498" s="828"/>
      <c r="J498" s="828"/>
      <c r="K498" s="828"/>
      <c r="L498" s="830"/>
      <c r="M498" s="831"/>
      <c r="N498" s="832"/>
      <c r="O498" s="833"/>
    </row>
    <row r="499" spans="1:15" ht="30" customHeight="1" x14ac:dyDescent="0.25">
      <c r="A499" s="828"/>
      <c r="B499" s="828" t="s">
        <v>1471</v>
      </c>
      <c r="C49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499" s="828"/>
      <c r="E499" s="828"/>
      <c r="F499" s="828"/>
      <c r="G499" s="1058"/>
      <c r="H499" s="828"/>
      <c r="I499" s="828"/>
      <c r="J499" s="828"/>
      <c r="K499" s="828"/>
      <c r="L499" s="830"/>
      <c r="M499" s="831"/>
      <c r="N499" s="832"/>
      <c r="O499" s="833"/>
    </row>
    <row r="500" spans="1:15" ht="30" customHeight="1" x14ac:dyDescent="0.25">
      <c r="A500" s="828"/>
      <c r="B500" s="828" t="s">
        <v>1472</v>
      </c>
      <c r="C50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00" s="828"/>
      <c r="E500" s="828"/>
      <c r="F500" s="828"/>
      <c r="G500" s="1058"/>
      <c r="H500" s="828"/>
      <c r="I500" s="828"/>
      <c r="J500" s="828"/>
      <c r="K500" s="828"/>
      <c r="L500" s="830"/>
      <c r="M500" s="831"/>
      <c r="N500" s="832"/>
      <c r="O500" s="833"/>
    </row>
    <row r="501" spans="1:15" ht="30" customHeight="1" x14ac:dyDescent="0.25">
      <c r="A501" s="828"/>
      <c r="B501" s="828" t="s">
        <v>1473</v>
      </c>
      <c r="C50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01" s="828"/>
      <c r="E501" s="828"/>
      <c r="F501" s="828"/>
      <c r="G501" s="1058"/>
      <c r="H501" s="828"/>
      <c r="I501" s="828"/>
      <c r="J501" s="828"/>
      <c r="K501" s="828"/>
      <c r="L501" s="830"/>
      <c r="M501" s="831"/>
      <c r="N501" s="832"/>
      <c r="O501" s="833"/>
    </row>
    <row r="502" spans="1:15" ht="30" customHeight="1" x14ac:dyDescent="0.25">
      <c r="A502" s="828"/>
      <c r="B502" s="828" t="s">
        <v>1474</v>
      </c>
      <c r="C50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02" s="828"/>
      <c r="E502" s="828"/>
      <c r="F502" s="828"/>
      <c r="G502" s="1058"/>
      <c r="H502" s="828"/>
      <c r="I502" s="828"/>
      <c r="J502" s="828"/>
      <c r="K502" s="828"/>
      <c r="L502" s="830"/>
      <c r="M502" s="831"/>
      <c r="N502" s="832"/>
      <c r="O502" s="833"/>
    </row>
    <row r="503" spans="1:15" ht="30" customHeight="1" x14ac:dyDescent="0.25">
      <c r="A503" s="828"/>
      <c r="B503" s="828" t="s">
        <v>1475</v>
      </c>
      <c r="C50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03" s="828"/>
      <c r="E503" s="828"/>
      <c r="F503" s="828"/>
      <c r="G503" s="1058"/>
      <c r="H503" s="828"/>
      <c r="I503" s="828"/>
      <c r="J503" s="828"/>
      <c r="K503" s="828"/>
      <c r="L503" s="830"/>
      <c r="M503" s="831"/>
      <c r="N503" s="832"/>
      <c r="O503" s="833"/>
    </row>
    <row r="504" spans="1:15" ht="30" customHeight="1" x14ac:dyDescent="0.25">
      <c r="A504" s="828"/>
      <c r="B504" s="828">
        <v>610</v>
      </c>
      <c r="C50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04" s="829"/>
      <c r="E504" s="829"/>
      <c r="F504" s="829"/>
      <c r="G504" s="1059"/>
      <c r="H504" s="829"/>
      <c r="I504" s="829"/>
      <c r="J504" s="829"/>
      <c r="K504" s="829"/>
      <c r="L504" s="834"/>
      <c r="M504" s="835"/>
      <c r="N504" s="832"/>
      <c r="O504" s="833"/>
    </row>
    <row r="505" spans="1:15" ht="30" customHeight="1" x14ac:dyDescent="0.25">
      <c r="A505" s="828"/>
      <c r="B505" s="828">
        <v>611</v>
      </c>
      <c r="C50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05" s="829"/>
      <c r="E505" s="829"/>
      <c r="F505" s="829"/>
      <c r="G505" s="1059"/>
      <c r="H505" s="829"/>
      <c r="I505" s="829"/>
      <c r="J505" s="829"/>
      <c r="K505" s="829"/>
      <c r="L505" s="834"/>
      <c r="M505" s="835"/>
      <c r="N505" s="832"/>
      <c r="O505" s="833"/>
    </row>
    <row r="506" spans="1:15" ht="30" customHeight="1" x14ac:dyDescent="0.25">
      <c r="A506" s="828"/>
      <c r="B506" s="828">
        <v>612</v>
      </c>
      <c r="C50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06" s="829"/>
      <c r="E506" s="829"/>
      <c r="F506" s="829"/>
      <c r="G506" s="1059"/>
      <c r="H506" s="829"/>
      <c r="I506" s="829"/>
      <c r="J506" s="829"/>
      <c r="K506" s="829"/>
      <c r="L506" s="834"/>
      <c r="M506" s="835"/>
      <c r="N506" s="832"/>
      <c r="O506" s="833"/>
    </row>
    <row r="507" spans="1:15" ht="30" customHeight="1" x14ac:dyDescent="0.25">
      <c r="A507" s="828"/>
      <c r="B507" s="828">
        <v>613</v>
      </c>
      <c r="C50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07" s="829"/>
      <c r="E507" s="829"/>
      <c r="F507" s="829"/>
      <c r="G507" s="1059"/>
      <c r="H507" s="829"/>
      <c r="I507" s="829"/>
      <c r="J507" s="829"/>
      <c r="K507" s="829"/>
      <c r="L507" s="834"/>
      <c r="M507" s="835"/>
      <c r="N507" s="832"/>
      <c r="O507" s="833"/>
    </row>
    <row r="508" spans="1:15" ht="30" customHeight="1" x14ac:dyDescent="0.25">
      <c r="A508" s="828"/>
      <c r="B508" s="828">
        <v>614</v>
      </c>
      <c r="C50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08" s="829"/>
      <c r="E508" s="829"/>
      <c r="F508" s="829"/>
      <c r="G508" s="1059"/>
      <c r="H508" s="829"/>
      <c r="I508" s="829"/>
      <c r="J508" s="829"/>
      <c r="K508" s="829"/>
      <c r="L508" s="834"/>
      <c r="M508" s="837"/>
      <c r="N508" s="832"/>
      <c r="O508" s="833"/>
    </row>
    <row r="509" spans="1:15" ht="30" customHeight="1" x14ac:dyDescent="0.25">
      <c r="A509" s="828"/>
      <c r="B509" s="828">
        <v>615</v>
      </c>
      <c r="C50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09" s="829"/>
      <c r="E509" s="829"/>
      <c r="F509" s="829"/>
      <c r="G509" s="1059"/>
      <c r="H509" s="829"/>
      <c r="I509" s="829"/>
      <c r="J509" s="829"/>
      <c r="K509" s="829"/>
      <c r="L509" s="834"/>
      <c r="M509" s="835"/>
      <c r="N509" s="832"/>
      <c r="O509" s="833"/>
    </row>
    <row r="510" spans="1:15" ht="30" customHeight="1" x14ac:dyDescent="0.25">
      <c r="A510" s="828"/>
      <c r="B510" s="828">
        <v>616</v>
      </c>
      <c r="C51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10" s="829"/>
      <c r="E510" s="829"/>
      <c r="F510" s="829"/>
      <c r="G510" s="1059"/>
      <c r="H510" s="829"/>
      <c r="I510" s="829"/>
      <c r="J510" s="829"/>
      <c r="K510" s="829"/>
      <c r="L510" s="834"/>
      <c r="M510" s="835"/>
      <c r="N510" s="832"/>
      <c r="O510" s="833"/>
    </row>
    <row r="511" spans="1:15" ht="30" customHeight="1" x14ac:dyDescent="0.25">
      <c r="A511" s="828"/>
      <c r="B511" s="828">
        <v>617</v>
      </c>
      <c r="C51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11" s="829"/>
      <c r="E511" s="829"/>
      <c r="F511" s="829"/>
      <c r="G511" s="1059"/>
      <c r="H511" s="829"/>
      <c r="I511" s="829"/>
      <c r="J511" s="829"/>
      <c r="K511" s="829"/>
      <c r="L511" s="834"/>
      <c r="M511" s="835"/>
      <c r="N511" s="832"/>
      <c r="O511" s="833"/>
    </row>
    <row r="512" spans="1:15" ht="30" customHeight="1" x14ac:dyDescent="0.25">
      <c r="A512" s="828"/>
      <c r="B512" s="828">
        <v>618</v>
      </c>
      <c r="C51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12" s="829"/>
      <c r="E512" s="829"/>
      <c r="F512" s="829"/>
      <c r="G512" s="1059"/>
      <c r="H512" s="829"/>
      <c r="I512" s="829"/>
      <c r="J512" s="829"/>
      <c r="K512" s="829"/>
      <c r="L512" s="834"/>
      <c r="M512" s="835"/>
      <c r="N512" s="832"/>
      <c r="O512" s="833"/>
    </row>
    <row r="513" spans="1:15" ht="30" customHeight="1" x14ac:dyDescent="0.25">
      <c r="A513" s="828"/>
      <c r="B513" s="828">
        <v>619</v>
      </c>
      <c r="C51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13" s="829"/>
      <c r="E513" s="829"/>
      <c r="F513" s="829"/>
      <c r="G513" s="1059"/>
      <c r="H513" s="829"/>
      <c r="I513" s="829"/>
      <c r="J513" s="829"/>
      <c r="K513" s="829"/>
      <c r="L513" s="834"/>
      <c r="M513" s="835"/>
      <c r="N513" s="832"/>
      <c r="O513" s="833"/>
    </row>
    <row r="514" spans="1:15" ht="30" customHeight="1" x14ac:dyDescent="0.25">
      <c r="A514" s="828"/>
      <c r="B514" s="828">
        <v>620</v>
      </c>
      <c r="C51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14" s="829"/>
      <c r="E514" s="829"/>
      <c r="F514" s="829"/>
      <c r="G514" s="1059"/>
      <c r="H514" s="829"/>
      <c r="I514" s="829"/>
      <c r="J514" s="829"/>
      <c r="K514" s="829"/>
      <c r="L514" s="834"/>
      <c r="M514" s="835"/>
      <c r="N514" s="832"/>
      <c r="O514" s="833"/>
    </row>
    <row r="515" spans="1:15" ht="30" customHeight="1" x14ac:dyDescent="0.25">
      <c r="A515" s="828"/>
      <c r="B515" s="828">
        <v>621</v>
      </c>
      <c r="C51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15" s="829"/>
      <c r="E515" s="829"/>
      <c r="F515" s="829"/>
      <c r="G515" s="1059"/>
      <c r="H515" s="829"/>
      <c r="I515" s="829"/>
      <c r="J515" s="829"/>
      <c r="K515" s="829"/>
      <c r="L515" s="834"/>
      <c r="M515" s="835"/>
      <c r="N515" s="832"/>
      <c r="O515" s="833"/>
    </row>
    <row r="516" spans="1:15" ht="30" customHeight="1" x14ac:dyDescent="0.25">
      <c r="A516" s="828"/>
      <c r="B516" s="828">
        <v>622</v>
      </c>
      <c r="C51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16" s="829"/>
      <c r="E516" s="829"/>
      <c r="F516" s="829"/>
      <c r="G516" s="1059"/>
      <c r="H516" s="829"/>
      <c r="I516" s="829"/>
      <c r="J516" s="829"/>
      <c r="K516" s="829"/>
      <c r="L516" s="834"/>
      <c r="M516" s="835"/>
      <c r="N516" s="832"/>
      <c r="O516" s="833"/>
    </row>
    <row r="517" spans="1:15" ht="30" customHeight="1" x14ac:dyDescent="0.25">
      <c r="A517" s="828"/>
      <c r="B517" s="828">
        <v>623</v>
      </c>
      <c r="C51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17" s="829"/>
      <c r="E517" s="829"/>
      <c r="F517" s="829"/>
      <c r="G517" s="1059"/>
      <c r="H517" s="829"/>
      <c r="I517" s="829"/>
      <c r="J517" s="829"/>
      <c r="K517" s="829"/>
      <c r="L517" s="834"/>
      <c r="M517" s="835"/>
      <c r="N517" s="832"/>
      <c r="O517" s="833"/>
    </row>
    <row r="518" spans="1:15" ht="30" customHeight="1" x14ac:dyDescent="0.25">
      <c r="A518" s="828"/>
      <c r="B518" s="828">
        <v>624</v>
      </c>
      <c r="C51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18" s="829"/>
      <c r="E518" s="829"/>
      <c r="F518" s="829"/>
      <c r="G518" s="1059"/>
      <c r="H518" s="829"/>
      <c r="I518" s="829"/>
      <c r="J518" s="829"/>
      <c r="K518" s="829"/>
      <c r="L518" s="834"/>
      <c r="M518" s="835"/>
      <c r="N518" s="832"/>
      <c r="O518" s="833"/>
    </row>
    <row r="519" spans="1:15" ht="30" customHeight="1" x14ac:dyDescent="0.25">
      <c r="A519" s="828"/>
      <c r="B519" s="828">
        <v>625</v>
      </c>
      <c r="C51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19" s="829"/>
      <c r="E519" s="829"/>
      <c r="F519" s="829"/>
      <c r="G519" s="1059"/>
      <c r="H519" s="829"/>
      <c r="I519" s="829"/>
      <c r="J519" s="829"/>
      <c r="K519" s="829"/>
      <c r="L519" s="834"/>
      <c r="M519" s="835"/>
      <c r="N519" s="836"/>
      <c r="O519" s="833"/>
    </row>
    <row r="520" spans="1:15" ht="30" customHeight="1" x14ac:dyDescent="0.25">
      <c r="A520" s="828"/>
      <c r="B520" s="828">
        <v>626</v>
      </c>
      <c r="C52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20" s="829"/>
      <c r="E520" s="829"/>
      <c r="F520" s="829"/>
      <c r="G520" s="1059"/>
      <c r="H520" s="829"/>
      <c r="I520" s="829"/>
      <c r="J520" s="829"/>
      <c r="K520" s="829"/>
      <c r="L520" s="834"/>
      <c r="M520" s="835"/>
      <c r="N520" s="836"/>
      <c r="O520" s="833"/>
    </row>
    <row r="521" spans="1:15" ht="30" customHeight="1" x14ac:dyDescent="0.25">
      <c r="A521" s="828"/>
      <c r="B521" s="828">
        <v>627</v>
      </c>
      <c r="C52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21" s="829"/>
      <c r="E521" s="829"/>
      <c r="F521" s="829"/>
      <c r="G521" s="1059"/>
      <c r="H521" s="829"/>
      <c r="I521" s="829"/>
      <c r="J521" s="829"/>
      <c r="K521" s="829"/>
      <c r="L521" s="834"/>
      <c r="M521" s="837"/>
      <c r="N521" s="832"/>
      <c r="O521" s="833"/>
    </row>
    <row r="522" spans="1:15" ht="30" customHeight="1" x14ac:dyDescent="0.25">
      <c r="A522" s="828"/>
      <c r="B522" s="828">
        <v>628</v>
      </c>
      <c r="C52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22" s="829"/>
      <c r="E522" s="829"/>
      <c r="F522" s="829"/>
      <c r="G522" s="1059"/>
      <c r="H522" s="829"/>
      <c r="I522" s="829"/>
      <c r="J522" s="829"/>
      <c r="K522" s="829"/>
      <c r="L522" s="834"/>
      <c r="M522" s="835"/>
      <c r="N522" s="836"/>
      <c r="O522" s="833"/>
    </row>
    <row r="523" spans="1:15" ht="30" customHeight="1" x14ac:dyDescent="0.25">
      <c r="A523" s="828"/>
      <c r="B523" s="828">
        <v>629</v>
      </c>
      <c r="C52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23" s="829"/>
      <c r="E523" s="829"/>
      <c r="F523" s="829"/>
      <c r="G523" s="1059"/>
      <c r="H523" s="829"/>
      <c r="I523" s="829"/>
      <c r="J523" s="829"/>
      <c r="K523" s="829"/>
      <c r="L523" s="834"/>
      <c r="M523" s="835"/>
      <c r="N523" s="832"/>
      <c r="O523" s="833"/>
    </row>
    <row r="524" spans="1:15" ht="30" customHeight="1" x14ac:dyDescent="0.25">
      <c r="A524" s="828"/>
      <c r="B524" s="828">
        <v>630</v>
      </c>
      <c r="C52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24" s="829"/>
      <c r="E524" s="829"/>
      <c r="F524" s="829"/>
      <c r="G524" s="1059"/>
      <c r="H524" s="829"/>
      <c r="I524" s="829"/>
      <c r="J524" s="829"/>
      <c r="K524" s="829"/>
      <c r="L524" s="834"/>
      <c r="M524" s="835"/>
      <c r="N524" s="836"/>
      <c r="O524" s="833"/>
    </row>
    <row r="525" spans="1:15" ht="30" customHeight="1" x14ac:dyDescent="0.25">
      <c r="A525" s="828"/>
      <c r="B525" s="828">
        <v>631</v>
      </c>
      <c r="C52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25" s="829"/>
      <c r="E525" s="829"/>
      <c r="F525" s="829"/>
      <c r="G525" s="1059"/>
      <c r="H525" s="829"/>
      <c r="I525" s="829"/>
      <c r="J525" s="829"/>
      <c r="K525" s="829"/>
      <c r="L525" s="834"/>
      <c r="M525" s="835"/>
      <c r="N525" s="832"/>
      <c r="O525" s="833"/>
    </row>
    <row r="526" spans="1:15" ht="30" customHeight="1" x14ac:dyDescent="0.25">
      <c r="A526" s="828"/>
      <c r="B526" s="828">
        <v>632</v>
      </c>
      <c r="C52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26" s="829"/>
      <c r="E526" s="829"/>
      <c r="F526" s="829"/>
      <c r="G526" s="1059"/>
      <c r="H526" s="829"/>
      <c r="I526" s="829"/>
      <c r="J526" s="829"/>
      <c r="K526" s="829"/>
      <c r="L526" s="834"/>
      <c r="M526" s="835"/>
      <c r="N526" s="832"/>
      <c r="O526" s="833"/>
    </row>
    <row r="527" spans="1:15" ht="30" customHeight="1" x14ac:dyDescent="0.25">
      <c r="A527" s="828"/>
      <c r="B527" s="828">
        <v>633</v>
      </c>
      <c r="C52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27" s="829"/>
      <c r="E527" s="829"/>
      <c r="F527" s="829"/>
      <c r="G527" s="1059"/>
      <c r="H527" s="829"/>
      <c r="I527" s="829"/>
      <c r="J527" s="829"/>
      <c r="K527" s="829"/>
      <c r="L527" s="834"/>
      <c r="M527" s="835"/>
      <c r="N527" s="836"/>
      <c r="O527" s="833"/>
    </row>
    <row r="528" spans="1:15" ht="30" customHeight="1" x14ac:dyDescent="0.25">
      <c r="A528" s="828"/>
      <c r="B528" s="828">
        <v>634</v>
      </c>
      <c r="C52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28" s="829"/>
      <c r="E528" s="829"/>
      <c r="F528" s="829"/>
      <c r="G528" s="1059"/>
      <c r="H528" s="829"/>
      <c r="I528" s="829"/>
      <c r="J528" s="829"/>
      <c r="K528" s="829"/>
      <c r="L528" s="834"/>
      <c r="M528" s="835"/>
      <c r="N528" s="836"/>
      <c r="O528" s="833"/>
    </row>
    <row r="529" spans="1:15" ht="30" customHeight="1" x14ac:dyDescent="0.25">
      <c r="A529" s="828"/>
      <c r="B529" s="828">
        <v>390</v>
      </c>
      <c r="C52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29" s="829"/>
      <c r="E529" s="829"/>
      <c r="F529" s="829"/>
      <c r="G529" s="1059"/>
      <c r="H529" s="829"/>
      <c r="I529" s="829"/>
      <c r="J529" s="829"/>
      <c r="K529" s="829"/>
      <c r="L529" s="834"/>
      <c r="M529" s="835"/>
      <c r="N529" s="832"/>
      <c r="O529" s="833"/>
    </row>
    <row r="530" spans="1:15" ht="30" customHeight="1" x14ac:dyDescent="0.25">
      <c r="A530" s="828"/>
      <c r="B530" s="828">
        <v>406</v>
      </c>
      <c r="C53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30" s="829"/>
      <c r="E530" s="829"/>
      <c r="F530" s="829"/>
      <c r="G530" s="1059"/>
      <c r="H530" s="829"/>
      <c r="I530" s="829"/>
      <c r="J530" s="829"/>
      <c r="K530" s="829"/>
      <c r="L530" s="834"/>
      <c r="M530" s="835"/>
      <c r="N530" s="832"/>
      <c r="O530" s="833"/>
    </row>
    <row r="531" spans="1:15" ht="30" customHeight="1" x14ac:dyDescent="0.25">
      <c r="A531" s="828"/>
      <c r="B531" s="828">
        <v>407</v>
      </c>
      <c r="C53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31" s="829"/>
      <c r="E531" s="829"/>
      <c r="F531" s="829"/>
      <c r="G531" s="1058"/>
      <c r="H531" s="829"/>
      <c r="I531" s="829"/>
      <c r="J531" s="829"/>
      <c r="K531" s="829"/>
      <c r="L531" s="834"/>
      <c r="M531" s="835"/>
      <c r="N531" s="836"/>
      <c r="O531" s="833"/>
    </row>
    <row r="532" spans="1:15" ht="30" customHeight="1" x14ac:dyDescent="0.25">
      <c r="A532" s="828"/>
      <c r="B532" s="828">
        <v>408</v>
      </c>
      <c r="C53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32" s="829"/>
      <c r="E532" s="829"/>
      <c r="F532" s="829"/>
      <c r="G532" s="1058"/>
      <c r="H532" s="829"/>
      <c r="I532" s="829"/>
      <c r="J532" s="829"/>
      <c r="K532" s="829"/>
      <c r="L532" s="834"/>
      <c r="M532" s="835"/>
      <c r="N532" s="836" t="s">
        <v>365</v>
      </c>
      <c r="O532" s="833"/>
    </row>
    <row r="533" spans="1:15" ht="30" customHeight="1" x14ac:dyDescent="0.25">
      <c r="A533" s="828"/>
      <c r="B533" s="828">
        <v>409</v>
      </c>
      <c r="C53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33" s="829"/>
      <c r="E533" s="829"/>
      <c r="F533" s="829"/>
      <c r="G533" s="1058"/>
      <c r="H533" s="829"/>
      <c r="I533" s="829"/>
      <c r="J533" s="829"/>
      <c r="K533" s="829"/>
      <c r="L533" s="834"/>
      <c r="M533" s="835"/>
      <c r="N533" s="832"/>
      <c r="O533" s="833"/>
    </row>
    <row r="534" spans="1:15" ht="30" customHeight="1" x14ac:dyDescent="0.25">
      <c r="A534" s="828"/>
      <c r="B534" s="828">
        <v>410</v>
      </c>
      <c r="C53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34" s="829"/>
      <c r="E534" s="829"/>
      <c r="F534" s="829"/>
      <c r="G534" s="1059"/>
      <c r="H534" s="829"/>
      <c r="I534" s="829"/>
      <c r="J534" s="829"/>
      <c r="K534" s="829"/>
      <c r="L534" s="834"/>
      <c r="M534" s="835"/>
      <c r="N534" s="832"/>
      <c r="O534" s="833"/>
    </row>
    <row r="535" spans="1:15" ht="30" customHeight="1" x14ac:dyDescent="0.25">
      <c r="A535" s="828"/>
      <c r="B535" s="828">
        <v>411</v>
      </c>
      <c r="C53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35" s="829"/>
      <c r="E535" s="829"/>
      <c r="F535" s="829"/>
      <c r="G535" s="1059"/>
      <c r="H535" s="829"/>
      <c r="I535" s="829"/>
      <c r="J535" s="829"/>
      <c r="K535" s="829"/>
      <c r="L535" s="834"/>
      <c r="M535" s="835"/>
      <c r="N535" s="836" t="s">
        <v>365</v>
      </c>
      <c r="O535" s="833"/>
    </row>
    <row r="536" spans="1:15" ht="30" customHeight="1" x14ac:dyDescent="0.25">
      <c r="A536" s="828"/>
      <c r="B536" s="828">
        <v>412</v>
      </c>
      <c r="C53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36" s="829"/>
      <c r="E536" s="829"/>
      <c r="F536" s="829"/>
      <c r="G536" s="1059"/>
      <c r="H536" s="829"/>
      <c r="I536" s="829"/>
      <c r="J536" s="829"/>
      <c r="K536" s="829"/>
      <c r="L536" s="834"/>
      <c r="M536" s="835"/>
      <c r="N536" s="836"/>
      <c r="O536" s="833"/>
    </row>
    <row r="537" spans="1:15" ht="30" customHeight="1" x14ac:dyDescent="0.25">
      <c r="A537" s="828"/>
      <c r="B537" s="828">
        <v>413</v>
      </c>
      <c r="C53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37" s="828"/>
      <c r="E537" s="828"/>
      <c r="F537" s="828"/>
      <c r="G537" s="1058"/>
      <c r="H537" s="828"/>
      <c r="I537" s="828"/>
      <c r="J537" s="828"/>
      <c r="K537" s="828"/>
      <c r="L537" s="830"/>
      <c r="M537" s="831"/>
      <c r="N537" s="832"/>
      <c r="O537" s="833"/>
    </row>
    <row r="538" spans="1:15" ht="30" customHeight="1" x14ac:dyDescent="0.25">
      <c r="A538" s="828"/>
      <c r="B538" s="828">
        <v>414</v>
      </c>
      <c r="C53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38" s="829"/>
      <c r="E538" s="829"/>
      <c r="F538" s="829"/>
      <c r="G538" s="1059"/>
      <c r="H538" s="829"/>
      <c r="I538" s="829"/>
      <c r="J538" s="829"/>
      <c r="K538" s="829"/>
      <c r="L538" s="834"/>
      <c r="M538" s="835"/>
      <c r="N538" s="836"/>
      <c r="O538" s="833"/>
    </row>
    <row r="539" spans="1:15" ht="30" customHeight="1" x14ac:dyDescent="0.25">
      <c r="A539" s="828"/>
      <c r="B539" s="828">
        <v>415</v>
      </c>
      <c r="C53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39" s="829"/>
      <c r="E539" s="829"/>
      <c r="F539" s="829"/>
      <c r="G539" s="1058"/>
      <c r="H539" s="829"/>
      <c r="I539" s="829"/>
      <c r="J539" s="829"/>
      <c r="K539" s="829"/>
      <c r="L539" s="834"/>
      <c r="M539" s="837"/>
      <c r="N539" s="832" t="s">
        <v>365</v>
      </c>
      <c r="O539" s="833"/>
    </row>
    <row r="540" spans="1:15" ht="30" customHeight="1" x14ac:dyDescent="0.25">
      <c r="A540" s="828"/>
      <c r="B540" s="828">
        <v>416</v>
      </c>
      <c r="C54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40" s="828"/>
      <c r="E540" s="828"/>
      <c r="F540" s="828"/>
      <c r="G540" s="1058"/>
      <c r="H540" s="828"/>
      <c r="I540" s="828"/>
      <c r="J540" s="828"/>
      <c r="K540" s="828"/>
      <c r="L540" s="830"/>
      <c r="M540" s="831"/>
      <c r="N540" s="828" t="s">
        <v>365</v>
      </c>
      <c r="O540" s="828"/>
    </row>
    <row r="541" spans="1:15" ht="30" customHeight="1" x14ac:dyDescent="0.25">
      <c r="A541" s="828"/>
      <c r="B541" s="828">
        <v>417</v>
      </c>
      <c r="C54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41" s="828"/>
      <c r="E541" s="828"/>
      <c r="F541" s="828"/>
      <c r="G541" s="1058"/>
      <c r="H541" s="828"/>
      <c r="I541" s="828"/>
      <c r="J541" s="828"/>
      <c r="K541" s="828"/>
      <c r="L541" s="830"/>
      <c r="M541" s="831"/>
      <c r="N541" s="828"/>
      <c r="O541" s="828"/>
    </row>
    <row r="542" spans="1:15" ht="30" customHeight="1" x14ac:dyDescent="0.25">
      <c r="A542" s="828"/>
      <c r="B542" s="828">
        <v>418</v>
      </c>
      <c r="C54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42" s="828"/>
      <c r="E542" s="828"/>
      <c r="F542" s="828"/>
      <c r="G542" s="1058"/>
      <c r="H542" s="828"/>
      <c r="I542" s="828"/>
      <c r="J542" s="828"/>
      <c r="K542" s="828"/>
      <c r="L542" s="830"/>
      <c r="M542" s="831"/>
      <c r="N542" s="828" t="s">
        <v>365</v>
      </c>
      <c r="O542" s="828"/>
    </row>
    <row r="543" spans="1:15" ht="30" customHeight="1" x14ac:dyDescent="0.25">
      <c r="A543" s="828"/>
      <c r="B543" s="828">
        <v>419</v>
      </c>
      <c r="C54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43" s="828"/>
      <c r="E543" s="828"/>
      <c r="F543" s="828"/>
      <c r="G543" s="1058"/>
      <c r="H543" s="828"/>
      <c r="I543" s="828"/>
      <c r="J543" s="828"/>
      <c r="K543" s="828"/>
      <c r="L543" s="830"/>
      <c r="M543" s="831"/>
      <c r="N543" s="828"/>
      <c r="O543" s="828"/>
    </row>
    <row r="544" spans="1:15" ht="30" customHeight="1" x14ac:dyDescent="0.25">
      <c r="A544" s="828"/>
      <c r="B544" s="828">
        <v>420</v>
      </c>
      <c r="C54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44" s="828"/>
      <c r="E544" s="828"/>
      <c r="F544" s="828"/>
      <c r="G544" s="1058"/>
      <c r="H544" s="828"/>
      <c r="I544" s="828"/>
      <c r="J544" s="828"/>
      <c r="K544" s="828"/>
      <c r="L544" s="830"/>
      <c r="M544" s="831"/>
      <c r="N544" s="828"/>
      <c r="O544" s="828"/>
    </row>
    <row r="545" spans="1:15" ht="30" customHeight="1" x14ac:dyDescent="0.25">
      <c r="A545" s="828"/>
      <c r="B545" s="828">
        <v>421</v>
      </c>
      <c r="C54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45" s="828"/>
      <c r="E545" s="828"/>
      <c r="F545" s="828"/>
      <c r="G545" s="1058"/>
      <c r="H545" s="828"/>
      <c r="I545" s="828"/>
      <c r="J545" s="828"/>
      <c r="K545" s="828"/>
      <c r="L545" s="830"/>
      <c r="M545" s="831"/>
      <c r="N545" s="828"/>
      <c r="O545" s="828"/>
    </row>
    <row r="546" spans="1:15" ht="30" customHeight="1" x14ac:dyDescent="0.25">
      <c r="A546" s="828"/>
      <c r="B546" s="828">
        <v>422</v>
      </c>
      <c r="C54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46" s="828"/>
      <c r="E546" s="828"/>
      <c r="F546" s="828"/>
      <c r="G546" s="1058"/>
      <c r="H546" s="828"/>
      <c r="I546" s="828"/>
      <c r="J546" s="828"/>
      <c r="K546" s="828"/>
      <c r="L546" s="830"/>
      <c r="M546" s="831"/>
      <c r="N546" s="828"/>
      <c r="O546" s="828"/>
    </row>
    <row r="547" spans="1:15" ht="30" customHeight="1" x14ac:dyDescent="0.25">
      <c r="A547" s="828"/>
      <c r="B547" s="828">
        <v>423</v>
      </c>
      <c r="C54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47" s="828"/>
      <c r="E547" s="828"/>
      <c r="F547" s="828"/>
      <c r="G547" s="1058"/>
      <c r="H547" s="828"/>
      <c r="I547" s="828"/>
      <c r="J547" s="828"/>
      <c r="K547" s="828"/>
      <c r="L547" s="830"/>
      <c r="M547" s="831"/>
      <c r="N547" s="828" t="s">
        <v>365</v>
      </c>
      <c r="O547" s="828"/>
    </row>
    <row r="548" spans="1:15" ht="30" customHeight="1" x14ac:dyDescent="0.25">
      <c r="A548" s="828"/>
      <c r="B548" s="828">
        <v>424</v>
      </c>
      <c r="C54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48" s="828"/>
      <c r="E548" s="828"/>
      <c r="F548" s="828"/>
      <c r="G548" s="1058"/>
      <c r="H548" s="828"/>
      <c r="I548" s="828"/>
      <c r="J548" s="828"/>
      <c r="K548" s="828"/>
      <c r="L548" s="830"/>
      <c r="M548" s="831"/>
      <c r="N548" s="828"/>
      <c r="O548" s="828"/>
    </row>
    <row r="549" spans="1:15" ht="30" customHeight="1" x14ac:dyDescent="0.25">
      <c r="A549" s="828"/>
      <c r="B549" s="828">
        <v>425</v>
      </c>
      <c r="C54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49" s="828"/>
      <c r="E549" s="828"/>
      <c r="F549" s="828"/>
      <c r="G549" s="1058"/>
      <c r="H549" s="828"/>
      <c r="I549" s="828"/>
      <c r="J549" s="828"/>
      <c r="K549" s="828"/>
      <c r="L549" s="830"/>
      <c r="M549" s="831"/>
      <c r="N549" s="828"/>
      <c r="O549" s="828"/>
    </row>
    <row r="550" spans="1:15" ht="30" customHeight="1" x14ac:dyDescent="0.25">
      <c r="A550" s="828"/>
      <c r="B550" s="828">
        <v>426</v>
      </c>
      <c r="C55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50" s="828"/>
      <c r="E550" s="828"/>
      <c r="F550" s="828"/>
      <c r="G550" s="1058"/>
      <c r="H550" s="828"/>
      <c r="I550" s="828"/>
      <c r="J550" s="828"/>
      <c r="K550" s="828"/>
      <c r="L550" s="830"/>
      <c r="M550" s="831"/>
      <c r="N550" s="828"/>
      <c r="O550" s="828"/>
    </row>
    <row r="551" spans="1:15" ht="30" customHeight="1" x14ac:dyDescent="0.25">
      <c r="A551" s="828"/>
      <c r="B551" s="828">
        <v>427</v>
      </c>
      <c r="C55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51" s="828"/>
      <c r="E551" s="828"/>
      <c r="F551" s="828"/>
      <c r="G551" s="1058"/>
      <c r="H551" s="828"/>
      <c r="I551" s="828"/>
      <c r="J551" s="828"/>
      <c r="K551" s="828"/>
      <c r="L551" s="830"/>
      <c r="M551" s="831"/>
      <c r="N551" s="828"/>
      <c r="O551" s="828"/>
    </row>
    <row r="552" spans="1:15" ht="30" customHeight="1" x14ac:dyDescent="0.25">
      <c r="A552" s="828"/>
      <c r="B552" s="828">
        <v>428</v>
      </c>
      <c r="C55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52" s="828"/>
      <c r="E552" s="828"/>
      <c r="F552" s="828"/>
      <c r="G552" s="1058"/>
      <c r="H552" s="828"/>
      <c r="I552" s="828"/>
      <c r="J552" s="828"/>
      <c r="K552" s="828"/>
      <c r="L552" s="830"/>
      <c r="M552" s="831"/>
      <c r="N552" s="828"/>
      <c r="O552" s="828"/>
    </row>
    <row r="553" spans="1:15" ht="30" customHeight="1" x14ac:dyDescent="0.25">
      <c r="A553" s="828"/>
      <c r="B553" s="828">
        <v>429</v>
      </c>
      <c r="C55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53" s="828"/>
      <c r="E553" s="828"/>
      <c r="F553" s="828"/>
      <c r="G553" s="1058"/>
      <c r="H553" s="828"/>
      <c r="I553" s="828"/>
      <c r="J553" s="828"/>
      <c r="K553" s="828"/>
      <c r="L553" s="830"/>
      <c r="M553" s="831"/>
      <c r="N553" s="828"/>
      <c r="O553" s="828"/>
    </row>
    <row r="554" spans="1:15" ht="30" customHeight="1" x14ac:dyDescent="0.25">
      <c r="A554" s="828"/>
      <c r="B554" s="828">
        <v>430</v>
      </c>
      <c r="C55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54" s="828"/>
      <c r="E554" s="828"/>
      <c r="F554" s="828"/>
      <c r="G554" s="1058"/>
      <c r="H554" s="828"/>
      <c r="I554" s="828"/>
      <c r="J554" s="828"/>
      <c r="K554" s="828"/>
      <c r="L554" s="830"/>
      <c r="M554" s="831"/>
      <c r="N554" s="828"/>
      <c r="O554" s="828"/>
    </row>
    <row r="555" spans="1:15" ht="30" customHeight="1" x14ac:dyDescent="0.25">
      <c r="A555" s="828"/>
      <c r="B555" s="828">
        <v>431</v>
      </c>
      <c r="C55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55" s="828"/>
      <c r="E555" s="828"/>
      <c r="F555" s="828"/>
      <c r="G555" s="1058"/>
      <c r="H555" s="828"/>
      <c r="I555" s="828"/>
      <c r="J555" s="828"/>
      <c r="K555" s="828"/>
      <c r="L555" s="830"/>
      <c r="M555" s="831"/>
      <c r="N555" s="828"/>
      <c r="O555" s="828"/>
    </row>
    <row r="556" spans="1:15" ht="30" customHeight="1" x14ac:dyDescent="0.25">
      <c r="A556" s="828"/>
      <c r="B556" s="828">
        <v>432</v>
      </c>
      <c r="C55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56" s="828"/>
      <c r="E556" s="828"/>
      <c r="F556" s="828"/>
      <c r="G556" s="1058"/>
      <c r="H556" s="828"/>
      <c r="I556" s="828"/>
      <c r="J556" s="828"/>
      <c r="K556" s="828"/>
      <c r="L556" s="830"/>
      <c r="M556" s="831"/>
      <c r="N556" s="828"/>
      <c r="O556" s="828"/>
    </row>
    <row r="557" spans="1:15" ht="30" customHeight="1" x14ac:dyDescent="0.25">
      <c r="A557" s="828"/>
      <c r="B557" s="828">
        <v>433</v>
      </c>
      <c r="C55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57" s="828"/>
      <c r="E557" s="828"/>
      <c r="F557" s="828"/>
      <c r="G557" s="1058"/>
      <c r="H557" s="828"/>
      <c r="I557" s="828"/>
      <c r="J557" s="828"/>
      <c r="K557" s="828"/>
      <c r="L557" s="830"/>
      <c r="M557" s="831"/>
      <c r="N557" s="828"/>
      <c r="O557" s="828"/>
    </row>
    <row r="558" spans="1:15" ht="30" customHeight="1" x14ac:dyDescent="0.25">
      <c r="A558" s="828"/>
      <c r="B558" s="828">
        <v>434</v>
      </c>
      <c r="C55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58" s="828"/>
      <c r="E558" s="828"/>
      <c r="F558" s="828"/>
      <c r="G558" s="1058"/>
      <c r="H558" s="828"/>
      <c r="I558" s="828"/>
      <c r="J558" s="828"/>
      <c r="K558" s="828"/>
      <c r="L558" s="830"/>
      <c r="M558" s="831"/>
      <c r="N558" s="828"/>
      <c r="O558" s="828"/>
    </row>
    <row r="559" spans="1:15" ht="30" customHeight="1" x14ac:dyDescent="0.25">
      <c r="A559" s="828"/>
      <c r="B559" s="828">
        <v>435</v>
      </c>
      <c r="C55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59" s="828"/>
      <c r="E559" s="828"/>
      <c r="F559" s="828"/>
      <c r="G559" s="1058"/>
      <c r="H559" s="828"/>
      <c r="I559" s="828"/>
      <c r="J559" s="828"/>
      <c r="K559" s="828"/>
      <c r="L559" s="830"/>
      <c r="M559" s="831"/>
      <c r="N559" s="828"/>
      <c r="O559" s="828"/>
    </row>
    <row r="560" spans="1:15" ht="30" customHeight="1" x14ac:dyDescent="0.25">
      <c r="A560" s="828"/>
      <c r="B560" s="828">
        <v>436</v>
      </c>
      <c r="C56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60" s="828"/>
      <c r="E560" s="828"/>
      <c r="F560" s="828"/>
      <c r="G560" s="1058"/>
      <c r="H560" s="828"/>
      <c r="I560" s="828"/>
      <c r="J560" s="828"/>
      <c r="K560" s="828"/>
      <c r="L560" s="830"/>
      <c r="M560" s="831"/>
      <c r="N560" s="828"/>
      <c r="O560" s="828"/>
    </row>
    <row r="561" spans="1:15" ht="30" customHeight="1" x14ac:dyDescent="0.25">
      <c r="A561" s="828"/>
      <c r="B561" s="828">
        <v>437</v>
      </c>
      <c r="C56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61" s="828"/>
      <c r="E561" s="828"/>
      <c r="F561" s="828"/>
      <c r="G561" s="1058"/>
      <c r="H561" s="828"/>
      <c r="I561" s="828"/>
      <c r="J561" s="828"/>
      <c r="K561" s="828"/>
      <c r="L561" s="830"/>
      <c r="M561" s="831"/>
      <c r="N561" s="828"/>
      <c r="O561" s="828"/>
    </row>
    <row r="562" spans="1:15" ht="30" customHeight="1" x14ac:dyDescent="0.25">
      <c r="A562" s="828"/>
      <c r="B562" s="828">
        <v>438</v>
      </c>
      <c r="C56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62" s="828"/>
      <c r="E562" s="828"/>
      <c r="F562" s="828"/>
      <c r="G562" s="1058"/>
      <c r="H562" s="828"/>
      <c r="I562" s="828"/>
      <c r="J562" s="828"/>
      <c r="K562" s="828"/>
      <c r="L562" s="830"/>
      <c r="M562" s="831"/>
      <c r="N562" s="828"/>
      <c r="O562" s="828"/>
    </row>
    <row r="563" spans="1:15" ht="30" customHeight="1" x14ac:dyDescent="0.25">
      <c r="A563" s="828"/>
      <c r="B563" s="828">
        <v>439</v>
      </c>
      <c r="C56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63" s="828"/>
      <c r="E563" s="828"/>
      <c r="F563" s="828"/>
      <c r="G563" s="1058"/>
      <c r="H563" s="828"/>
      <c r="I563" s="828"/>
      <c r="J563" s="828"/>
      <c r="K563" s="828"/>
      <c r="L563" s="830"/>
      <c r="M563" s="831"/>
      <c r="N563" s="828"/>
      <c r="O563" s="828"/>
    </row>
    <row r="564" spans="1:15" ht="30" customHeight="1" x14ac:dyDescent="0.25">
      <c r="A564" s="828"/>
      <c r="B564" s="828">
        <v>440</v>
      </c>
      <c r="C56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64" s="828"/>
      <c r="E564" s="828"/>
      <c r="F564" s="828"/>
      <c r="G564" s="1058"/>
      <c r="H564" s="828"/>
      <c r="I564" s="828"/>
      <c r="J564" s="828"/>
      <c r="K564" s="828"/>
      <c r="L564" s="830"/>
      <c r="M564" s="831"/>
      <c r="N564" s="828"/>
      <c r="O564" s="828"/>
    </row>
    <row r="565" spans="1:15" ht="30" customHeight="1" x14ac:dyDescent="0.25">
      <c r="A565" s="828"/>
      <c r="B565" s="828">
        <v>441</v>
      </c>
      <c r="C56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65" s="828"/>
      <c r="E565" s="828"/>
      <c r="F565" s="828"/>
      <c r="G565" s="1058"/>
      <c r="H565" s="828"/>
      <c r="I565" s="828"/>
      <c r="J565" s="828"/>
      <c r="K565" s="828"/>
      <c r="L565" s="830"/>
      <c r="M565" s="831"/>
      <c r="N565" s="828"/>
      <c r="O565" s="828"/>
    </row>
    <row r="566" spans="1:15" ht="30" customHeight="1" x14ac:dyDescent="0.25">
      <c r="A566" s="828"/>
      <c r="B566" s="828">
        <v>442</v>
      </c>
      <c r="C56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66" s="828"/>
      <c r="E566" s="828"/>
      <c r="F566" s="828"/>
      <c r="G566" s="1058"/>
      <c r="H566" s="828"/>
      <c r="I566" s="828"/>
      <c r="J566" s="828"/>
      <c r="K566" s="828"/>
      <c r="L566" s="830"/>
      <c r="M566" s="831"/>
      <c r="N566" s="828"/>
      <c r="O566" s="828"/>
    </row>
    <row r="567" spans="1:15" ht="30" customHeight="1" x14ac:dyDescent="0.25">
      <c r="A567" s="828"/>
      <c r="B567" s="828">
        <v>443</v>
      </c>
      <c r="C56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67" s="828"/>
      <c r="E567" s="828"/>
      <c r="F567" s="828"/>
      <c r="G567" s="1058"/>
      <c r="H567" s="828"/>
      <c r="I567" s="828"/>
      <c r="J567" s="828"/>
      <c r="K567" s="828"/>
      <c r="L567" s="830"/>
      <c r="M567" s="831"/>
      <c r="N567" s="828"/>
      <c r="O567" s="828"/>
    </row>
    <row r="568" spans="1:15" ht="30" customHeight="1" x14ac:dyDescent="0.25">
      <c r="A568" s="828"/>
      <c r="B568" s="828">
        <v>444</v>
      </c>
      <c r="C56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68" s="828"/>
      <c r="E568" s="828"/>
      <c r="F568" s="828"/>
      <c r="G568" s="1058"/>
      <c r="H568" s="828"/>
      <c r="I568" s="828"/>
      <c r="J568" s="828"/>
      <c r="K568" s="828"/>
      <c r="L568" s="830"/>
      <c r="M568" s="831"/>
      <c r="N568" s="828"/>
      <c r="O568" s="828"/>
    </row>
    <row r="569" spans="1:15" ht="30" customHeight="1" x14ac:dyDescent="0.25">
      <c r="A569" s="828"/>
      <c r="B569" s="828">
        <v>445</v>
      </c>
      <c r="C56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69" s="828"/>
      <c r="E569" s="828"/>
      <c r="F569" s="828"/>
      <c r="G569" s="1058"/>
      <c r="H569" s="828"/>
      <c r="I569" s="828"/>
      <c r="J569" s="828"/>
      <c r="K569" s="828"/>
      <c r="L569" s="830"/>
      <c r="M569" s="831"/>
      <c r="N569" s="828"/>
      <c r="O569" s="828"/>
    </row>
    <row r="570" spans="1:15" ht="30" customHeight="1" x14ac:dyDescent="0.25">
      <c r="A570" s="828"/>
      <c r="B570" s="828">
        <v>446</v>
      </c>
      <c r="C57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70" s="828"/>
      <c r="E570" s="828"/>
      <c r="F570" s="828"/>
      <c r="G570" s="1058"/>
      <c r="H570" s="828"/>
      <c r="I570" s="828"/>
      <c r="J570" s="828"/>
      <c r="K570" s="828"/>
      <c r="L570" s="830"/>
      <c r="M570" s="831"/>
      <c r="N570" s="828"/>
      <c r="O570" s="828"/>
    </row>
    <row r="571" spans="1:15" ht="30" customHeight="1" x14ac:dyDescent="0.25">
      <c r="A571" s="828"/>
      <c r="B571" s="828">
        <v>447</v>
      </c>
      <c r="C57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71" s="828"/>
      <c r="E571" s="828"/>
      <c r="F571" s="828"/>
      <c r="G571" s="1058"/>
      <c r="H571" s="828"/>
      <c r="I571" s="828"/>
      <c r="J571" s="828"/>
      <c r="K571" s="828"/>
      <c r="L571" s="830"/>
      <c r="M571" s="831"/>
      <c r="N571" s="828"/>
      <c r="O571" s="828"/>
    </row>
    <row r="572" spans="1:15" ht="30" customHeight="1" x14ac:dyDescent="0.25">
      <c r="A572" s="828"/>
      <c r="B572" s="828">
        <v>448</v>
      </c>
      <c r="C57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72" s="828"/>
      <c r="E572" s="828"/>
      <c r="F572" s="828"/>
      <c r="G572" s="1058"/>
      <c r="H572" s="828"/>
      <c r="I572" s="828"/>
      <c r="J572" s="828"/>
      <c r="K572" s="828"/>
      <c r="L572" s="830"/>
      <c r="M572" s="831"/>
      <c r="N572" s="828"/>
      <c r="O572" s="828"/>
    </row>
    <row r="573" spans="1:15" ht="30" customHeight="1" x14ac:dyDescent="0.25">
      <c r="A573" s="828"/>
      <c r="B573" s="828">
        <v>449</v>
      </c>
      <c r="C57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73" s="828"/>
      <c r="E573" s="828"/>
      <c r="F573" s="828"/>
      <c r="G573" s="1058"/>
      <c r="H573" s="828"/>
      <c r="I573" s="828"/>
      <c r="J573" s="828"/>
      <c r="K573" s="828"/>
      <c r="L573" s="830"/>
      <c r="M573" s="831"/>
      <c r="N573" s="828"/>
      <c r="O573" s="828"/>
    </row>
    <row r="574" spans="1:15" ht="30" customHeight="1" x14ac:dyDescent="0.25">
      <c r="A574" s="828"/>
      <c r="B574" s="828">
        <v>450</v>
      </c>
      <c r="C57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74" s="828"/>
      <c r="E574" s="828"/>
      <c r="F574" s="828"/>
      <c r="G574" s="1058"/>
      <c r="H574" s="828"/>
      <c r="I574" s="828"/>
      <c r="J574" s="828"/>
      <c r="K574" s="828"/>
      <c r="L574" s="830"/>
      <c r="M574" s="831"/>
      <c r="N574" s="828"/>
      <c r="O574" s="828"/>
    </row>
    <row r="575" spans="1:15" ht="30" customHeight="1" x14ac:dyDescent="0.25">
      <c r="A575" s="828"/>
      <c r="B575" s="828">
        <v>451</v>
      </c>
      <c r="C57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75" s="828"/>
      <c r="E575" s="828"/>
      <c r="F575" s="828"/>
      <c r="G575" s="1058"/>
      <c r="H575" s="828"/>
      <c r="I575" s="828"/>
      <c r="J575" s="828"/>
      <c r="K575" s="828"/>
      <c r="L575" s="830"/>
      <c r="M575" s="831"/>
      <c r="N575" s="828"/>
      <c r="O575" s="828"/>
    </row>
    <row r="576" spans="1:15" ht="30" customHeight="1" x14ac:dyDescent="0.25">
      <c r="A576" s="828"/>
      <c r="B576" s="828">
        <v>452</v>
      </c>
      <c r="C57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76" s="828"/>
      <c r="E576" s="828"/>
      <c r="F576" s="828"/>
      <c r="G576" s="1058"/>
      <c r="H576" s="828"/>
      <c r="I576" s="828"/>
      <c r="J576" s="828"/>
      <c r="K576" s="828"/>
      <c r="L576" s="830"/>
      <c r="M576" s="831"/>
      <c r="N576" s="828"/>
      <c r="O576" s="828"/>
    </row>
    <row r="577" spans="1:15" ht="30" customHeight="1" x14ac:dyDescent="0.25">
      <c r="A577" s="828"/>
      <c r="B577" s="828">
        <v>453</v>
      </c>
      <c r="C57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77" s="828"/>
      <c r="E577" s="828"/>
      <c r="F577" s="828"/>
      <c r="G577" s="1058"/>
      <c r="H577" s="828"/>
      <c r="I577" s="828"/>
      <c r="J577" s="828"/>
      <c r="K577" s="828"/>
      <c r="L577" s="830"/>
      <c r="M577" s="831"/>
      <c r="N577" s="828"/>
      <c r="O577" s="828"/>
    </row>
    <row r="578" spans="1:15" ht="30" customHeight="1" x14ac:dyDescent="0.25">
      <c r="A578" s="828"/>
      <c r="B578" s="828">
        <v>454</v>
      </c>
      <c r="C57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78" s="828"/>
      <c r="E578" s="828"/>
      <c r="F578" s="828"/>
      <c r="G578" s="1058"/>
      <c r="H578" s="828"/>
      <c r="I578" s="828"/>
      <c r="J578" s="828"/>
      <c r="K578" s="828"/>
      <c r="L578" s="830"/>
      <c r="M578" s="831"/>
      <c r="N578" s="828"/>
      <c r="O578" s="828"/>
    </row>
    <row r="579" spans="1:15" ht="30" customHeight="1" x14ac:dyDescent="0.25">
      <c r="A579" s="828"/>
      <c r="B579" s="828">
        <v>455</v>
      </c>
      <c r="C57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79" s="828"/>
      <c r="E579" s="828"/>
      <c r="F579" s="828"/>
      <c r="G579" s="1058"/>
      <c r="H579" s="828"/>
      <c r="I579" s="828"/>
      <c r="J579" s="828"/>
      <c r="K579" s="828"/>
      <c r="L579" s="830"/>
      <c r="M579" s="831"/>
      <c r="N579" s="828"/>
      <c r="O579" s="828"/>
    </row>
    <row r="580" spans="1:15" ht="30" customHeight="1" x14ac:dyDescent="0.25">
      <c r="A580" s="828"/>
      <c r="B580" s="828">
        <v>456</v>
      </c>
      <c r="C58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80" s="828"/>
      <c r="E580" s="828"/>
      <c r="F580" s="828"/>
      <c r="G580" s="1058"/>
      <c r="H580" s="828"/>
      <c r="I580" s="828"/>
      <c r="J580" s="828"/>
      <c r="K580" s="828"/>
      <c r="L580" s="830"/>
      <c r="M580" s="831"/>
      <c r="N580" s="828"/>
      <c r="O580" s="828"/>
    </row>
    <row r="581" spans="1:15" ht="30" customHeight="1" x14ac:dyDescent="0.25">
      <c r="A581" s="828"/>
      <c r="B581" s="828">
        <v>457</v>
      </c>
      <c r="C58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81" s="828"/>
      <c r="E581" s="828"/>
      <c r="F581" s="828"/>
      <c r="G581" s="1058"/>
      <c r="H581" s="828"/>
      <c r="I581" s="828"/>
      <c r="J581" s="828"/>
      <c r="K581" s="828"/>
      <c r="L581" s="830"/>
      <c r="M581" s="831"/>
      <c r="N581" s="828"/>
      <c r="O581" s="828"/>
    </row>
    <row r="582" spans="1:15" ht="30" customHeight="1" x14ac:dyDescent="0.25">
      <c r="A582" s="828"/>
      <c r="B582" s="828">
        <v>458</v>
      </c>
      <c r="C58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82" s="828"/>
      <c r="E582" s="828"/>
      <c r="F582" s="828"/>
      <c r="G582" s="1058"/>
      <c r="H582" s="828"/>
      <c r="I582" s="828"/>
      <c r="J582" s="828"/>
      <c r="K582" s="828"/>
      <c r="L582" s="830"/>
      <c r="M582" s="831"/>
      <c r="N582" s="828"/>
      <c r="O582" s="828"/>
    </row>
    <row r="583" spans="1:15" ht="30" customHeight="1" x14ac:dyDescent="0.25">
      <c r="A583" s="828"/>
      <c r="B583" s="828">
        <v>459</v>
      </c>
      <c r="C58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83" s="828"/>
      <c r="E583" s="828"/>
      <c r="F583" s="828"/>
      <c r="G583" s="1058"/>
      <c r="H583" s="828"/>
      <c r="I583" s="828"/>
      <c r="J583" s="828"/>
      <c r="K583" s="828"/>
      <c r="L583" s="830"/>
      <c r="M583" s="831"/>
      <c r="N583" s="828"/>
      <c r="O583" s="828"/>
    </row>
    <row r="584" spans="1:15" ht="30" customHeight="1" x14ac:dyDescent="0.25">
      <c r="A584" s="828"/>
      <c r="B584" s="828">
        <v>460</v>
      </c>
      <c r="C58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84" s="828"/>
      <c r="E584" s="828"/>
      <c r="F584" s="828"/>
      <c r="G584" s="1058"/>
      <c r="H584" s="828"/>
      <c r="I584" s="828"/>
      <c r="J584" s="828"/>
      <c r="K584" s="828"/>
      <c r="L584" s="830"/>
      <c r="M584" s="831"/>
      <c r="N584" s="828"/>
      <c r="O584" s="828"/>
    </row>
    <row r="585" spans="1:15" ht="30" customHeight="1" x14ac:dyDescent="0.25">
      <c r="A585" s="828"/>
      <c r="B585" s="828">
        <v>461</v>
      </c>
      <c r="C58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85" s="828"/>
      <c r="E585" s="828"/>
      <c r="F585" s="828"/>
      <c r="G585" s="1058"/>
      <c r="H585" s="828"/>
      <c r="I585" s="828"/>
      <c r="J585" s="828"/>
      <c r="K585" s="828"/>
      <c r="L585" s="830"/>
      <c r="M585" s="831"/>
      <c r="N585" s="828" t="s">
        <v>365</v>
      </c>
      <c r="O585" s="828"/>
    </row>
    <row r="586" spans="1:15" ht="30" customHeight="1" x14ac:dyDescent="0.25">
      <c r="A586" s="828"/>
      <c r="B586" s="828">
        <v>462</v>
      </c>
      <c r="C58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86" s="828"/>
      <c r="E586" s="828"/>
      <c r="F586" s="828"/>
      <c r="G586" s="1058"/>
      <c r="H586" s="828"/>
      <c r="I586" s="828"/>
      <c r="J586" s="828"/>
      <c r="K586" s="828"/>
      <c r="L586" s="830"/>
      <c r="M586" s="831"/>
      <c r="N586" s="828"/>
      <c r="O586" s="828"/>
    </row>
    <row r="587" spans="1:15" ht="30" customHeight="1" x14ac:dyDescent="0.25">
      <c r="A587" s="828"/>
      <c r="B587" s="828">
        <v>463</v>
      </c>
      <c r="C58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87" s="828"/>
      <c r="E587" s="828"/>
      <c r="F587" s="828"/>
      <c r="G587" s="1058"/>
      <c r="H587" s="828"/>
      <c r="I587" s="828"/>
      <c r="J587" s="828"/>
      <c r="K587" s="828"/>
      <c r="L587" s="830"/>
      <c r="M587" s="831"/>
      <c r="N587" s="828"/>
      <c r="O587" s="828"/>
    </row>
    <row r="588" spans="1:15" ht="30" customHeight="1" x14ac:dyDescent="0.25">
      <c r="A588" s="828"/>
      <c r="B588" s="828">
        <v>464</v>
      </c>
      <c r="C58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88" s="828"/>
      <c r="E588" s="828"/>
      <c r="F588" s="828"/>
      <c r="G588" s="1058"/>
      <c r="H588" s="828"/>
      <c r="I588" s="828"/>
      <c r="J588" s="828"/>
      <c r="K588" s="828"/>
      <c r="L588" s="830"/>
      <c r="M588" s="831"/>
      <c r="N588" s="828"/>
      <c r="O588" s="828"/>
    </row>
    <row r="589" spans="1:15" ht="30" customHeight="1" x14ac:dyDescent="0.25">
      <c r="A589" s="828"/>
      <c r="B589" s="828">
        <v>465</v>
      </c>
      <c r="C58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89" s="828"/>
      <c r="E589" s="828"/>
      <c r="F589" s="828"/>
      <c r="G589" s="1058"/>
      <c r="H589" s="828"/>
      <c r="I589" s="828"/>
      <c r="J589" s="828"/>
      <c r="K589" s="828"/>
      <c r="L589" s="830"/>
      <c r="M589" s="831"/>
      <c r="N589" s="828"/>
      <c r="O589" s="828"/>
    </row>
    <row r="590" spans="1:15" ht="30" customHeight="1" x14ac:dyDescent="0.25">
      <c r="A590" s="828"/>
      <c r="B590" s="828">
        <v>466</v>
      </c>
      <c r="C59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90" s="828"/>
      <c r="E590" s="828"/>
      <c r="F590" s="828"/>
      <c r="G590" s="1058"/>
      <c r="H590" s="828"/>
      <c r="I590" s="828"/>
      <c r="J590" s="828"/>
      <c r="K590" s="828"/>
      <c r="L590" s="830"/>
      <c r="M590" s="831"/>
      <c r="N590" s="828"/>
      <c r="O590" s="828"/>
    </row>
    <row r="591" spans="1:15" ht="30" customHeight="1" x14ac:dyDescent="0.25">
      <c r="A591" s="828"/>
      <c r="B591" s="828">
        <v>467</v>
      </c>
      <c r="C59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91" s="828"/>
      <c r="E591" s="828"/>
      <c r="F591" s="828"/>
      <c r="G591" s="1058"/>
      <c r="H591" s="828"/>
      <c r="I591" s="828"/>
      <c r="J591" s="828"/>
      <c r="K591" s="828"/>
      <c r="L591" s="830"/>
      <c r="M591" s="831"/>
      <c r="N591" s="828"/>
      <c r="O591" s="828"/>
    </row>
    <row r="592" spans="1:15" ht="30" customHeight="1" x14ac:dyDescent="0.25">
      <c r="A592" s="828"/>
      <c r="B592" s="828">
        <v>468</v>
      </c>
      <c r="C59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92" s="828"/>
      <c r="E592" s="828"/>
      <c r="F592" s="828"/>
      <c r="G592" s="1058"/>
      <c r="H592" s="828"/>
      <c r="I592" s="828"/>
      <c r="J592" s="828"/>
      <c r="K592" s="828"/>
      <c r="L592" s="830"/>
      <c r="M592" s="831"/>
      <c r="N592" s="828"/>
      <c r="O592" s="828"/>
    </row>
    <row r="593" spans="1:15" ht="30" customHeight="1" x14ac:dyDescent="0.25">
      <c r="A593" s="828"/>
      <c r="B593" s="828">
        <v>469</v>
      </c>
      <c r="C59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93" s="828"/>
      <c r="E593" s="828"/>
      <c r="F593" s="828"/>
      <c r="G593" s="1058"/>
      <c r="H593" s="828"/>
      <c r="I593" s="828"/>
      <c r="J593" s="828"/>
      <c r="K593" s="828"/>
      <c r="L593" s="830"/>
      <c r="M593" s="831"/>
      <c r="N593" s="828"/>
      <c r="O593" s="828"/>
    </row>
    <row r="594" spans="1:15" ht="30" customHeight="1" x14ac:dyDescent="0.25">
      <c r="A594" s="828"/>
      <c r="B594" s="828">
        <v>470</v>
      </c>
      <c r="C59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94" s="828"/>
      <c r="E594" s="828"/>
      <c r="F594" s="828"/>
      <c r="G594" s="1058"/>
      <c r="H594" s="828"/>
      <c r="I594" s="828"/>
      <c r="J594" s="828"/>
      <c r="K594" s="828"/>
      <c r="L594" s="830"/>
      <c r="M594" s="831"/>
      <c r="N594" s="828"/>
      <c r="O594" s="828"/>
    </row>
    <row r="595" spans="1:15" ht="30" customHeight="1" x14ac:dyDescent="0.25">
      <c r="A595" s="828"/>
      <c r="B595" s="828">
        <v>471</v>
      </c>
      <c r="C59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95" s="828"/>
      <c r="E595" s="828"/>
      <c r="F595" s="828"/>
      <c r="G595" s="1058"/>
      <c r="H595" s="828"/>
      <c r="I595" s="828"/>
      <c r="J595" s="828"/>
      <c r="K595" s="828"/>
      <c r="L595" s="830"/>
      <c r="M595" s="831"/>
      <c r="N595" s="828"/>
      <c r="O595" s="828"/>
    </row>
    <row r="596" spans="1:15" ht="30" customHeight="1" x14ac:dyDescent="0.25">
      <c r="A596" s="828"/>
      <c r="B596" s="828">
        <v>472</v>
      </c>
      <c r="C59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96" s="828"/>
      <c r="E596" s="828"/>
      <c r="F596" s="828"/>
      <c r="G596" s="1058"/>
      <c r="H596" s="828"/>
      <c r="I596" s="828"/>
      <c r="J596" s="828"/>
      <c r="K596" s="828"/>
      <c r="L596" s="830"/>
      <c r="M596" s="831"/>
      <c r="N596" s="828"/>
      <c r="O596" s="828"/>
    </row>
    <row r="597" spans="1:15" ht="30" customHeight="1" x14ac:dyDescent="0.25">
      <c r="A597" s="828"/>
      <c r="B597" s="828">
        <v>473</v>
      </c>
      <c r="C59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97" s="828"/>
      <c r="E597" s="828"/>
      <c r="F597" s="828"/>
      <c r="G597" s="1058"/>
      <c r="H597" s="828"/>
      <c r="I597" s="828"/>
      <c r="J597" s="828"/>
      <c r="K597" s="828"/>
      <c r="L597" s="830"/>
      <c r="M597" s="831"/>
      <c r="N597" s="828"/>
      <c r="O597" s="828"/>
    </row>
    <row r="598" spans="1:15" ht="30" customHeight="1" x14ac:dyDescent="0.25">
      <c r="A598" s="828"/>
      <c r="B598" s="828">
        <v>474</v>
      </c>
      <c r="C59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98" s="828"/>
      <c r="E598" s="828"/>
      <c r="F598" s="828"/>
      <c r="G598" s="1058"/>
      <c r="H598" s="828"/>
      <c r="I598" s="828"/>
      <c r="J598" s="828"/>
      <c r="K598" s="828"/>
      <c r="L598" s="830"/>
      <c r="M598" s="831"/>
      <c r="N598" s="828"/>
      <c r="O598" s="828"/>
    </row>
    <row r="599" spans="1:15" ht="30" customHeight="1" x14ac:dyDescent="0.25">
      <c r="A599" s="828"/>
      <c r="B599" s="828">
        <v>475</v>
      </c>
      <c r="C59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599" s="828"/>
      <c r="E599" s="828"/>
      <c r="F599" s="828"/>
      <c r="G599" s="1058"/>
      <c r="H599" s="828"/>
      <c r="I599" s="828"/>
      <c r="J599" s="828"/>
      <c r="K599" s="828"/>
      <c r="L599" s="830"/>
      <c r="M599" s="831"/>
      <c r="N599" s="828"/>
      <c r="O599" s="828"/>
    </row>
    <row r="600" spans="1:15" ht="30" customHeight="1" x14ac:dyDescent="0.25">
      <c r="A600" s="828"/>
      <c r="B600" s="828">
        <v>476</v>
      </c>
      <c r="C60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00" s="828"/>
      <c r="E600" s="828"/>
      <c r="F600" s="828"/>
      <c r="G600" s="1058"/>
      <c r="H600" s="828"/>
      <c r="I600" s="828"/>
      <c r="J600" s="828"/>
      <c r="K600" s="828"/>
      <c r="L600" s="830"/>
      <c r="M600" s="831"/>
      <c r="N600" s="828"/>
      <c r="O600" s="828"/>
    </row>
    <row r="601" spans="1:15" ht="30" customHeight="1" x14ac:dyDescent="0.25">
      <c r="A601" s="828"/>
      <c r="B601" s="828">
        <v>477</v>
      </c>
      <c r="C60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01" s="828"/>
      <c r="E601" s="828"/>
      <c r="F601" s="828"/>
      <c r="G601" s="1058"/>
      <c r="H601" s="828"/>
      <c r="I601" s="828"/>
      <c r="J601" s="828"/>
      <c r="K601" s="828"/>
      <c r="L601" s="830"/>
      <c r="M601" s="831"/>
      <c r="N601" s="828"/>
      <c r="O601" s="828"/>
    </row>
    <row r="602" spans="1:15" ht="30" customHeight="1" x14ac:dyDescent="0.25">
      <c r="A602" s="828"/>
      <c r="B602" s="828">
        <v>478</v>
      </c>
      <c r="C60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02" s="828"/>
      <c r="E602" s="828"/>
      <c r="F602" s="828"/>
      <c r="G602" s="1058"/>
      <c r="H602" s="828"/>
      <c r="I602" s="828"/>
      <c r="J602" s="828"/>
      <c r="K602" s="828"/>
      <c r="L602" s="830"/>
      <c r="M602" s="831"/>
      <c r="N602" s="828"/>
      <c r="O602" s="828"/>
    </row>
    <row r="603" spans="1:15" ht="30" customHeight="1" x14ac:dyDescent="0.25">
      <c r="A603" s="828"/>
      <c r="B603" s="828">
        <v>479</v>
      </c>
      <c r="C60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03" s="828"/>
      <c r="E603" s="828"/>
      <c r="F603" s="828"/>
      <c r="G603" s="1058"/>
      <c r="H603" s="828"/>
      <c r="I603" s="828"/>
      <c r="J603" s="828"/>
      <c r="K603" s="828"/>
      <c r="L603" s="830"/>
      <c r="M603" s="831"/>
      <c r="N603" s="828"/>
      <c r="O603" s="828"/>
    </row>
    <row r="604" spans="1:15" ht="30" customHeight="1" x14ac:dyDescent="0.25">
      <c r="A604" s="828"/>
      <c r="B604" s="828">
        <v>480</v>
      </c>
      <c r="C60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04" s="828"/>
      <c r="E604" s="828"/>
      <c r="F604" s="828"/>
      <c r="G604" s="1058"/>
      <c r="H604" s="828"/>
      <c r="I604" s="828"/>
      <c r="J604" s="828"/>
      <c r="K604" s="828"/>
      <c r="L604" s="830"/>
      <c r="M604" s="831"/>
      <c r="N604" s="828"/>
      <c r="O604" s="828"/>
    </row>
    <row r="605" spans="1:15" ht="30" customHeight="1" x14ac:dyDescent="0.25">
      <c r="A605" s="828"/>
      <c r="B605" s="828">
        <v>481</v>
      </c>
      <c r="C60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05" s="828"/>
      <c r="E605" s="828"/>
      <c r="F605" s="828"/>
      <c r="G605" s="1058"/>
      <c r="H605" s="828"/>
      <c r="I605" s="828"/>
      <c r="J605" s="828"/>
      <c r="K605" s="828"/>
      <c r="L605" s="830"/>
      <c r="M605" s="831"/>
      <c r="N605" s="828"/>
      <c r="O605" s="828"/>
    </row>
    <row r="606" spans="1:15" ht="30" customHeight="1" x14ac:dyDescent="0.25">
      <c r="A606" s="828"/>
      <c r="B606" s="828">
        <v>482</v>
      </c>
      <c r="C60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06" s="828"/>
      <c r="E606" s="828"/>
      <c r="F606" s="828"/>
      <c r="G606" s="1058"/>
      <c r="H606" s="828"/>
      <c r="I606" s="828"/>
      <c r="J606" s="828"/>
      <c r="K606" s="828"/>
      <c r="L606" s="830"/>
      <c r="M606" s="831"/>
      <c r="N606" s="828"/>
      <c r="O606" s="828"/>
    </row>
    <row r="607" spans="1:15" ht="30" customHeight="1" x14ac:dyDescent="0.25">
      <c r="A607" s="828"/>
      <c r="B607" s="828">
        <v>483</v>
      </c>
      <c r="C60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07" s="828"/>
      <c r="E607" s="828"/>
      <c r="F607" s="828"/>
      <c r="G607" s="1058"/>
      <c r="H607" s="828"/>
      <c r="I607" s="828"/>
      <c r="J607" s="828"/>
      <c r="K607" s="828"/>
      <c r="L607" s="830"/>
      <c r="M607" s="831"/>
      <c r="N607" s="828"/>
      <c r="O607" s="828"/>
    </row>
    <row r="608" spans="1:15" ht="30" customHeight="1" x14ac:dyDescent="0.25">
      <c r="A608" s="828"/>
      <c r="B608" s="828">
        <v>484</v>
      </c>
      <c r="C60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08" s="828"/>
      <c r="E608" s="828"/>
      <c r="F608" s="828"/>
      <c r="G608" s="1058"/>
      <c r="H608" s="828"/>
      <c r="I608" s="828"/>
      <c r="J608" s="828"/>
      <c r="K608" s="828"/>
      <c r="L608" s="830"/>
      <c r="M608" s="831"/>
      <c r="N608" s="828"/>
      <c r="O608" s="828"/>
    </row>
    <row r="609" spans="1:15" ht="30" customHeight="1" x14ac:dyDescent="0.25">
      <c r="A609" s="828"/>
      <c r="B609" s="828">
        <v>485</v>
      </c>
      <c r="C60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09" s="828"/>
      <c r="E609" s="828"/>
      <c r="F609" s="828"/>
      <c r="G609" s="1058"/>
      <c r="H609" s="828"/>
      <c r="I609" s="828"/>
      <c r="J609" s="828"/>
      <c r="K609" s="828"/>
      <c r="L609" s="830"/>
      <c r="M609" s="831"/>
      <c r="N609" s="828"/>
      <c r="O609" s="828"/>
    </row>
    <row r="610" spans="1:15" ht="30" customHeight="1" x14ac:dyDescent="0.25">
      <c r="A610" s="828"/>
      <c r="B610" s="828">
        <v>486</v>
      </c>
      <c r="C61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10" s="828"/>
      <c r="E610" s="828"/>
      <c r="F610" s="828"/>
      <c r="G610" s="1058"/>
      <c r="H610" s="828"/>
      <c r="I610" s="828"/>
      <c r="J610" s="828"/>
      <c r="K610" s="828"/>
      <c r="L610" s="830"/>
      <c r="M610" s="831"/>
      <c r="N610" s="828"/>
      <c r="O610" s="828"/>
    </row>
    <row r="611" spans="1:15" ht="30" customHeight="1" x14ac:dyDescent="0.25">
      <c r="A611" s="828"/>
      <c r="B611" s="828">
        <v>487</v>
      </c>
      <c r="C61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11" s="828"/>
      <c r="E611" s="828"/>
      <c r="F611" s="828"/>
      <c r="G611" s="1058"/>
      <c r="H611" s="828"/>
      <c r="I611" s="828"/>
      <c r="J611" s="828"/>
      <c r="K611" s="828"/>
      <c r="L611" s="830"/>
      <c r="M611" s="831"/>
      <c r="N611" s="828"/>
      <c r="O611" s="828"/>
    </row>
    <row r="612" spans="1:15" ht="30" customHeight="1" x14ac:dyDescent="0.25">
      <c r="A612" s="828"/>
      <c r="B612" s="828">
        <v>488</v>
      </c>
      <c r="C61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12" s="828"/>
      <c r="E612" s="828"/>
      <c r="F612" s="828"/>
      <c r="G612" s="1058"/>
      <c r="H612" s="828"/>
      <c r="I612" s="828"/>
      <c r="J612" s="828"/>
      <c r="K612" s="828"/>
      <c r="L612" s="830"/>
      <c r="M612" s="831"/>
      <c r="N612" s="828"/>
      <c r="O612" s="828"/>
    </row>
    <row r="613" spans="1:15" ht="30" customHeight="1" x14ac:dyDescent="0.25">
      <c r="A613" s="828"/>
      <c r="B613" s="828">
        <v>489</v>
      </c>
      <c r="C61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13" s="828"/>
      <c r="E613" s="828"/>
      <c r="F613" s="828"/>
      <c r="G613" s="1058"/>
      <c r="H613" s="828"/>
      <c r="I613" s="828"/>
      <c r="J613" s="828"/>
      <c r="K613" s="828"/>
      <c r="L613" s="830"/>
      <c r="M613" s="831"/>
      <c r="N613" s="828"/>
      <c r="O613" s="828"/>
    </row>
    <row r="614" spans="1:15" ht="30" customHeight="1" x14ac:dyDescent="0.25">
      <c r="A614" s="828"/>
      <c r="B614" s="828">
        <v>490</v>
      </c>
      <c r="C61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14" s="828"/>
      <c r="E614" s="828"/>
      <c r="F614" s="828"/>
      <c r="G614" s="1058"/>
      <c r="H614" s="828"/>
      <c r="I614" s="828"/>
      <c r="J614" s="828"/>
      <c r="K614" s="828"/>
      <c r="L614" s="830"/>
      <c r="M614" s="831"/>
      <c r="N614" s="828"/>
      <c r="O614" s="828"/>
    </row>
    <row r="615" spans="1:15" ht="30" customHeight="1" x14ac:dyDescent="0.25">
      <c r="A615" s="828"/>
      <c r="B615" s="828">
        <v>491</v>
      </c>
      <c r="C61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15" s="828"/>
      <c r="E615" s="828"/>
      <c r="F615" s="828"/>
      <c r="G615" s="1058"/>
      <c r="H615" s="828"/>
      <c r="I615" s="828"/>
      <c r="J615" s="828"/>
      <c r="K615" s="828"/>
      <c r="L615" s="830"/>
      <c r="M615" s="831"/>
      <c r="N615" s="828"/>
      <c r="O615" s="828"/>
    </row>
    <row r="616" spans="1:15" ht="30" customHeight="1" x14ac:dyDescent="0.25">
      <c r="A616" s="828"/>
      <c r="B616" s="828">
        <v>492</v>
      </c>
      <c r="C61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16" s="828"/>
      <c r="E616" s="828"/>
      <c r="F616" s="828"/>
      <c r="G616" s="1058"/>
      <c r="H616" s="828"/>
      <c r="I616" s="828"/>
      <c r="J616" s="828"/>
      <c r="K616" s="828"/>
      <c r="L616" s="830"/>
      <c r="M616" s="831"/>
      <c r="N616" s="828"/>
      <c r="O616" s="828"/>
    </row>
    <row r="617" spans="1:15" ht="30" customHeight="1" x14ac:dyDescent="0.25">
      <c r="A617" s="828"/>
      <c r="B617" s="828">
        <v>493</v>
      </c>
      <c r="C61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17" s="828"/>
      <c r="E617" s="828"/>
      <c r="F617" s="828"/>
      <c r="G617" s="1058"/>
      <c r="H617" s="828"/>
      <c r="I617" s="828"/>
      <c r="J617" s="828"/>
      <c r="K617" s="828"/>
      <c r="L617" s="830"/>
      <c r="M617" s="831"/>
      <c r="N617" s="828"/>
      <c r="O617" s="828"/>
    </row>
    <row r="618" spans="1:15" ht="30" customHeight="1" x14ac:dyDescent="0.25">
      <c r="A618" s="828"/>
      <c r="B618" s="828">
        <v>494</v>
      </c>
      <c r="C61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18" s="828"/>
      <c r="E618" s="828"/>
      <c r="F618" s="828"/>
      <c r="G618" s="1058"/>
      <c r="H618" s="828"/>
      <c r="I618" s="828"/>
      <c r="J618" s="828"/>
      <c r="K618" s="828"/>
      <c r="L618" s="830"/>
      <c r="M618" s="831"/>
      <c r="N618" s="828"/>
      <c r="O618" s="828"/>
    </row>
    <row r="619" spans="1:15" ht="30" customHeight="1" x14ac:dyDescent="0.25">
      <c r="A619" s="828"/>
      <c r="B619" s="828">
        <v>495</v>
      </c>
      <c r="C61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19" s="828"/>
      <c r="E619" s="828"/>
      <c r="F619" s="828"/>
      <c r="G619" s="1058"/>
      <c r="H619" s="828"/>
      <c r="I619" s="828"/>
      <c r="J619" s="828"/>
      <c r="K619" s="828"/>
      <c r="L619" s="830"/>
      <c r="M619" s="831"/>
      <c r="N619" s="828"/>
      <c r="O619" s="828"/>
    </row>
    <row r="620" spans="1:15" ht="30" customHeight="1" x14ac:dyDescent="0.25">
      <c r="A620" s="828"/>
      <c r="B620" s="828">
        <v>496</v>
      </c>
      <c r="C62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20" s="828"/>
      <c r="E620" s="828"/>
      <c r="F620" s="828"/>
      <c r="G620" s="1058"/>
      <c r="H620" s="828"/>
      <c r="I620" s="828"/>
      <c r="J620" s="828"/>
      <c r="K620" s="828"/>
      <c r="L620" s="830"/>
      <c r="M620" s="831"/>
      <c r="N620" s="828"/>
      <c r="O620" s="828"/>
    </row>
    <row r="621" spans="1:15" ht="30" customHeight="1" x14ac:dyDescent="0.25">
      <c r="A621" s="828"/>
      <c r="B621" s="828">
        <v>497</v>
      </c>
      <c r="C62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21" s="828"/>
      <c r="E621" s="828"/>
      <c r="F621" s="828"/>
      <c r="G621" s="1058"/>
      <c r="H621" s="828"/>
      <c r="I621" s="828"/>
      <c r="J621" s="828"/>
      <c r="K621" s="828"/>
      <c r="L621" s="830"/>
      <c r="M621" s="831"/>
      <c r="N621" s="828"/>
      <c r="O621" s="828"/>
    </row>
    <row r="622" spans="1:15" ht="30" customHeight="1" x14ac:dyDescent="0.25">
      <c r="A622" s="828"/>
      <c r="B622" s="828">
        <v>498</v>
      </c>
      <c r="C62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22" s="828"/>
      <c r="E622" s="828"/>
      <c r="F622" s="828"/>
      <c r="G622" s="1058"/>
      <c r="H622" s="828"/>
      <c r="I622" s="828"/>
      <c r="J622" s="828"/>
      <c r="K622" s="828"/>
      <c r="L622" s="830"/>
      <c r="M622" s="831"/>
      <c r="N622" s="828"/>
      <c r="O622" s="828"/>
    </row>
    <row r="623" spans="1:15" ht="30" customHeight="1" x14ac:dyDescent="0.25">
      <c r="A623" s="828"/>
      <c r="B623" s="828">
        <v>499</v>
      </c>
      <c r="C62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23" s="828"/>
      <c r="E623" s="828"/>
      <c r="F623" s="828"/>
      <c r="G623" s="1058"/>
      <c r="H623" s="828"/>
      <c r="I623" s="828"/>
      <c r="J623" s="828"/>
      <c r="K623" s="828"/>
      <c r="L623" s="830"/>
      <c r="M623" s="831"/>
      <c r="N623" s="828"/>
      <c r="O623" s="828"/>
    </row>
    <row r="624" spans="1:15" ht="30" customHeight="1" x14ac:dyDescent="0.25">
      <c r="A624" s="828"/>
      <c r="B624" s="828">
        <v>500</v>
      </c>
      <c r="C62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24" s="828"/>
      <c r="E624" s="828"/>
      <c r="F624" s="828"/>
      <c r="G624" s="1058"/>
      <c r="H624" s="828"/>
      <c r="I624" s="828"/>
      <c r="J624" s="828"/>
      <c r="K624" s="828"/>
      <c r="L624" s="830"/>
      <c r="M624" s="831"/>
      <c r="N624" s="828"/>
      <c r="O624" s="828"/>
    </row>
    <row r="625" spans="1:15" ht="30" customHeight="1" x14ac:dyDescent="0.25">
      <c r="A625" s="828"/>
      <c r="B625" s="828">
        <v>501</v>
      </c>
      <c r="C62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25" s="828"/>
      <c r="E625" s="828"/>
      <c r="F625" s="828"/>
      <c r="G625" s="1058"/>
      <c r="H625" s="828"/>
      <c r="I625" s="828"/>
      <c r="J625" s="828"/>
      <c r="K625" s="828"/>
      <c r="L625" s="830"/>
      <c r="M625" s="831"/>
      <c r="N625" s="828"/>
      <c r="O625" s="828"/>
    </row>
    <row r="626" spans="1:15" ht="30" customHeight="1" x14ac:dyDescent="0.25">
      <c r="A626" s="828"/>
      <c r="B626" s="828">
        <v>502</v>
      </c>
      <c r="C62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26" s="828"/>
      <c r="E626" s="828"/>
      <c r="F626" s="828"/>
      <c r="G626" s="1058"/>
      <c r="H626" s="828"/>
      <c r="I626" s="828"/>
      <c r="J626" s="828"/>
      <c r="K626" s="828"/>
      <c r="L626" s="830"/>
      <c r="M626" s="831"/>
      <c r="N626" s="828"/>
      <c r="O626" s="828"/>
    </row>
    <row r="627" spans="1:15" ht="30" customHeight="1" x14ac:dyDescent="0.25">
      <c r="A627" s="828"/>
      <c r="B627" s="828">
        <v>503</v>
      </c>
      <c r="C62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27" s="828"/>
      <c r="E627" s="828"/>
      <c r="F627" s="828"/>
      <c r="G627" s="1058"/>
      <c r="H627" s="828"/>
      <c r="I627" s="828"/>
      <c r="J627" s="828"/>
      <c r="K627" s="828"/>
      <c r="L627" s="830"/>
      <c r="M627" s="831"/>
      <c r="N627" s="828"/>
      <c r="O627" s="828"/>
    </row>
    <row r="628" spans="1:15" ht="30" customHeight="1" x14ac:dyDescent="0.25">
      <c r="A628" s="828"/>
      <c r="B628" s="828">
        <v>504</v>
      </c>
      <c r="C628"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28" s="828"/>
      <c r="E628" s="828"/>
      <c r="F628" s="828"/>
      <c r="G628" s="1058"/>
      <c r="H628" s="828"/>
      <c r="I628" s="828"/>
      <c r="J628" s="828"/>
      <c r="K628" s="828"/>
      <c r="L628" s="830"/>
      <c r="M628" s="831"/>
      <c r="N628" s="828"/>
      <c r="O628" s="828"/>
    </row>
    <row r="629" spans="1:15" ht="30" customHeight="1" x14ac:dyDescent="0.25">
      <c r="A629" s="828"/>
      <c r="B629" s="828">
        <v>505</v>
      </c>
      <c r="C629"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29" s="828"/>
      <c r="E629" s="828"/>
      <c r="F629" s="828"/>
      <c r="G629" s="1058"/>
      <c r="H629" s="828"/>
      <c r="I629" s="828"/>
      <c r="J629" s="828"/>
      <c r="K629" s="828"/>
      <c r="L629" s="830"/>
      <c r="M629" s="831"/>
      <c r="N629" s="828"/>
      <c r="O629" s="828"/>
    </row>
    <row r="630" spans="1:15" ht="30" customHeight="1" x14ac:dyDescent="0.25">
      <c r="A630" s="828"/>
      <c r="B630" s="828">
        <v>506</v>
      </c>
      <c r="C630"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30" s="828"/>
      <c r="E630" s="828"/>
      <c r="F630" s="828"/>
      <c r="G630" s="1058"/>
      <c r="H630" s="828"/>
      <c r="I630" s="828"/>
      <c r="J630" s="828"/>
      <c r="K630" s="828"/>
      <c r="L630" s="830"/>
      <c r="M630" s="831"/>
      <c r="N630" s="828" t="s">
        <v>365</v>
      </c>
      <c r="O630" s="828"/>
    </row>
    <row r="631" spans="1:15" ht="30" customHeight="1" x14ac:dyDescent="0.25">
      <c r="A631" s="828"/>
      <c r="B631" s="828">
        <v>507</v>
      </c>
      <c r="C631"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31" s="828"/>
      <c r="E631" s="828"/>
      <c r="F631" s="828"/>
      <c r="G631" s="1058"/>
      <c r="H631" s="828"/>
      <c r="I631" s="828"/>
      <c r="J631" s="828"/>
      <c r="K631" s="828"/>
      <c r="L631" s="830"/>
      <c r="M631" s="831"/>
      <c r="N631" s="828"/>
      <c r="O631" s="828"/>
    </row>
    <row r="632" spans="1:15" ht="30" customHeight="1" x14ac:dyDescent="0.25">
      <c r="A632" s="828"/>
      <c r="B632" s="828">
        <v>508</v>
      </c>
      <c r="C632"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32" s="828"/>
      <c r="E632" s="828"/>
      <c r="F632" s="828"/>
      <c r="G632" s="1058"/>
      <c r="H632" s="828"/>
      <c r="I632" s="828"/>
      <c r="J632" s="828"/>
      <c r="K632" s="828"/>
      <c r="L632" s="830"/>
      <c r="M632" s="831"/>
      <c r="N632" s="828"/>
      <c r="O632" s="828"/>
    </row>
    <row r="633" spans="1:15" ht="30" customHeight="1" x14ac:dyDescent="0.25">
      <c r="A633" s="828"/>
      <c r="B633" s="828">
        <v>509</v>
      </c>
      <c r="C633"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33" s="828"/>
      <c r="E633" s="828"/>
      <c r="F633" s="828"/>
      <c r="G633" s="1058"/>
      <c r="H633" s="828"/>
      <c r="I633" s="828"/>
      <c r="J633" s="828"/>
      <c r="K633" s="828"/>
      <c r="L633" s="830"/>
      <c r="M633" s="831"/>
      <c r="N633" s="828"/>
      <c r="O633" s="828"/>
    </row>
    <row r="634" spans="1:15" ht="30" customHeight="1" x14ac:dyDescent="0.25">
      <c r="A634" s="828"/>
      <c r="B634" s="828">
        <v>510</v>
      </c>
      <c r="C634"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34" s="828"/>
      <c r="E634" s="828"/>
      <c r="F634" s="828"/>
      <c r="G634" s="1058"/>
      <c r="H634" s="828"/>
      <c r="I634" s="828"/>
      <c r="J634" s="828"/>
      <c r="K634" s="828"/>
      <c r="L634" s="830"/>
      <c r="M634" s="831"/>
      <c r="N634" s="828"/>
      <c r="O634" s="828"/>
    </row>
    <row r="635" spans="1:15" ht="30" customHeight="1" x14ac:dyDescent="0.25">
      <c r="A635" s="828"/>
      <c r="B635" s="828">
        <v>511</v>
      </c>
      <c r="C635"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35" s="828"/>
      <c r="E635" s="828"/>
      <c r="F635" s="828"/>
      <c r="G635" s="1058"/>
      <c r="H635" s="828"/>
      <c r="I635" s="828"/>
      <c r="J635" s="828"/>
      <c r="K635" s="828"/>
      <c r="L635" s="830"/>
      <c r="M635" s="831"/>
      <c r="N635" s="828"/>
      <c r="O635" s="828"/>
    </row>
    <row r="636" spans="1:15" ht="30" customHeight="1" x14ac:dyDescent="0.25">
      <c r="A636" s="828"/>
      <c r="B636" s="828">
        <v>512</v>
      </c>
      <c r="C636"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36" s="828"/>
      <c r="E636" s="828"/>
      <c r="F636" s="828"/>
      <c r="G636" s="1058"/>
      <c r="H636" s="828"/>
      <c r="I636" s="828"/>
      <c r="J636" s="828"/>
      <c r="K636" s="828"/>
      <c r="L636" s="830"/>
      <c r="M636" s="831"/>
      <c r="N636" s="828"/>
      <c r="O636" s="828"/>
    </row>
    <row r="637" spans="1:15" ht="30" customHeight="1" x14ac:dyDescent="0.25">
      <c r="A637" s="828"/>
      <c r="B637" s="828">
        <v>513</v>
      </c>
      <c r="C637" s="829" t="str">
        <f>IF(ListaDeEstoque[[#This Row],[DESCRIÇÃO]]=0,"",CONCATENATE(IF(ListaDeEstoque[[#This Row],[Tipo do Material]]=0,"(?)",LEFT(ListaDeEstoque[[#This Row],[Tipo do Material]], 3)),ListaDeEstoque[[#This Row],[Ordem]],"-",IF(AND(LEFT(ListaDeEstoque[[#This Row],[Tipo do Material]],2)="TE",ListaDeEstoque[[#This Row],[Largura e Dimensões]]=0),140,IF(ListaDeEstoque[[#This Row],[Largura e Dimensões]]=0,"(?)",ListaDeEstoque[[#This Row],[Largura e Dimensões]])),"-",IF(ListaDeEstoque[[#This Row],[Cores &amp; Textura]]=0,"(?)",LEFT(ListaDeEstoque[[#This Row],[Cores &amp; Textura]],6)),IF(ListaDeEstoque[[#This Row],[Outras Características]]=0,"","-"),IF(ListaDeEstoque[[#This Row],[Outras Características]]=0,"",LEFT(ListaDeEstoque[[#This Row],[Outras Características]],8))))</f>
        <v/>
      </c>
      <c r="D637" s="828"/>
      <c r="E637" s="828"/>
      <c r="F637" s="828"/>
      <c r="G637" s="1058"/>
      <c r="H637" s="828"/>
      <c r="I637" s="828"/>
      <c r="J637" s="828"/>
      <c r="K637" s="828"/>
      <c r="L637" s="830"/>
      <c r="M637" s="831"/>
      <c r="N637" s="828"/>
      <c r="O637" s="828"/>
    </row>
  </sheetData>
  <mergeCells count="36">
    <mergeCell ref="Q3:U3"/>
    <mergeCell ref="Q4:U4"/>
    <mergeCell ref="Q5:R5"/>
    <mergeCell ref="W2:AG2"/>
    <mergeCell ref="W3:X3"/>
    <mergeCell ref="Y3:AG3"/>
    <mergeCell ref="Z4:AF4"/>
    <mergeCell ref="Z12:AF12"/>
    <mergeCell ref="Z13:AF13"/>
    <mergeCell ref="Z25:AF25"/>
    <mergeCell ref="Z20:AF20"/>
    <mergeCell ref="Z21:AF21"/>
    <mergeCell ref="Z22:AF22"/>
    <mergeCell ref="Z23:AF23"/>
    <mergeCell ref="Z24:AF24"/>
    <mergeCell ref="Z15:AF15"/>
    <mergeCell ref="Z16:AF16"/>
    <mergeCell ref="Z17:AF17"/>
    <mergeCell ref="Z18:AF18"/>
    <mergeCell ref="Z14:AF14"/>
    <mergeCell ref="G1:O1"/>
    <mergeCell ref="A1:E1"/>
    <mergeCell ref="Z19:AF19"/>
    <mergeCell ref="W5:W25"/>
    <mergeCell ref="Z5:AF5"/>
    <mergeCell ref="Q6:R6"/>
    <mergeCell ref="Z6:AF6"/>
    <mergeCell ref="Q7:R7"/>
    <mergeCell ref="Z7:AF7"/>
    <mergeCell ref="Q8:R8"/>
    <mergeCell ref="Z8:AF8"/>
    <mergeCell ref="Q9:R9"/>
    <mergeCell ref="Z9:AF9"/>
    <mergeCell ref="Q10:R10"/>
    <mergeCell ref="Z10:AF10"/>
    <mergeCell ref="Z11:AF11"/>
  </mergeCells>
  <phoneticPr fontId="20" type="noConversion"/>
  <conditionalFormatting sqref="A4:O435 A436:C436 N436:O436 A437:O637">
    <cfRule type="expression" dxfId="7" priority="4">
      <formula>$N4="sim"</formula>
    </cfRule>
  </conditionalFormatting>
  <conditionalFormatting sqref="D436:M436">
    <cfRule type="expression" dxfId="6" priority="2">
      <formula>$N436="sim"</formula>
    </cfRule>
  </conditionalFormatting>
  <conditionalFormatting sqref="L4:L435 L437:L637">
    <cfRule type="iconSet" priority="3">
      <iconSet>
        <cfvo type="percent" val="0"/>
        <cfvo type="formula" val="$U$9"/>
        <cfvo type="formula" val="$U$8"/>
      </iconSet>
    </cfRule>
  </conditionalFormatting>
  <conditionalFormatting sqref="L436">
    <cfRule type="iconSet" priority="1">
      <iconSet>
        <cfvo type="percent" val="0"/>
        <cfvo type="formula" val="$U$9"/>
        <cfvo type="formula" val="$U$8"/>
      </iconSet>
    </cfRule>
  </conditionalFormatting>
  <dataValidations count="3">
    <dataValidation allowBlank="1" showInputMessage="1" showErrorMessage="1" prompt="Insira a quantidade a encomendar de cada item nesta coluna" sqref="O3" xr:uid="{FB2A6132-39E2-4A9E-952D-BC4C52239573}"/>
    <dataValidation allowBlank="1" showInputMessage="1" showErrorMessage="1" prompt="Insira sim se o item tiver sido descontinuado. Ao inserir Sim, a linha correspondente é realçada em cinza claro e o estilo da fonte é alterado para Tachado" sqref="N3:O3" xr:uid="{4BB3F223-4C75-4F7A-B236-C9DBF7D4E43E}"/>
    <dataValidation type="list" allowBlank="1" showInputMessage="1" showErrorMessage="1" sqref="G4:G637" xr:uid="{5EDA43BC-2405-41FE-B8B1-956565DA0321}">
      <formula1>$AG$5:$AG$25</formula1>
    </dataValidation>
  </dataValidations>
  <hyperlinks>
    <hyperlink ref="E67" r:id="rId1" display="Kalunga.com/" xr:uid="{D45A7AFF-C184-4A94-BD0D-4F484E1E27DC}"/>
    <hyperlink ref="O174" r:id="rId2" display="romaaviamentos.com.br/" xr:uid="{C6FC0370-C615-451F-8B4B-F6A0B2E9E051}"/>
  </hyperlinks>
  <pageMargins left="0.511811024" right="0.511811024" top="0.78740157499999996" bottom="0.78740157499999996" header="0.31496062000000002" footer="0.31496062000000002"/>
  <pageSetup paperSize="9" orientation="portrait" horizontalDpi="300" verticalDpi="300" r:id="rId3"/>
  <drawing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DC0E-3C8D-44C9-9F8C-067A21CD989E}">
  <dimension ref="B1:BO81"/>
  <sheetViews>
    <sheetView showGridLines="0" zoomScale="80" zoomScaleNormal="80" workbookViewId="0">
      <selection activeCell="N16" sqref="N16"/>
    </sheetView>
  </sheetViews>
  <sheetFormatPr defaultRowHeight="15" x14ac:dyDescent="0.25"/>
  <cols>
    <col min="3" max="3" width="12.28515625" customWidth="1"/>
    <col min="4" max="4" width="13.5703125" customWidth="1"/>
    <col min="5" max="5" width="9.140625" customWidth="1"/>
    <col min="6" max="7" width="11.7109375" customWidth="1"/>
    <col min="8" max="8" width="14.7109375" customWidth="1"/>
    <col min="9" max="9" width="11.7109375" customWidth="1"/>
    <col min="13" max="13" width="16.7109375" customWidth="1"/>
    <col min="17" max="17" width="16.7109375" customWidth="1"/>
    <col min="21" max="21" width="16.7109375" customWidth="1"/>
    <col min="25" max="25" width="16.7109375" customWidth="1"/>
    <col min="29" max="29" width="16.7109375" customWidth="1"/>
    <col min="33" max="33" width="16.7109375" customWidth="1"/>
    <col min="37" max="37" width="16.7109375" customWidth="1"/>
    <col min="41" max="41" width="16.7109375" customWidth="1"/>
    <col min="45" max="45" width="16.7109375" customWidth="1"/>
    <col min="49" max="49" width="16.7109375" customWidth="1"/>
    <col min="53" max="53" width="16.7109375" customWidth="1"/>
    <col min="57" max="57" width="16.7109375" customWidth="1"/>
    <col min="58" max="58" width="9.7109375" bestFit="1" customWidth="1"/>
    <col min="61" max="61" width="16.5703125" customWidth="1"/>
  </cols>
  <sheetData>
    <row r="1" spans="2:67" ht="15.75" thickBot="1" x14ac:dyDescent="0.3"/>
    <row r="2" spans="2:67" x14ac:dyDescent="0.25">
      <c r="B2" s="1086" t="s">
        <v>6</v>
      </c>
      <c r="C2" s="1087"/>
      <c r="D2" s="1087"/>
      <c r="E2" s="1087"/>
      <c r="F2" s="1088"/>
      <c r="M2" s="1926" t="s">
        <v>296</v>
      </c>
      <c r="N2" s="1926"/>
      <c r="O2" s="1926"/>
      <c r="P2" s="1926"/>
      <c r="Q2" s="1926"/>
      <c r="R2" s="1926"/>
      <c r="S2" s="1926"/>
      <c r="T2" s="1926"/>
      <c r="U2" s="1926"/>
      <c r="V2" s="1926"/>
      <c r="W2" s="1926"/>
      <c r="X2" s="1926"/>
      <c r="Y2" s="1926" t="str">
        <f>M2</f>
        <v>Arranjo pro PROCESSOS OU MISTO</v>
      </c>
      <c r="Z2" s="1926"/>
      <c r="AA2" s="1926"/>
      <c r="AB2" s="1926"/>
      <c r="AC2" s="1926"/>
      <c r="AD2" s="1926"/>
      <c r="AE2" s="1926"/>
      <c r="AF2" s="1926"/>
      <c r="AG2" s="1926"/>
      <c r="AH2" s="1926"/>
      <c r="AI2" s="1926"/>
      <c r="AJ2" s="1926"/>
      <c r="AK2" s="1926" t="str">
        <f>Y2</f>
        <v>Arranjo pro PROCESSOS OU MISTO</v>
      </c>
      <c r="AL2" s="1926"/>
      <c r="AM2" s="1926"/>
      <c r="AN2" s="1926"/>
      <c r="AO2" s="1926"/>
      <c r="AP2" s="1926"/>
      <c r="AQ2" s="1926"/>
      <c r="AR2" s="1926"/>
      <c r="AS2" s="1926"/>
      <c r="AT2" s="1926"/>
      <c r="AU2" s="1926"/>
      <c r="AV2" s="1926"/>
      <c r="AW2" s="1926" t="str">
        <f>AK2</f>
        <v>Arranjo pro PROCESSOS OU MISTO</v>
      </c>
      <c r="AX2" s="1926"/>
      <c r="AY2" s="1926"/>
      <c r="AZ2" s="1926"/>
      <c r="BA2" s="1926"/>
      <c r="BB2" s="1926"/>
      <c r="BC2" s="1926"/>
      <c r="BD2" s="1926"/>
      <c r="BE2" s="1926"/>
      <c r="BF2" s="1926"/>
      <c r="BG2" s="1926"/>
      <c r="BH2" s="1926"/>
    </row>
    <row r="3" spans="2:67" ht="18.75" x14ac:dyDescent="0.25">
      <c r="B3" s="1089" t="s">
        <v>9</v>
      </c>
      <c r="C3" s="1090"/>
      <c r="D3" s="1090"/>
      <c r="E3" s="1090"/>
      <c r="F3" s="1" t="s">
        <v>10</v>
      </c>
    </row>
    <row r="4" spans="2:67" ht="15.75" thickBot="1" x14ac:dyDescent="0.3">
      <c r="B4" s="1091" t="s">
        <v>11</v>
      </c>
      <c r="C4" s="1092"/>
      <c r="D4" s="1092"/>
      <c r="E4" s="1092"/>
      <c r="F4" s="1920" t="s">
        <v>10</v>
      </c>
      <c r="J4" s="1328" t="s">
        <v>297</v>
      </c>
      <c r="K4" s="1328"/>
      <c r="L4" s="1328"/>
      <c r="M4" s="1921" t="str">
        <f>'NOME + Nº'!C8</f>
        <v>REF. NOME + Nº - 15H x 10B x 5L (cm)</v>
      </c>
      <c r="N4" s="1921"/>
      <c r="O4" s="1921"/>
      <c r="P4" s="1921"/>
      <c r="Q4" s="1921"/>
      <c r="R4" s="1921"/>
      <c r="S4" s="1921"/>
      <c r="T4" s="1921"/>
      <c r="U4" s="1921"/>
      <c r="V4" s="1921"/>
      <c r="W4" s="1921"/>
      <c r="X4" s="1913" t="str">
        <f>M4</f>
        <v>REF. NOME + Nº - 15H x 10B x 5L (cm)</v>
      </c>
      <c r="Y4" s="1913"/>
      <c r="Z4" s="1913"/>
      <c r="AA4" s="1913"/>
      <c r="AB4" s="1913"/>
      <c r="AC4" s="1913"/>
      <c r="AD4" s="1913"/>
      <c r="AE4" s="1913"/>
      <c r="AF4" s="1913"/>
      <c r="AG4" s="1913"/>
      <c r="AH4" s="1913"/>
      <c r="AI4" s="1913" t="str">
        <f>X4</f>
        <v>REF. NOME + Nº - 15H x 10B x 5L (cm)</v>
      </c>
      <c r="AJ4" s="1913"/>
      <c r="AK4" s="1913"/>
      <c r="AL4" s="1913"/>
      <c r="AM4" s="1913"/>
      <c r="AN4" s="1913"/>
      <c r="AO4" s="1913"/>
      <c r="AP4" s="1913"/>
      <c r="AQ4" s="1913"/>
      <c r="AR4" s="1913"/>
      <c r="AS4" s="1913"/>
      <c r="AT4" s="1913" t="str">
        <f t="shared" ref="AT4" si="0">AI4</f>
        <v>REF. NOME + Nº - 15H x 10B x 5L (cm)</v>
      </c>
      <c r="AU4" s="1913"/>
      <c r="AV4" s="1913"/>
      <c r="AW4" s="1913"/>
      <c r="AX4" s="1913"/>
      <c r="AY4" s="1913"/>
      <c r="AZ4" s="1913"/>
      <c r="BA4" s="1913"/>
      <c r="BB4" s="1913"/>
      <c r="BC4" s="1913"/>
      <c r="BD4" s="1913"/>
      <c r="BE4" s="1913" t="str">
        <f t="shared" ref="BE4" si="1">AT4</f>
        <v>REF. NOME + Nº - 15H x 10B x 5L (cm)</v>
      </c>
      <c r="BF4" s="1913"/>
      <c r="BG4" s="1913"/>
      <c r="BH4" s="1913"/>
      <c r="BI4" s="1913"/>
      <c r="BJ4" s="1913"/>
      <c r="BK4" s="1913"/>
      <c r="BL4" s="1913"/>
      <c r="BM4" s="1913"/>
      <c r="BN4" s="1913"/>
      <c r="BO4" s="1913"/>
    </row>
    <row r="5" spans="2:67" ht="15.75" customHeight="1" thickBot="1" x14ac:dyDescent="0.3">
      <c r="B5" s="1091"/>
      <c r="C5" s="1092"/>
      <c r="D5" s="1092"/>
      <c r="E5" s="1092"/>
      <c r="F5" s="1920"/>
      <c r="K5" s="1914" t="s">
        <v>17</v>
      </c>
      <c r="L5" s="1915"/>
      <c r="N5">
        <v>1</v>
      </c>
      <c r="AR5" s="243" t="s">
        <v>298</v>
      </c>
      <c r="AS5" s="1874"/>
      <c r="AT5" s="1874"/>
      <c r="AU5" s="1874"/>
      <c r="AV5" s="1874"/>
      <c r="AW5" s="1874"/>
      <c r="AX5" s="59" t="s">
        <v>299</v>
      </c>
      <c r="AY5" s="1916"/>
      <c r="AZ5" s="1916"/>
      <c r="BA5" s="1917"/>
    </row>
    <row r="6" spans="2:67" ht="15.75" customHeight="1" thickBot="1" x14ac:dyDescent="0.3">
      <c r="B6" s="1089" t="s">
        <v>15</v>
      </c>
      <c r="C6" s="1090"/>
      <c r="D6" s="1090"/>
      <c r="E6" s="1090"/>
      <c r="F6" s="60" t="s">
        <v>10</v>
      </c>
      <c r="K6" s="1254" t="s">
        <v>23</v>
      </c>
      <c r="L6" s="1255"/>
      <c r="M6" s="1890" t="s">
        <v>300</v>
      </c>
      <c r="N6" s="1890"/>
      <c r="O6" s="251" t="str">
        <f>G28</f>
        <v>ATIVO</v>
      </c>
      <c r="P6" s="20"/>
      <c r="R6">
        <f>N5+1</f>
        <v>2</v>
      </c>
      <c r="AG6" s="124" t="s">
        <v>175</v>
      </c>
      <c r="AH6" s="1922" t="s">
        <v>176</v>
      </c>
      <c r="AI6" s="1894"/>
      <c r="AJ6" s="1895"/>
      <c r="AK6" s="124" t="s">
        <v>302</v>
      </c>
      <c r="AL6" s="1923" t="s">
        <v>477</v>
      </c>
      <c r="AM6" s="1924"/>
      <c r="AN6" s="1924"/>
      <c r="AO6" s="1924"/>
      <c r="AP6" s="1925"/>
      <c r="AR6" s="1881"/>
      <c r="AS6" s="1882"/>
      <c r="AT6" s="1882"/>
      <c r="AU6" s="1882"/>
      <c r="AV6" s="1882"/>
      <c r="AW6" s="1882"/>
      <c r="AX6" s="1882"/>
      <c r="AY6" s="1882"/>
      <c r="AZ6" s="1882"/>
      <c r="BA6" s="1883"/>
      <c r="BC6" s="124" t="s">
        <v>175</v>
      </c>
      <c r="BD6" s="1927" t="str">
        <f>IF(AH6&lt;&gt;0,AH6,"")</f>
        <v>Victor Ferreira</v>
      </c>
      <c r="BE6" s="1927"/>
      <c r="BF6" s="1927"/>
      <c r="BG6" s="124" t="s">
        <v>302</v>
      </c>
      <c r="BH6" s="1928" t="str">
        <f>IF(AL6&lt;&gt;0,AL6,"")</f>
        <v>Victor ferreira</v>
      </c>
      <c r="BI6" s="1928"/>
      <c r="BJ6" s="1928"/>
      <c r="BK6" s="1928"/>
      <c r="BL6" s="1928"/>
    </row>
    <row r="7" spans="2:67" ht="15" customHeight="1" x14ac:dyDescent="0.25">
      <c r="B7" s="1089" t="s">
        <v>19</v>
      </c>
      <c r="C7" s="1090"/>
      <c r="D7" s="1090"/>
      <c r="E7" s="1090"/>
      <c r="F7" s="2" t="s">
        <v>10</v>
      </c>
      <c r="M7" t="s">
        <v>303</v>
      </c>
      <c r="N7" s="20"/>
      <c r="O7" s="6" t="str">
        <f>IF(O6="ATIVO","1","0")</f>
        <v>1</v>
      </c>
      <c r="Q7" s="1890" t="s">
        <v>304</v>
      </c>
      <c r="R7" s="1890"/>
      <c r="S7" s="251" t="str">
        <f>G29</f>
        <v>ATIVO</v>
      </c>
      <c r="T7" s="20"/>
      <c r="V7">
        <f>R6+1</f>
        <v>3</v>
      </c>
      <c r="AG7" s="124" t="s">
        <v>305</v>
      </c>
      <c r="AH7" s="1922"/>
      <c r="AI7" s="1894"/>
      <c r="AJ7" s="1895"/>
      <c r="AK7" s="124" t="s">
        <v>306</v>
      </c>
      <c r="AL7" s="1923"/>
      <c r="AM7" s="1924"/>
      <c r="AN7" s="1924"/>
      <c r="AO7" s="1924"/>
      <c r="AP7" s="1925"/>
      <c r="AR7" s="1881"/>
      <c r="AS7" s="1882"/>
      <c r="AT7" s="1882"/>
      <c r="AU7" s="1882"/>
      <c r="AV7" s="1882"/>
      <c r="AW7" s="1882"/>
      <c r="AX7" s="1882"/>
      <c r="AY7" s="1882"/>
      <c r="AZ7" s="1882"/>
      <c r="BA7" s="1883"/>
      <c r="BC7" s="124" t="s">
        <v>305</v>
      </c>
      <c r="BD7" s="1927" t="str">
        <f>IF(AH7&lt;&gt;0,AH7,"")</f>
        <v/>
      </c>
      <c r="BE7" s="1927"/>
      <c r="BF7" s="1927"/>
      <c r="BG7" s="124" t="s">
        <v>306</v>
      </c>
      <c r="BH7" s="1928" t="str">
        <f>IF(AL7&lt;&gt;0,AL7,"")</f>
        <v/>
      </c>
      <c r="BI7" s="1928"/>
      <c r="BJ7" s="1928"/>
      <c r="BK7" s="1928"/>
      <c r="BL7" s="1928"/>
    </row>
    <row r="8" spans="2:67" ht="15.75" thickBot="1" x14ac:dyDescent="0.3">
      <c r="B8" s="1089" t="s">
        <v>394</v>
      </c>
      <c r="C8" s="1090"/>
      <c r="D8" s="1090"/>
      <c r="E8" s="1090"/>
      <c r="F8" s="229" t="s">
        <v>189</v>
      </c>
      <c r="M8" s="1891">
        <f>(SUM(N16:N25)/60)*O7</f>
        <v>8.1666666666666661</v>
      </c>
      <c r="N8" s="1892"/>
      <c r="O8" s="61"/>
      <c r="P8" s="61"/>
      <c r="Q8" t="s">
        <v>303</v>
      </c>
      <c r="R8" s="20"/>
      <c r="S8" s="6" t="str">
        <f>IF(S7="ATIVO","1","0")</f>
        <v>1</v>
      </c>
      <c r="U8" s="1890" t="s">
        <v>307</v>
      </c>
      <c r="V8" s="1890"/>
      <c r="W8" s="251" t="str">
        <f>G30</f>
        <v>ATIVO</v>
      </c>
      <c r="X8" s="20"/>
      <c r="Z8">
        <f>V7+1</f>
        <v>4</v>
      </c>
      <c r="AR8" s="1881"/>
      <c r="AS8" s="1882"/>
      <c r="AT8" s="1882"/>
      <c r="AU8" s="1882"/>
      <c r="AV8" s="1882"/>
      <c r="AW8" s="1882"/>
      <c r="AX8" s="1882"/>
      <c r="AY8" s="1882"/>
      <c r="AZ8" s="1882"/>
      <c r="BA8" s="1883"/>
    </row>
    <row r="9" spans="2:67" ht="19.5" customHeight="1" thickBot="1" x14ac:dyDescent="0.3">
      <c r="B9" s="1089" t="s">
        <v>21</v>
      </c>
      <c r="C9" s="1090"/>
      <c r="D9" s="1090"/>
      <c r="E9" s="1090"/>
      <c r="F9" s="3" t="s">
        <v>10</v>
      </c>
      <c r="M9" s="1872" t="str">
        <f>E28</f>
        <v>RETA</v>
      </c>
      <c r="N9" s="1873"/>
      <c r="Q9" s="1891">
        <f>(SUM(R17:R26)/60)*S8</f>
        <v>2.8333333333333335</v>
      </c>
      <c r="R9" s="1892"/>
      <c r="S9" s="61"/>
      <c r="T9" s="61"/>
      <c r="U9" t="s">
        <v>303</v>
      </c>
      <c r="V9" s="20"/>
      <c r="W9" s="6" t="str">
        <f>IF(W8="ATIVO","1","0")</f>
        <v>1</v>
      </c>
      <c r="Y9" s="1890" t="s">
        <v>308</v>
      </c>
      <c r="Z9" s="1890"/>
      <c r="AA9" s="251" t="str">
        <f>G31</f>
        <v>ATIVO</v>
      </c>
      <c r="AB9" s="20"/>
      <c r="AD9">
        <f>Z8+1</f>
        <v>5</v>
      </c>
      <c r="AR9" s="1881"/>
      <c r="AS9" s="1882"/>
      <c r="AT9" s="1882"/>
      <c r="AU9" s="1882"/>
      <c r="AV9" s="1882"/>
      <c r="AW9" s="1882"/>
      <c r="AX9" s="1882"/>
      <c r="AY9" s="1882"/>
      <c r="AZ9" s="1882"/>
      <c r="BA9" s="1883"/>
    </row>
    <row r="10" spans="2:67" ht="15.75" customHeight="1" thickBot="1" x14ac:dyDescent="0.3">
      <c r="B10" s="1089" t="s">
        <v>24</v>
      </c>
      <c r="C10" s="1090"/>
      <c r="D10" s="1090"/>
      <c r="E10" s="1090"/>
      <c r="F10" s="4" t="s">
        <v>10</v>
      </c>
      <c r="M10" s="1875" t="s">
        <v>460</v>
      </c>
      <c r="N10" s="1876"/>
      <c r="O10" s="62"/>
      <c r="Q10" s="1872" t="str">
        <f>E29</f>
        <v>RETA</v>
      </c>
      <c r="R10" s="1873"/>
      <c r="S10" s="62"/>
      <c r="U10" s="1891">
        <f>(SUM(V18:V27)/60)*W9</f>
        <v>8.1666666666666661</v>
      </c>
      <c r="V10" s="1892"/>
      <c r="W10" s="61"/>
      <c r="X10" s="61"/>
      <c r="Y10" t="s">
        <v>303</v>
      </c>
      <c r="Z10" s="20"/>
      <c r="AA10" s="6" t="str">
        <f>IF(AA9="ATIVO","1","0")</f>
        <v>1</v>
      </c>
      <c r="AC10" s="1890" t="s">
        <v>309</v>
      </c>
      <c r="AD10" s="1890"/>
      <c r="AE10" s="251" t="str">
        <f>G32</f>
        <v>ATIVO</v>
      </c>
      <c r="AF10" s="20"/>
      <c r="AH10">
        <f>AD9+1</f>
        <v>6</v>
      </c>
      <c r="AR10" s="1881"/>
      <c r="AS10" s="1882"/>
      <c r="AT10" s="1882"/>
      <c r="AU10" s="1882"/>
      <c r="AV10" s="1882"/>
      <c r="AW10" s="1882"/>
      <c r="AX10" s="1882"/>
      <c r="AY10" s="1882"/>
      <c r="AZ10" s="1882"/>
      <c r="BA10" s="1883"/>
      <c r="BC10" s="1898" t="s">
        <v>310</v>
      </c>
      <c r="BD10" s="1898"/>
      <c r="BE10" s="1899"/>
      <c r="BF10" s="1899" t="s">
        <v>311</v>
      </c>
      <c r="BG10" s="1900"/>
    </row>
    <row r="11" spans="2:67" ht="15.75" customHeight="1" thickBot="1" x14ac:dyDescent="0.3">
      <c r="B11" s="1233" t="s">
        <v>26</v>
      </c>
      <c r="C11" s="1234"/>
      <c r="D11" s="1234"/>
      <c r="E11" s="1235"/>
      <c r="F11" s="1910" t="s">
        <v>10</v>
      </c>
      <c r="M11" s="1877"/>
      <c r="N11" s="1878"/>
      <c r="O11" s="62"/>
      <c r="Q11" s="1875" t="s">
        <v>461</v>
      </c>
      <c r="R11" s="1876"/>
      <c r="S11" s="62"/>
      <c r="U11" s="1872" t="str">
        <f>IF(E30&gt;0,E30,"")</f>
        <v>RETA</v>
      </c>
      <c r="V11" s="1873"/>
      <c r="W11" s="62"/>
      <c r="Y11" s="1891">
        <f>(SUM(Z19:Z28)/60)*AA10</f>
        <v>4</v>
      </c>
      <c r="Z11" s="1892"/>
      <c r="AA11" s="61"/>
      <c r="AB11" s="61"/>
      <c r="AC11" t="s">
        <v>303</v>
      </c>
      <c r="AD11" s="20"/>
      <c r="AE11" s="6" t="str">
        <f>IF(AE10="ATIVO","1","0")</f>
        <v>1</v>
      </c>
      <c r="AG11" s="1890" t="s">
        <v>312</v>
      </c>
      <c r="AH11" s="1890"/>
      <c r="AI11" s="251" t="str">
        <f>G33</f>
        <v>ATIVO</v>
      </c>
      <c r="AJ11" s="20"/>
      <c r="AL11">
        <f>AH10+1</f>
        <v>7</v>
      </c>
      <c r="AR11" s="1884"/>
      <c r="AS11" s="1885"/>
      <c r="AT11" s="1885"/>
      <c r="AU11" s="1885"/>
      <c r="AV11" s="1885"/>
      <c r="AW11" s="1885"/>
      <c r="AX11" s="1885"/>
      <c r="AY11" s="1885"/>
      <c r="AZ11" s="1885"/>
      <c r="BA11" s="1886"/>
      <c r="BC11" t="s">
        <v>313</v>
      </c>
      <c r="BD11" t="s">
        <v>314</v>
      </c>
      <c r="BE11" t="s">
        <v>315</v>
      </c>
      <c r="BF11" s="63"/>
    </row>
    <row r="12" spans="2:67" ht="15.75" customHeight="1" thickBot="1" x14ac:dyDescent="0.3">
      <c r="B12" s="1236"/>
      <c r="C12" s="1237"/>
      <c r="D12" s="1237"/>
      <c r="E12" s="1238"/>
      <c r="F12" s="1910"/>
      <c r="M12" s="1877"/>
      <c r="N12" s="1878"/>
      <c r="O12" s="62"/>
      <c r="Q12" s="1877"/>
      <c r="R12" s="1878"/>
      <c r="S12" s="62"/>
      <c r="U12" s="1875" t="s">
        <v>462</v>
      </c>
      <c r="V12" s="1876"/>
      <c r="W12" s="62"/>
      <c r="Y12" s="1872" t="str">
        <f>IF(E31&gt;0,E31,"")</f>
        <v>RETA, BRAÇO</v>
      </c>
      <c r="Z12" s="1873"/>
      <c r="AA12" s="62"/>
      <c r="AC12" s="1891">
        <f>(SUM(AD20:AD29)/60)*AE11</f>
        <v>5.333333333333333</v>
      </c>
      <c r="AD12" s="1892"/>
      <c r="AE12" s="61"/>
      <c r="AF12" s="61"/>
      <c r="AG12" t="s">
        <v>303</v>
      </c>
      <c r="AH12" s="20"/>
      <c r="AI12" s="6" t="str">
        <f>IF(AI11="ATIVO","1","0")</f>
        <v>1</v>
      </c>
      <c r="AK12" s="1890" t="s">
        <v>316</v>
      </c>
      <c r="AL12" s="1890"/>
      <c r="AM12" s="251" t="str">
        <f>G34</f>
        <v>ATIVO</v>
      </c>
      <c r="AN12" s="20"/>
      <c r="AP12">
        <f>AL11+1</f>
        <v>8</v>
      </c>
      <c r="BC12" s="125">
        <f>INT(BC13)</f>
        <v>0</v>
      </c>
      <c r="BD12" s="126">
        <f>INT((BC13-INT(BC13))*60)</f>
        <v>41</v>
      </c>
      <c r="BE12" s="238">
        <f>(((BC13-INT(BC13))*60)-INT(((BC13-INT(BC13))*60)))*60</f>
        <v>49.999999999999716</v>
      </c>
      <c r="BF12" s="1918">
        <f>(O14*O7)+(S15*S8)+(W16*W9)+(AA17*AA10)+(AE18*AE11)+(AI19*AI12)+(AM20*AM13)+(AQ21*AQ14)+(AU22*AU15)+(AY23*AY16)+(BC24*BC17)+(BG25*BG18)+(BK26*BK19)</f>
        <v>25</v>
      </c>
      <c r="BG12" s="1919"/>
    </row>
    <row r="13" spans="2:67" ht="15.75" customHeight="1" thickBot="1" x14ac:dyDescent="0.3">
      <c r="B13" s="1089" t="s">
        <v>33</v>
      </c>
      <c r="C13" s="1090"/>
      <c r="D13" s="1090"/>
      <c r="E13" s="1090"/>
      <c r="F13" s="1911" t="s">
        <v>34</v>
      </c>
      <c r="M13" s="1879"/>
      <c r="N13" s="1880"/>
      <c r="O13" s="62"/>
      <c r="Q13" s="1877"/>
      <c r="R13" s="1878"/>
      <c r="S13" s="62"/>
      <c r="U13" s="1877"/>
      <c r="V13" s="1878"/>
      <c r="W13" s="62"/>
      <c r="Y13" s="1875" t="s">
        <v>467</v>
      </c>
      <c r="Z13" s="1876"/>
      <c r="AA13" s="62"/>
      <c r="AC13" s="1872" t="str">
        <f>IF(E32&gt;0,E32,"")</f>
        <v>RETA, BRAÇO</v>
      </c>
      <c r="AD13" s="1873"/>
      <c r="AE13" s="62"/>
      <c r="AG13" s="1891">
        <f>(SUM(AH21:AH30)/60)*AI12</f>
        <v>3.1666666666666665</v>
      </c>
      <c r="AH13" s="1892"/>
      <c r="AI13" s="61"/>
      <c r="AJ13" s="61"/>
      <c r="AK13" t="s">
        <v>303</v>
      </c>
      <c r="AL13" s="20"/>
      <c r="AM13" s="6" t="str">
        <f>IF(AM12="ATIVO","1","0")</f>
        <v>1</v>
      </c>
      <c r="AO13" s="1890" t="s">
        <v>318</v>
      </c>
      <c r="AP13" s="1890"/>
      <c r="AQ13" s="251" t="str">
        <f>G35</f>
        <v>NÃO</v>
      </c>
      <c r="AR13" s="20"/>
      <c r="AT13">
        <f>AP12+1</f>
        <v>9</v>
      </c>
      <c r="BC13" s="1889">
        <f>(M8+Q9+U10+Y11+AC12+AG13+AK14+AO15+AS16+AW17+BA18+BE19+BI20)/(60)</f>
        <v>0.69722222222222219</v>
      </c>
      <c r="BD13" s="1889"/>
      <c r="BE13" s="1889"/>
      <c r="BF13" s="1889"/>
      <c r="BG13" s="1889"/>
    </row>
    <row r="14" spans="2:67" ht="15.75" thickBot="1" x14ac:dyDescent="0.3">
      <c r="B14" s="1240"/>
      <c r="C14" s="1241"/>
      <c r="D14" s="1241"/>
      <c r="E14" s="1241"/>
      <c r="F14" s="1912"/>
      <c r="M14" s="1887" t="s">
        <v>317</v>
      </c>
      <c r="N14" s="1888"/>
      <c r="O14" s="134">
        <f>SUM(O16:O25)</f>
        <v>4</v>
      </c>
      <c r="Q14" s="1879"/>
      <c r="R14" s="1880"/>
      <c r="U14" s="1877"/>
      <c r="V14" s="1878"/>
      <c r="W14" s="62"/>
      <c r="Y14" s="1877"/>
      <c r="Z14" s="1878"/>
      <c r="AA14" s="62"/>
      <c r="AC14" s="1875" t="s">
        <v>468</v>
      </c>
      <c r="AD14" s="1876"/>
      <c r="AE14" s="62"/>
      <c r="AG14" s="1872" t="str">
        <f>IF(E33&gt;0,E33,"")</f>
        <v>RETA</v>
      </c>
      <c r="AH14" s="1873"/>
      <c r="AI14" s="62"/>
      <c r="AK14" s="1891">
        <f>(SUM(AL22:AL31)/60)*AM13</f>
        <v>10.166666666666666</v>
      </c>
      <c r="AL14" s="1892"/>
      <c r="AM14" s="61"/>
      <c r="AN14" s="61"/>
      <c r="AO14" t="s">
        <v>303</v>
      </c>
      <c r="AP14" s="20"/>
      <c r="AQ14" s="6" t="str">
        <f>IF(AQ13="ATIVO","1","0")</f>
        <v>0</v>
      </c>
      <c r="AS14" s="1890" t="s">
        <v>321</v>
      </c>
      <c r="AT14" s="1890"/>
      <c r="AU14" s="251" t="str">
        <f>G36</f>
        <v>NÃO</v>
      </c>
      <c r="AV14" s="20"/>
      <c r="AX14">
        <f>AT13+1</f>
        <v>10</v>
      </c>
    </row>
    <row r="15" spans="2:67" ht="15.75" customHeight="1" thickBot="1" x14ac:dyDescent="0.3">
      <c r="L15" s="65"/>
      <c r="M15" s="66" t="s">
        <v>319</v>
      </c>
      <c r="N15" s="67" t="s">
        <v>320</v>
      </c>
      <c r="O15" s="68"/>
      <c r="Q15" s="1887" t="s">
        <v>317</v>
      </c>
      <c r="R15" s="1888"/>
      <c r="S15" s="134">
        <f>SUM(S17:S26)</f>
        <v>3</v>
      </c>
      <c r="U15" s="1879"/>
      <c r="V15" s="1880"/>
      <c r="Y15" s="1877"/>
      <c r="Z15" s="1878"/>
      <c r="AA15" s="62"/>
      <c r="AC15" s="1877"/>
      <c r="AD15" s="1878"/>
      <c r="AE15" s="62"/>
      <c r="AG15" s="1875" t="s">
        <v>484</v>
      </c>
      <c r="AH15" s="1876"/>
      <c r="AI15" s="62"/>
      <c r="AK15" s="1872" t="str">
        <f>IF(E34&gt;0,E34,"")</f>
        <v>RETA</v>
      </c>
      <c r="AL15" s="1873"/>
      <c r="AM15" s="62"/>
      <c r="AO15" s="1891">
        <f>(SUM(AP23:AP32)/60)*AQ14</f>
        <v>0</v>
      </c>
      <c r="AP15" s="1892"/>
      <c r="AQ15" s="61"/>
      <c r="AR15" s="61"/>
      <c r="AS15" t="s">
        <v>303</v>
      </c>
      <c r="AT15" s="20"/>
      <c r="AU15" s="6" t="str">
        <f>IF(AU14="ATIVO","1","0")</f>
        <v>0</v>
      </c>
      <c r="AW15" s="1890" t="s">
        <v>322</v>
      </c>
      <c r="AX15" s="1890"/>
      <c r="AY15" s="251" t="str">
        <f>G37</f>
        <v>NÃO</v>
      </c>
      <c r="AZ15" s="20"/>
      <c r="BB15">
        <f>AX14+1</f>
        <v>11</v>
      </c>
    </row>
    <row r="16" spans="2:67" ht="15.75" customHeight="1" thickBot="1" x14ac:dyDescent="0.3">
      <c r="B16" s="1909" t="s">
        <v>252</v>
      </c>
      <c r="C16" s="1909"/>
      <c r="D16" s="1909"/>
      <c r="E16" s="1909"/>
      <c r="F16" s="1909"/>
      <c r="L16" s="69">
        <v>1</v>
      </c>
      <c r="M16" s="70" t="s">
        <v>455</v>
      </c>
      <c r="N16" s="71">
        <f>60*3</f>
        <v>180</v>
      </c>
      <c r="O16" s="133">
        <f>IF(N16&gt;0,1,0)</f>
        <v>1</v>
      </c>
      <c r="P16" s="65"/>
      <c r="Q16" s="66" t="s">
        <v>319</v>
      </c>
      <c r="R16" s="67" t="s">
        <v>320</v>
      </c>
      <c r="S16" s="68"/>
      <c r="U16" s="1887" t="s">
        <v>317</v>
      </c>
      <c r="V16" s="1888"/>
      <c r="W16" s="134">
        <f>SUM(W18:W27)</f>
        <v>3</v>
      </c>
      <c r="Y16" s="1879"/>
      <c r="Z16" s="1880"/>
      <c r="AC16" s="1877"/>
      <c r="AD16" s="1878"/>
      <c r="AE16" s="62"/>
      <c r="AG16" s="1877"/>
      <c r="AH16" s="1878"/>
      <c r="AI16" s="62"/>
      <c r="AK16" s="1875" t="s">
        <v>485</v>
      </c>
      <c r="AL16" s="1876"/>
      <c r="AM16" s="62"/>
      <c r="AO16" s="1872" t="str">
        <f>IF(E35&gt;0,E35,"")</f>
        <v>F</v>
      </c>
      <c r="AP16" s="1873"/>
      <c r="AQ16" s="62"/>
      <c r="AS16" s="1891">
        <f>(SUM(AT24:AT33)/60)*AU15</f>
        <v>0</v>
      </c>
      <c r="AT16" s="1892"/>
      <c r="AU16" s="61"/>
      <c r="AV16" s="61"/>
      <c r="AW16" t="s">
        <v>303</v>
      </c>
      <c r="AX16" s="20"/>
      <c r="AY16" s="6" t="str">
        <f>IF(AY15="ATIVO","1","0")</f>
        <v>0</v>
      </c>
      <c r="BA16" s="1890" t="s">
        <v>323</v>
      </c>
      <c r="BB16" s="1890"/>
      <c r="BC16" s="251" t="str">
        <f>G38</f>
        <v>NÃO</v>
      </c>
      <c r="BD16" s="20"/>
      <c r="BF16">
        <f>BB15+1</f>
        <v>12</v>
      </c>
    </row>
    <row r="17" spans="2:63" ht="15.75" customHeight="1" thickBot="1" x14ac:dyDescent="0.3">
      <c r="B17" s="1908" t="s">
        <v>253</v>
      </c>
      <c r="C17" s="1908"/>
      <c r="D17" s="1908"/>
      <c r="E17" s="1908"/>
      <c r="F17" s="5" t="s">
        <v>301</v>
      </c>
      <c r="L17" s="69">
        <v>2</v>
      </c>
      <c r="M17" s="70" t="s">
        <v>324</v>
      </c>
      <c r="N17" s="71">
        <f>60*3</f>
        <v>180</v>
      </c>
      <c r="O17" s="133">
        <f t="shared" ref="O17:O25" si="2">IF(N17&gt;0,1,0)</f>
        <v>1</v>
      </c>
      <c r="P17" s="69">
        <v>1</v>
      </c>
      <c r="Q17" s="70" t="s">
        <v>464</v>
      </c>
      <c r="R17" s="71">
        <f>40*2</f>
        <v>80</v>
      </c>
      <c r="S17" s="133">
        <f>IF(R17&gt;0,1,0)</f>
        <v>1</v>
      </c>
      <c r="T17" s="65"/>
      <c r="U17" s="66" t="s">
        <v>319</v>
      </c>
      <c r="V17" s="67" t="s">
        <v>320</v>
      </c>
      <c r="W17" s="68"/>
      <c r="Y17" s="1887" t="s">
        <v>317</v>
      </c>
      <c r="Z17" s="1888"/>
      <c r="AA17" s="134">
        <f>SUM(AA19:AA28)</f>
        <v>3</v>
      </c>
      <c r="AC17" s="1879"/>
      <c r="AD17" s="1880"/>
      <c r="AG17" s="1877"/>
      <c r="AH17" s="1878"/>
      <c r="AI17" s="62"/>
      <c r="AK17" s="1877"/>
      <c r="AL17" s="1878"/>
      <c r="AM17" s="62"/>
      <c r="AO17" s="1875"/>
      <c r="AP17" s="1876"/>
      <c r="AQ17" s="62"/>
      <c r="AS17" s="1872" t="str">
        <f>IF(E36&gt;0,E36,"")</f>
        <v>G</v>
      </c>
      <c r="AT17" s="1873"/>
      <c r="AU17" s="62"/>
      <c r="AW17" s="1891">
        <f>(SUM(AX25:AX34)/60)*AY16</f>
        <v>0</v>
      </c>
      <c r="AX17" s="1892"/>
      <c r="AY17" s="61"/>
      <c r="AZ17" s="61"/>
      <c r="BA17" t="s">
        <v>303</v>
      </c>
      <c r="BB17" s="20"/>
      <c r="BC17" s="6" t="str">
        <f>IF(BC16="ATIVO","1","0")</f>
        <v>0</v>
      </c>
      <c r="BE17" s="1890" t="s">
        <v>325</v>
      </c>
      <c r="BF17" s="1890"/>
      <c r="BG17" s="251" t="str">
        <f>G39</f>
        <v>NÃO</v>
      </c>
      <c r="BH17" s="20"/>
      <c r="BJ17">
        <f>BF16+1</f>
        <v>13</v>
      </c>
    </row>
    <row r="18" spans="2:63" ht="15.75" customHeight="1" thickBot="1" x14ac:dyDescent="0.3">
      <c r="B18" s="1908"/>
      <c r="C18" s="1908"/>
      <c r="D18" s="1908"/>
      <c r="E18" s="1908"/>
      <c r="F18" s="5" t="s">
        <v>189</v>
      </c>
      <c r="L18" s="69">
        <v>3</v>
      </c>
      <c r="M18" s="70" t="s">
        <v>463</v>
      </c>
      <c r="N18" s="71">
        <f>2*60</f>
        <v>120</v>
      </c>
      <c r="O18" s="133">
        <f t="shared" si="2"/>
        <v>1</v>
      </c>
      <c r="P18" s="69">
        <v>2</v>
      </c>
      <c r="Q18" s="70" t="s">
        <v>465</v>
      </c>
      <c r="R18" s="71">
        <f>40*2</f>
        <v>80</v>
      </c>
      <c r="S18" s="133">
        <f t="shared" ref="S18:S26" si="3">IF(R18&gt;0,1,0)</f>
        <v>1</v>
      </c>
      <c r="T18" s="69">
        <v>1</v>
      </c>
      <c r="U18" s="70" t="s">
        <v>466</v>
      </c>
      <c r="V18" s="71">
        <f>120*2</f>
        <v>240</v>
      </c>
      <c r="W18" s="133">
        <f>IF(V18&gt;0,1,0)</f>
        <v>1</v>
      </c>
      <c r="X18" s="65"/>
      <c r="Y18" s="66" t="s">
        <v>319</v>
      </c>
      <c r="Z18" s="67" t="s">
        <v>320</v>
      </c>
      <c r="AA18" s="68"/>
      <c r="AC18" s="1887" t="s">
        <v>317</v>
      </c>
      <c r="AD18" s="1888"/>
      <c r="AE18" s="134">
        <f>SUM(AE20:AE29)</f>
        <v>4</v>
      </c>
      <c r="AG18" s="1879"/>
      <c r="AH18" s="1880"/>
      <c r="AK18" s="1877"/>
      <c r="AL18" s="1878"/>
      <c r="AM18" s="62"/>
      <c r="AO18" s="1877"/>
      <c r="AP18" s="1878"/>
      <c r="AQ18" s="62"/>
      <c r="AS18" s="1875"/>
      <c r="AT18" s="1876"/>
      <c r="AU18" s="62"/>
      <c r="AW18" s="1872" t="str">
        <f>IF(E37&gt;0,E37,"")</f>
        <v>H</v>
      </c>
      <c r="AX18" s="1873"/>
      <c r="AY18" s="62"/>
      <c r="BA18" s="1891">
        <f>(SUM(BB26:BB35)/60)*BC17</f>
        <v>0</v>
      </c>
      <c r="BB18" s="1892"/>
      <c r="BC18" s="61"/>
      <c r="BD18" s="61"/>
      <c r="BE18" t="s">
        <v>303</v>
      </c>
      <c r="BF18" s="20"/>
      <c r="BG18" s="6" t="str">
        <f>IF(BG17="ATIVO","1","0")</f>
        <v>0</v>
      </c>
      <c r="BI18" s="1890" t="s">
        <v>327</v>
      </c>
      <c r="BJ18" s="1890"/>
      <c r="BK18" s="251" t="str">
        <f>G40</f>
        <v>NÃO</v>
      </c>
    </row>
    <row r="19" spans="2:63" ht="15.75" customHeight="1" thickBot="1" x14ac:dyDescent="0.3">
      <c r="B19" s="1908" t="s">
        <v>326</v>
      </c>
      <c r="C19" s="1908"/>
      <c r="D19" s="1908"/>
      <c r="E19" s="1908"/>
      <c r="F19" s="1908"/>
      <c r="L19" s="69">
        <v>4</v>
      </c>
      <c r="M19" s="70" t="s">
        <v>337</v>
      </c>
      <c r="N19" s="71">
        <v>10</v>
      </c>
      <c r="O19" s="133">
        <f t="shared" si="2"/>
        <v>1</v>
      </c>
      <c r="P19" s="69">
        <v>3</v>
      </c>
      <c r="Q19" s="70" t="s">
        <v>337</v>
      </c>
      <c r="R19" s="71">
        <v>10</v>
      </c>
      <c r="S19" s="133">
        <f t="shared" si="3"/>
        <v>1</v>
      </c>
      <c r="T19" s="69">
        <v>2</v>
      </c>
      <c r="U19" s="70" t="s">
        <v>407</v>
      </c>
      <c r="V19" s="71">
        <f>120*2</f>
        <v>240</v>
      </c>
      <c r="W19" s="133">
        <f t="shared" ref="W19:W27" si="4">IF(V19&gt;0,1,0)</f>
        <v>1</v>
      </c>
      <c r="X19" s="69">
        <v>1</v>
      </c>
      <c r="Y19" s="70" t="s">
        <v>470</v>
      </c>
      <c r="Z19" s="71">
        <f>40*2</f>
        <v>80</v>
      </c>
      <c r="AA19" s="133">
        <f>IF(Z19&gt;0,1,0)</f>
        <v>1</v>
      </c>
      <c r="AB19" s="65"/>
      <c r="AC19" s="66" t="s">
        <v>319</v>
      </c>
      <c r="AD19" s="67" t="s">
        <v>320</v>
      </c>
      <c r="AE19" s="68"/>
      <c r="AG19" s="1887" t="s">
        <v>317</v>
      </c>
      <c r="AH19" s="1888"/>
      <c r="AI19" s="134">
        <f>SUM(AI21:AI30)</f>
        <v>3</v>
      </c>
      <c r="AK19" s="1879"/>
      <c r="AL19" s="1880"/>
      <c r="AO19" s="1877"/>
      <c r="AP19" s="1878"/>
      <c r="AQ19" s="62"/>
      <c r="AS19" s="1877"/>
      <c r="AT19" s="1878"/>
      <c r="AU19" s="62"/>
      <c r="AW19" s="1875"/>
      <c r="AX19" s="1876"/>
      <c r="AY19" s="62"/>
      <c r="BA19" s="1872" t="str">
        <f>IF(E38&gt;0,E38,"")</f>
        <v>I</v>
      </c>
      <c r="BB19" s="1873"/>
      <c r="BC19" s="62"/>
      <c r="BE19" s="1891">
        <f>(SUM(BF27:BF36)/60)*BG18</f>
        <v>0</v>
      </c>
      <c r="BF19" s="1892"/>
      <c r="BG19" s="61"/>
      <c r="BH19" s="61"/>
      <c r="BI19" t="s">
        <v>303</v>
      </c>
      <c r="BJ19" s="20"/>
      <c r="BK19" s="6" t="str">
        <f>IF(BK18="ATIVO","1","0")</f>
        <v>0</v>
      </c>
    </row>
    <row r="20" spans="2:63" ht="15.75" customHeight="1" thickBot="1" x14ac:dyDescent="0.3">
      <c r="B20" s="1908"/>
      <c r="C20" s="1908"/>
      <c r="D20" s="1908"/>
      <c r="E20" s="1908"/>
      <c r="F20" s="1908"/>
      <c r="L20" s="69">
        <v>5</v>
      </c>
      <c r="M20" s="70"/>
      <c r="N20" s="71"/>
      <c r="O20" s="133">
        <f t="shared" si="2"/>
        <v>0</v>
      </c>
      <c r="P20" s="69">
        <v>4</v>
      </c>
      <c r="Q20" s="70"/>
      <c r="R20" s="71"/>
      <c r="S20" s="133">
        <f t="shared" si="3"/>
        <v>0</v>
      </c>
      <c r="T20" s="69">
        <v>3</v>
      </c>
      <c r="U20" s="70" t="s">
        <v>337</v>
      </c>
      <c r="V20" s="71">
        <v>10</v>
      </c>
      <c r="W20" s="133">
        <f t="shared" si="4"/>
        <v>1</v>
      </c>
      <c r="X20" s="69">
        <v>2</v>
      </c>
      <c r="Y20" s="70" t="s">
        <v>471</v>
      </c>
      <c r="Z20" s="71">
        <f>60*2.5</f>
        <v>150</v>
      </c>
      <c r="AA20" s="133">
        <f t="shared" ref="AA20:AA28" si="5">IF(Z20&gt;0,1,0)</f>
        <v>1</v>
      </c>
      <c r="AB20" s="69">
        <v>1</v>
      </c>
      <c r="AC20" s="70" t="s">
        <v>470</v>
      </c>
      <c r="AD20" s="71">
        <f>40*2</f>
        <v>80</v>
      </c>
      <c r="AE20" s="133">
        <f>IF(AD20&gt;0,1,0)</f>
        <v>1</v>
      </c>
      <c r="AF20" s="65"/>
      <c r="AG20" s="66" t="s">
        <v>319</v>
      </c>
      <c r="AH20" s="67" t="s">
        <v>320</v>
      </c>
      <c r="AI20" s="68"/>
      <c r="AK20" s="1887" t="s">
        <v>317</v>
      </c>
      <c r="AL20" s="1888"/>
      <c r="AM20" s="134">
        <f>SUM(AM22:AM31)</f>
        <v>5</v>
      </c>
      <c r="AO20" s="1879"/>
      <c r="AP20" s="1880"/>
      <c r="AS20" s="1877"/>
      <c r="AT20" s="1878"/>
      <c r="AU20" s="62"/>
      <c r="AW20" s="1877"/>
      <c r="AX20" s="1878"/>
      <c r="AY20" s="62"/>
      <c r="BA20" s="1875"/>
      <c r="BB20" s="1876"/>
      <c r="BC20" s="62"/>
      <c r="BE20" s="1872" t="str">
        <f>IF(E39&gt;0,E39,"")</f>
        <v>J</v>
      </c>
      <c r="BF20" s="1873"/>
      <c r="BG20" s="62"/>
      <c r="BI20" s="1891">
        <f>(SUM(BJ28:BJ37)/60)*BK19</f>
        <v>0</v>
      </c>
      <c r="BJ20" s="1892"/>
      <c r="BK20" s="61"/>
    </row>
    <row r="21" spans="2:63" ht="15.75" customHeight="1" thickBot="1" x14ac:dyDescent="0.3">
      <c r="B21" s="1908"/>
      <c r="C21" s="1908"/>
      <c r="D21" s="1908"/>
      <c r="E21" s="1908"/>
      <c r="F21" s="1908"/>
      <c r="L21" s="69">
        <v>6</v>
      </c>
      <c r="M21" s="70"/>
      <c r="N21" s="71"/>
      <c r="O21" s="133">
        <f t="shared" si="2"/>
        <v>0</v>
      </c>
      <c r="P21" s="69">
        <v>5</v>
      </c>
      <c r="Q21" s="70"/>
      <c r="R21" s="71"/>
      <c r="S21" s="133">
        <f t="shared" si="3"/>
        <v>0</v>
      </c>
      <c r="T21" s="69">
        <v>4</v>
      </c>
      <c r="U21" s="70"/>
      <c r="V21" s="71"/>
      <c r="W21" s="133">
        <f t="shared" si="4"/>
        <v>0</v>
      </c>
      <c r="X21" s="69">
        <v>3</v>
      </c>
      <c r="Y21" s="70" t="s">
        <v>337</v>
      </c>
      <c r="Z21" s="71">
        <v>10</v>
      </c>
      <c r="AA21" s="133">
        <f t="shared" si="5"/>
        <v>1</v>
      </c>
      <c r="AB21" s="69">
        <v>2</v>
      </c>
      <c r="AC21" s="70" t="s">
        <v>472</v>
      </c>
      <c r="AD21" s="71">
        <f>40*2</f>
        <v>80</v>
      </c>
      <c r="AE21" s="133">
        <f t="shared" ref="AE21:AE29" si="6">IF(AD21&gt;0,1,0)</f>
        <v>1</v>
      </c>
      <c r="AF21" s="69">
        <v>1</v>
      </c>
      <c r="AG21" s="70" t="s">
        <v>475</v>
      </c>
      <c r="AH21" s="71">
        <f>45*2</f>
        <v>90</v>
      </c>
      <c r="AI21" s="133">
        <f>IF(AH21&gt;0,1,0)</f>
        <v>1</v>
      </c>
      <c r="AJ21" s="65"/>
      <c r="AK21" s="66" t="s">
        <v>319</v>
      </c>
      <c r="AL21" s="67" t="s">
        <v>320</v>
      </c>
      <c r="AM21" s="68"/>
      <c r="AO21" s="1887" t="s">
        <v>317</v>
      </c>
      <c r="AP21" s="1888"/>
      <c r="AQ21" s="134">
        <f>SUM(AQ23:AQ32)</f>
        <v>0</v>
      </c>
      <c r="AS21" s="1879"/>
      <c r="AT21" s="1880"/>
      <c r="AW21" s="1877"/>
      <c r="AX21" s="1878"/>
      <c r="AY21" s="62"/>
      <c r="BA21" s="1877"/>
      <c r="BB21" s="1878"/>
      <c r="BC21" s="62"/>
      <c r="BE21" s="1875"/>
      <c r="BF21" s="1876"/>
      <c r="BG21" s="62"/>
      <c r="BI21" s="1872" t="str">
        <f>IF(E40&gt;0,E40,"")</f>
        <v>K</v>
      </c>
      <c r="BJ21" s="1873"/>
      <c r="BK21" s="62"/>
    </row>
    <row r="22" spans="2:63" ht="15.75" customHeight="1" thickBot="1" x14ac:dyDescent="0.3">
      <c r="B22" s="1908" t="s">
        <v>17</v>
      </c>
      <c r="C22" s="1908"/>
      <c r="D22" s="1908"/>
      <c r="E22" s="1908"/>
      <c r="F22" s="121" t="s">
        <v>23</v>
      </c>
      <c r="L22" s="69">
        <v>7</v>
      </c>
      <c r="M22" s="70"/>
      <c r="N22" s="71"/>
      <c r="O22" s="133">
        <f t="shared" si="2"/>
        <v>0</v>
      </c>
      <c r="P22" s="69">
        <v>6</v>
      </c>
      <c r="Q22" s="70"/>
      <c r="R22" s="71"/>
      <c r="S22" s="133">
        <f t="shared" si="3"/>
        <v>0</v>
      </c>
      <c r="T22" s="69">
        <v>5</v>
      </c>
      <c r="U22" s="70"/>
      <c r="V22" s="71"/>
      <c r="W22" s="133">
        <f t="shared" si="4"/>
        <v>0</v>
      </c>
      <c r="X22" s="69">
        <v>4</v>
      </c>
      <c r="Y22" s="70"/>
      <c r="Z22" s="71"/>
      <c r="AA22" s="133">
        <f t="shared" si="5"/>
        <v>0</v>
      </c>
      <c r="AB22" s="69">
        <v>3</v>
      </c>
      <c r="AC22" s="70" t="s">
        <v>471</v>
      </c>
      <c r="AD22" s="71">
        <v>150</v>
      </c>
      <c r="AE22" s="133">
        <f t="shared" si="6"/>
        <v>1</v>
      </c>
      <c r="AF22" s="69">
        <v>2</v>
      </c>
      <c r="AG22" s="70" t="s">
        <v>483</v>
      </c>
      <c r="AH22" s="71">
        <f>45*2</f>
        <v>90</v>
      </c>
      <c r="AI22" s="133">
        <f t="shared" ref="AI22:AI30" si="7">IF(AH22&gt;0,1,0)</f>
        <v>1</v>
      </c>
      <c r="AJ22" s="69">
        <v>1</v>
      </c>
      <c r="AK22" s="70" t="s">
        <v>473</v>
      </c>
      <c r="AL22" s="71">
        <f>45*4</f>
        <v>180</v>
      </c>
      <c r="AM22" s="133">
        <f>IF(AL22&gt;0,1,0)</f>
        <v>1</v>
      </c>
      <c r="AN22" s="65"/>
      <c r="AO22" s="66" t="s">
        <v>319</v>
      </c>
      <c r="AP22" s="67" t="s">
        <v>320</v>
      </c>
      <c r="AQ22" s="68"/>
      <c r="AS22" s="1887" t="s">
        <v>317</v>
      </c>
      <c r="AT22" s="1888"/>
      <c r="AU22" s="134">
        <f>SUM(AU24:AU33)</f>
        <v>0</v>
      </c>
      <c r="AW22" s="1879"/>
      <c r="AX22" s="1880"/>
      <c r="BA22" s="1877"/>
      <c r="BB22" s="1878"/>
      <c r="BC22" s="62"/>
      <c r="BE22" s="1877"/>
      <c r="BF22" s="1878"/>
      <c r="BG22" s="62"/>
      <c r="BI22" s="1875"/>
      <c r="BJ22" s="1876"/>
      <c r="BK22" s="62"/>
    </row>
    <row r="23" spans="2:63" ht="15.75" thickBot="1" x14ac:dyDescent="0.3">
      <c r="B23" s="1908"/>
      <c r="C23" s="1908"/>
      <c r="D23" s="1908"/>
      <c r="E23" s="1908"/>
      <c r="F23" s="121" t="s">
        <v>67</v>
      </c>
      <c r="L23" s="69">
        <v>8</v>
      </c>
      <c r="M23" s="70"/>
      <c r="N23" s="71"/>
      <c r="O23" s="133">
        <f t="shared" si="2"/>
        <v>0</v>
      </c>
      <c r="P23" s="69">
        <v>7</v>
      </c>
      <c r="Q23" s="70"/>
      <c r="R23" s="71"/>
      <c r="S23" s="133">
        <f t="shared" si="3"/>
        <v>0</v>
      </c>
      <c r="T23" s="69">
        <v>6</v>
      </c>
      <c r="U23" s="70"/>
      <c r="V23" s="71"/>
      <c r="W23" s="133">
        <f t="shared" si="4"/>
        <v>0</v>
      </c>
      <c r="X23" s="69">
        <v>5</v>
      </c>
      <c r="Y23" s="70"/>
      <c r="Z23" s="71"/>
      <c r="AA23" s="133">
        <f t="shared" si="5"/>
        <v>0</v>
      </c>
      <c r="AB23" s="69">
        <v>4</v>
      </c>
      <c r="AC23" s="70" t="s">
        <v>337</v>
      </c>
      <c r="AD23" s="71">
        <v>10</v>
      </c>
      <c r="AE23" s="133">
        <f t="shared" si="6"/>
        <v>1</v>
      </c>
      <c r="AF23" s="69">
        <v>3</v>
      </c>
      <c r="AG23" s="70" t="s">
        <v>337</v>
      </c>
      <c r="AH23" s="71">
        <v>10</v>
      </c>
      <c r="AI23" s="133">
        <f t="shared" si="7"/>
        <v>1</v>
      </c>
      <c r="AJ23" s="69">
        <v>2</v>
      </c>
      <c r="AK23" s="70" t="s">
        <v>474</v>
      </c>
      <c r="AL23" s="71">
        <f>60*2</f>
        <v>120</v>
      </c>
      <c r="AM23" s="133">
        <f t="shared" ref="AM23:AM31" si="8">IF(AL23&gt;0,1,0)</f>
        <v>1</v>
      </c>
      <c r="AN23" s="69">
        <v>1</v>
      </c>
      <c r="AO23" s="70"/>
      <c r="AP23" s="71"/>
      <c r="AQ23" s="133">
        <f>IF(AP23&gt;0,1,0)</f>
        <v>0</v>
      </c>
      <c r="AR23" s="65"/>
      <c r="AS23" s="66" t="s">
        <v>319</v>
      </c>
      <c r="AT23" s="67" t="s">
        <v>320</v>
      </c>
      <c r="AU23" s="68"/>
      <c r="AW23" s="1887" t="s">
        <v>317</v>
      </c>
      <c r="AX23" s="1888"/>
      <c r="AY23" s="134">
        <f>SUM(AY25:AY34)</f>
        <v>0</v>
      </c>
      <c r="BA23" s="1879"/>
      <c r="BB23" s="1880"/>
      <c r="BE23" s="1877"/>
      <c r="BF23" s="1878"/>
      <c r="BG23" s="62"/>
      <c r="BI23" s="1877"/>
      <c r="BJ23" s="1878"/>
      <c r="BK23" s="62"/>
    </row>
    <row r="24" spans="2:63" ht="15.75" thickBot="1" x14ac:dyDescent="0.3">
      <c r="L24" s="69">
        <v>9</v>
      </c>
      <c r="M24" s="70"/>
      <c r="N24" s="71"/>
      <c r="O24" s="133">
        <f t="shared" si="2"/>
        <v>0</v>
      </c>
      <c r="P24" s="69">
        <v>8</v>
      </c>
      <c r="Q24" s="70"/>
      <c r="R24" s="71"/>
      <c r="S24" s="133">
        <f t="shared" si="3"/>
        <v>0</v>
      </c>
      <c r="T24" s="69">
        <v>7</v>
      </c>
      <c r="U24" s="70"/>
      <c r="V24" s="71"/>
      <c r="W24" s="133">
        <f t="shared" si="4"/>
        <v>0</v>
      </c>
      <c r="X24" s="69">
        <v>6</v>
      </c>
      <c r="Y24" s="70"/>
      <c r="Z24" s="71"/>
      <c r="AA24" s="133">
        <f t="shared" si="5"/>
        <v>0</v>
      </c>
      <c r="AB24" s="69">
        <v>5</v>
      </c>
      <c r="AC24" s="70"/>
      <c r="AD24" s="71"/>
      <c r="AE24" s="133">
        <f t="shared" si="6"/>
        <v>0</v>
      </c>
      <c r="AF24" s="69">
        <v>4</v>
      </c>
      <c r="AG24" s="70"/>
      <c r="AH24" s="71"/>
      <c r="AI24" s="133">
        <f t="shared" si="7"/>
        <v>0</v>
      </c>
      <c r="AJ24" s="69">
        <v>3</v>
      </c>
      <c r="AK24" s="70" t="s">
        <v>475</v>
      </c>
      <c r="AL24" s="71">
        <f>60*3</f>
        <v>180</v>
      </c>
      <c r="AM24" s="133">
        <f t="shared" si="8"/>
        <v>1</v>
      </c>
      <c r="AN24" s="69">
        <v>2</v>
      </c>
      <c r="AO24" s="70"/>
      <c r="AP24" s="71"/>
      <c r="AQ24" s="133">
        <f t="shared" ref="AQ24:AQ32" si="9">IF(AP24&gt;0,1,0)</f>
        <v>0</v>
      </c>
      <c r="AR24" s="69">
        <v>1</v>
      </c>
      <c r="AS24" s="70"/>
      <c r="AT24" s="71"/>
      <c r="AU24" s="133">
        <f>IF(AT24&gt;0,1,0)</f>
        <v>0</v>
      </c>
      <c r="AV24" s="65"/>
      <c r="AW24" s="66" t="s">
        <v>319</v>
      </c>
      <c r="AX24" s="67" t="s">
        <v>320</v>
      </c>
      <c r="AY24" s="68"/>
      <c r="BA24" s="1887" t="s">
        <v>317</v>
      </c>
      <c r="BB24" s="1888"/>
      <c r="BC24" s="134">
        <f>SUM(BC26:BC35)</f>
        <v>0</v>
      </c>
      <c r="BE24" s="1879"/>
      <c r="BF24" s="1880"/>
      <c r="BI24" s="1877"/>
      <c r="BJ24" s="1878"/>
      <c r="BK24" s="62"/>
    </row>
    <row r="25" spans="2:63" ht="15.75" thickBot="1" x14ac:dyDescent="0.3">
      <c r="B25" s="1906" t="str">
        <f>J4</f>
        <v>OPERAÇÃO PRINCIPAL</v>
      </c>
      <c r="C25" s="1906"/>
      <c r="D25" s="1906"/>
      <c r="E25" s="1906"/>
      <c r="F25" s="1906"/>
      <c r="G25" s="1906"/>
      <c r="H25" s="1906"/>
      <c r="L25" s="69">
        <v>10</v>
      </c>
      <c r="M25" s="72"/>
      <c r="N25" s="73"/>
      <c r="O25" s="133">
        <f t="shared" si="2"/>
        <v>0</v>
      </c>
      <c r="P25" s="69">
        <v>9</v>
      </c>
      <c r="Q25" s="70"/>
      <c r="R25" s="71"/>
      <c r="S25" s="133">
        <f t="shared" si="3"/>
        <v>0</v>
      </c>
      <c r="T25" s="69">
        <v>8</v>
      </c>
      <c r="U25" s="70"/>
      <c r="V25" s="71"/>
      <c r="W25" s="133">
        <f t="shared" si="4"/>
        <v>0</v>
      </c>
      <c r="X25" s="69">
        <v>7</v>
      </c>
      <c r="Y25" s="70"/>
      <c r="Z25" s="71"/>
      <c r="AA25" s="133">
        <f t="shared" si="5"/>
        <v>0</v>
      </c>
      <c r="AB25" s="69">
        <v>6</v>
      </c>
      <c r="AC25" s="70"/>
      <c r="AD25" s="71"/>
      <c r="AE25" s="133">
        <f t="shared" si="6"/>
        <v>0</v>
      </c>
      <c r="AF25" s="69">
        <v>5</v>
      </c>
      <c r="AG25" s="70"/>
      <c r="AH25" s="71"/>
      <c r="AI25" s="133">
        <f t="shared" si="7"/>
        <v>0</v>
      </c>
      <c r="AJ25" s="69">
        <v>4</v>
      </c>
      <c r="AK25" s="70" t="s">
        <v>476</v>
      </c>
      <c r="AL25" s="71">
        <f>60*2</f>
        <v>120</v>
      </c>
      <c r="AM25" s="133">
        <f t="shared" si="8"/>
        <v>1</v>
      </c>
      <c r="AN25" s="69">
        <v>3</v>
      </c>
      <c r="AO25" s="70"/>
      <c r="AP25" s="71"/>
      <c r="AQ25" s="133">
        <f t="shared" si="9"/>
        <v>0</v>
      </c>
      <c r="AR25" s="69">
        <v>2</v>
      </c>
      <c r="AS25" s="70"/>
      <c r="AT25" s="71"/>
      <c r="AU25" s="133">
        <f t="shared" ref="AU25:AU33" si="10">IF(AT25&gt;0,1,0)</f>
        <v>0</v>
      </c>
      <c r="AV25" s="69">
        <v>1</v>
      </c>
      <c r="AW25" s="70"/>
      <c r="AX25" s="71"/>
      <c r="AY25" s="133">
        <f>IF(AX25&gt;0,1,0)</f>
        <v>0</v>
      </c>
      <c r="AZ25" s="65"/>
      <c r="BA25" s="66" t="s">
        <v>319</v>
      </c>
      <c r="BB25" s="67" t="s">
        <v>320</v>
      </c>
      <c r="BC25" s="68"/>
      <c r="BE25" s="1887" t="s">
        <v>317</v>
      </c>
      <c r="BF25" s="1888"/>
      <c r="BG25" s="134">
        <f>SUM(BG27:BG36)</f>
        <v>0</v>
      </c>
      <c r="BI25" s="1879"/>
      <c r="BJ25" s="1880"/>
    </row>
    <row r="26" spans="2:63" ht="15.75" thickBot="1" x14ac:dyDescent="0.3">
      <c r="B26" s="1893" t="s">
        <v>328</v>
      </c>
      <c r="C26" s="1893"/>
      <c r="D26" s="1893"/>
      <c r="E26" s="1893"/>
      <c r="F26" s="1893"/>
      <c r="G26" s="1893"/>
      <c r="H26" s="1893"/>
      <c r="K26" s="74"/>
      <c r="P26" s="69">
        <v>10</v>
      </c>
      <c r="Q26" s="72"/>
      <c r="R26" s="73"/>
      <c r="S26" s="133">
        <f t="shared" si="3"/>
        <v>0</v>
      </c>
      <c r="T26" s="69">
        <v>9</v>
      </c>
      <c r="U26" s="70"/>
      <c r="V26" s="71"/>
      <c r="W26" s="133">
        <f t="shared" si="4"/>
        <v>0</v>
      </c>
      <c r="X26" s="69">
        <v>8</v>
      </c>
      <c r="Y26" s="70"/>
      <c r="Z26" s="71"/>
      <c r="AA26" s="133">
        <f t="shared" si="5"/>
        <v>0</v>
      </c>
      <c r="AB26" s="69">
        <v>7</v>
      </c>
      <c r="AC26" s="70"/>
      <c r="AD26" s="71"/>
      <c r="AE26" s="133">
        <f t="shared" si="6"/>
        <v>0</v>
      </c>
      <c r="AF26" s="69">
        <v>6</v>
      </c>
      <c r="AG26" s="70"/>
      <c r="AH26" s="71"/>
      <c r="AI26" s="133">
        <f t="shared" si="7"/>
        <v>0</v>
      </c>
      <c r="AJ26" s="69">
        <v>5</v>
      </c>
      <c r="AK26" s="70" t="s">
        <v>337</v>
      </c>
      <c r="AL26" s="71">
        <v>10</v>
      </c>
      <c r="AM26" s="133">
        <f t="shared" si="8"/>
        <v>1</v>
      </c>
      <c r="AN26" s="69">
        <v>4</v>
      </c>
      <c r="AO26" s="70"/>
      <c r="AP26" s="71"/>
      <c r="AQ26" s="133">
        <f t="shared" si="9"/>
        <v>0</v>
      </c>
      <c r="AR26" s="69">
        <v>3</v>
      </c>
      <c r="AS26" s="70"/>
      <c r="AT26" s="71"/>
      <c r="AU26" s="133">
        <f t="shared" si="10"/>
        <v>0</v>
      </c>
      <c r="AV26" s="69">
        <v>2</v>
      </c>
      <c r="AW26" s="70"/>
      <c r="AX26" s="71"/>
      <c r="AY26" s="133">
        <f t="shared" ref="AY26:AY34" si="11">IF(AX26&gt;0,1,0)</f>
        <v>0</v>
      </c>
      <c r="AZ26" s="69">
        <v>1</v>
      </c>
      <c r="BA26" s="70"/>
      <c r="BB26" s="71"/>
      <c r="BC26" s="133">
        <f>IF(BB26&gt;0,1,0)</f>
        <v>0</v>
      </c>
      <c r="BD26" s="65"/>
      <c r="BE26" s="66" t="s">
        <v>319</v>
      </c>
      <c r="BF26" s="67" t="s">
        <v>320</v>
      </c>
      <c r="BG26" s="68"/>
      <c r="BI26" s="1887" t="s">
        <v>317</v>
      </c>
      <c r="BJ26" s="1888"/>
      <c r="BK26" s="134">
        <f>SUM(BK28:BK37)</f>
        <v>0</v>
      </c>
    </row>
    <row r="27" spans="2:63" ht="15.75" thickBot="1" x14ac:dyDescent="0.3">
      <c r="B27" t="s">
        <v>330</v>
      </c>
      <c r="C27" s="1903" t="s">
        <v>331</v>
      </c>
      <c r="D27" s="1904"/>
      <c r="E27" s="1905" t="s">
        <v>398</v>
      </c>
      <c r="F27" s="1904"/>
      <c r="G27" s="8" t="s">
        <v>329</v>
      </c>
      <c r="H27" s="8" t="s">
        <v>395</v>
      </c>
      <c r="T27" s="69">
        <v>10</v>
      </c>
      <c r="U27" s="72"/>
      <c r="V27" s="73"/>
      <c r="W27" s="133">
        <f t="shared" si="4"/>
        <v>0</v>
      </c>
      <c r="X27" s="69">
        <v>9</v>
      </c>
      <c r="Y27" s="70"/>
      <c r="Z27" s="71"/>
      <c r="AA27" s="133">
        <f t="shared" si="5"/>
        <v>0</v>
      </c>
      <c r="AB27" s="69">
        <v>8</v>
      </c>
      <c r="AC27" s="70"/>
      <c r="AD27" s="71"/>
      <c r="AE27" s="133">
        <f t="shared" si="6"/>
        <v>0</v>
      </c>
      <c r="AF27" s="69">
        <v>7</v>
      </c>
      <c r="AG27" s="70"/>
      <c r="AH27" s="71"/>
      <c r="AI27" s="133">
        <f t="shared" si="7"/>
        <v>0</v>
      </c>
      <c r="AJ27" s="69">
        <v>6</v>
      </c>
      <c r="AK27" s="70"/>
      <c r="AL27" s="71"/>
      <c r="AM27" s="133">
        <f t="shared" si="8"/>
        <v>0</v>
      </c>
      <c r="AN27" s="69">
        <v>5</v>
      </c>
      <c r="AO27" s="70"/>
      <c r="AP27" s="71"/>
      <c r="AQ27" s="133">
        <f t="shared" si="9"/>
        <v>0</v>
      </c>
      <c r="AR27" s="69">
        <v>4</v>
      </c>
      <c r="AS27" s="70"/>
      <c r="AT27" s="71"/>
      <c r="AU27" s="133">
        <f t="shared" si="10"/>
        <v>0</v>
      </c>
      <c r="AV27" s="69">
        <v>3</v>
      </c>
      <c r="AW27" s="70"/>
      <c r="AX27" s="71"/>
      <c r="AY27" s="133">
        <f t="shared" si="11"/>
        <v>0</v>
      </c>
      <c r="AZ27" s="69">
        <v>2</v>
      </c>
      <c r="BA27" s="70"/>
      <c r="BB27" s="71"/>
      <c r="BC27" s="133">
        <f t="shared" ref="BC27:BC35" si="12">IF(BB27&gt;0,1,0)</f>
        <v>0</v>
      </c>
      <c r="BD27" s="69">
        <v>1</v>
      </c>
      <c r="BE27" s="70"/>
      <c r="BF27" s="71"/>
      <c r="BG27" s="133">
        <f>IF(BF27&gt;0,1,0)</f>
        <v>0</v>
      </c>
      <c r="BH27" s="65"/>
      <c r="BI27" s="66" t="s">
        <v>319</v>
      </c>
      <c r="BJ27" s="67" t="s">
        <v>320</v>
      </c>
      <c r="BK27" s="68"/>
    </row>
    <row r="28" spans="2:63" ht="15.75" thickBot="1" x14ac:dyDescent="0.3">
      <c r="B28" s="241" t="s">
        <v>300</v>
      </c>
      <c r="C28" s="1894" t="s">
        <v>456</v>
      </c>
      <c r="D28" s="1895"/>
      <c r="E28" s="1896" t="s">
        <v>332</v>
      </c>
      <c r="F28" s="1897"/>
      <c r="G28" s="190" t="s">
        <v>301</v>
      </c>
      <c r="H28" s="82">
        <f>IF(M8&gt;0,M8,"")</f>
        <v>8.1666666666666661</v>
      </c>
      <c r="X28" s="69">
        <v>10</v>
      </c>
      <c r="Y28" s="72"/>
      <c r="Z28" s="73"/>
      <c r="AA28" s="133">
        <f t="shared" si="5"/>
        <v>0</v>
      </c>
      <c r="AB28" s="69">
        <v>9</v>
      </c>
      <c r="AC28" s="70"/>
      <c r="AD28" s="71"/>
      <c r="AE28" s="133">
        <f t="shared" si="6"/>
        <v>0</v>
      </c>
      <c r="AF28" s="69">
        <v>8</v>
      </c>
      <c r="AG28" s="70"/>
      <c r="AH28" s="71"/>
      <c r="AI28" s="133">
        <f t="shared" si="7"/>
        <v>0</v>
      </c>
      <c r="AJ28" s="69">
        <v>7</v>
      </c>
      <c r="AK28" s="70"/>
      <c r="AL28" s="71"/>
      <c r="AM28" s="133">
        <f t="shared" si="8"/>
        <v>0</v>
      </c>
      <c r="AN28" s="69">
        <v>6</v>
      </c>
      <c r="AO28" s="70"/>
      <c r="AP28" s="71"/>
      <c r="AQ28" s="133">
        <f t="shared" si="9"/>
        <v>0</v>
      </c>
      <c r="AR28" s="69">
        <v>5</v>
      </c>
      <c r="AS28" s="70"/>
      <c r="AT28" s="71"/>
      <c r="AU28" s="133">
        <f t="shared" si="10"/>
        <v>0</v>
      </c>
      <c r="AV28" s="69">
        <v>4</v>
      </c>
      <c r="AW28" s="70"/>
      <c r="AX28" s="71"/>
      <c r="AY28" s="133">
        <f t="shared" si="11"/>
        <v>0</v>
      </c>
      <c r="AZ28" s="69">
        <v>3</v>
      </c>
      <c r="BA28" s="70"/>
      <c r="BB28" s="71"/>
      <c r="BC28" s="133">
        <f t="shared" si="12"/>
        <v>0</v>
      </c>
      <c r="BD28" s="69">
        <v>2</v>
      </c>
      <c r="BE28" s="70"/>
      <c r="BF28" s="71"/>
      <c r="BG28" s="133">
        <f t="shared" ref="BG28:BG36" si="13">IF(BF28&gt;0,1,0)</f>
        <v>0</v>
      </c>
      <c r="BH28" s="69">
        <v>1</v>
      </c>
      <c r="BI28" s="70"/>
      <c r="BJ28" s="71"/>
      <c r="BK28" s="133">
        <f>IF(BJ28&gt;0,1,0)</f>
        <v>0</v>
      </c>
    </row>
    <row r="29" spans="2:63" ht="15.75" thickBot="1" x14ac:dyDescent="0.3">
      <c r="B29" s="242" t="s">
        <v>304</v>
      </c>
      <c r="C29" s="1894" t="s">
        <v>459</v>
      </c>
      <c r="D29" s="1895"/>
      <c r="E29" s="1894" t="s">
        <v>332</v>
      </c>
      <c r="F29" s="1895"/>
      <c r="G29" s="190" t="s">
        <v>301</v>
      </c>
      <c r="H29" s="82">
        <f>IF(Q9&gt;0,Q9,"")</f>
        <v>2.8333333333333335</v>
      </c>
      <c r="AB29" s="69">
        <v>10</v>
      </c>
      <c r="AC29" s="72"/>
      <c r="AD29" s="73"/>
      <c r="AE29" s="133">
        <f t="shared" si="6"/>
        <v>0</v>
      </c>
      <c r="AF29" s="69">
        <v>9</v>
      </c>
      <c r="AG29" s="70"/>
      <c r="AH29" s="71"/>
      <c r="AI29" s="133">
        <f t="shared" si="7"/>
        <v>0</v>
      </c>
      <c r="AJ29" s="69">
        <v>8</v>
      </c>
      <c r="AK29" s="70"/>
      <c r="AL29" s="71"/>
      <c r="AM29" s="133">
        <f t="shared" si="8"/>
        <v>0</v>
      </c>
      <c r="AN29" s="69">
        <v>7</v>
      </c>
      <c r="AO29" s="70"/>
      <c r="AP29" s="71"/>
      <c r="AQ29" s="133">
        <f t="shared" si="9"/>
        <v>0</v>
      </c>
      <c r="AR29" s="69">
        <v>6</v>
      </c>
      <c r="AS29" s="70"/>
      <c r="AT29" s="71"/>
      <c r="AU29" s="133">
        <f t="shared" si="10"/>
        <v>0</v>
      </c>
      <c r="AV29" s="69">
        <v>5</v>
      </c>
      <c r="AW29" s="70"/>
      <c r="AX29" s="71"/>
      <c r="AY29" s="133">
        <f t="shared" si="11"/>
        <v>0</v>
      </c>
      <c r="AZ29" s="69">
        <v>4</v>
      </c>
      <c r="BA29" s="70"/>
      <c r="BB29" s="71"/>
      <c r="BC29" s="133">
        <f t="shared" si="12"/>
        <v>0</v>
      </c>
      <c r="BD29" s="69">
        <v>3</v>
      </c>
      <c r="BE29" s="70"/>
      <c r="BF29" s="71"/>
      <c r="BG29" s="133">
        <f t="shared" si="13"/>
        <v>0</v>
      </c>
      <c r="BH29" s="69">
        <v>2</v>
      </c>
      <c r="BI29" s="70"/>
      <c r="BJ29" s="71"/>
      <c r="BK29" s="133">
        <f t="shared" ref="BK29:BK37" si="14">IF(BJ29&gt;0,1,0)</f>
        <v>0</v>
      </c>
    </row>
    <row r="30" spans="2:63" ht="15.75" thickBot="1" x14ac:dyDescent="0.3">
      <c r="B30" s="242" t="s">
        <v>307</v>
      </c>
      <c r="C30" s="1894" t="s">
        <v>459</v>
      </c>
      <c r="D30" s="1895"/>
      <c r="E30" s="1894" t="s">
        <v>332</v>
      </c>
      <c r="F30" s="1895"/>
      <c r="G30" s="190" t="s">
        <v>301</v>
      </c>
      <c r="H30" s="82">
        <f>IF(U10&gt;0,U10,"")</f>
        <v>8.1666666666666661</v>
      </c>
      <c r="AF30" s="69">
        <v>10</v>
      </c>
      <c r="AG30" s="72"/>
      <c r="AH30" s="73"/>
      <c r="AI30" s="133">
        <f t="shared" si="7"/>
        <v>0</v>
      </c>
      <c r="AJ30" s="69">
        <v>9</v>
      </c>
      <c r="AK30" s="70"/>
      <c r="AL30" s="71"/>
      <c r="AM30" s="133">
        <f t="shared" si="8"/>
        <v>0</v>
      </c>
      <c r="AN30" s="69">
        <v>8</v>
      </c>
      <c r="AO30" s="70"/>
      <c r="AP30" s="71"/>
      <c r="AQ30" s="133">
        <f t="shared" si="9"/>
        <v>0</v>
      </c>
      <c r="AR30" s="69">
        <v>7</v>
      </c>
      <c r="AS30" s="70"/>
      <c r="AT30" s="71"/>
      <c r="AU30" s="133">
        <f t="shared" si="10"/>
        <v>0</v>
      </c>
      <c r="AV30" s="69">
        <v>6</v>
      </c>
      <c r="AW30" s="70"/>
      <c r="AX30" s="71"/>
      <c r="AY30" s="133">
        <f t="shared" si="11"/>
        <v>0</v>
      </c>
      <c r="AZ30" s="69">
        <v>5</v>
      </c>
      <c r="BA30" s="70"/>
      <c r="BB30" s="71"/>
      <c r="BC30" s="133">
        <f t="shared" si="12"/>
        <v>0</v>
      </c>
      <c r="BD30" s="69">
        <v>4</v>
      </c>
      <c r="BE30" s="70"/>
      <c r="BF30" s="71"/>
      <c r="BG30" s="133">
        <f t="shared" si="13"/>
        <v>0</v>
      </c>
      <c r="BH30" s="69">
        <v>3</v>
      </c>
      <c r="BI30" s="70"/>
      <c r="BJ30" s="71"/>
      <c r="BK30" s="133">
        <f t="shared" si="14"/>
        <v>0</v>
      </c>
    </row>
    <row r="31" spans="2:63" ht="15.75" thickBot="1" x14ac:dyDescent="0.3">
      <c r="B31" s="242" t="s">
        <v>308</v>
      </c>
      <c r="C31" s="1894" t="s">
        <v>457</v>
      </c>
      <c r="D31" s="1895"/>
      <c r="E31" s="1894" t="s">
        <v>469</v>
      </c>
      <c r="F31" s="1895"/>
      <c r="G31" s="190" t="s">
        <v>301</v>
      </c>
      <c r="H31" s="82">
        <f>IF(Y11&gt;0,Y11,"")</f>
        <v>4</v>
      </c>
      <c r="AJ31" s="69">
        <v>10</v>
      </c>
      <c r="AK31" s="72"/>
      <c r="AL31" s="73"/>
      <c r="AM31" s="133">
        <f t="shared" si="8"/>
        <v>0</v>
      </c>
      <c r="AN31" s="69">
        <v>9</v>
      </c>
      <c r="AO31" s="70"/>
      <c r="AP31" s="71"/>
      <c r="AQ31" s="133">
        <f t="shared" si="9"/>
        <v>0</v>
      </c>
      <c r="AR31" s="69">
        <v>8</v>
      </c>
      <c r="AS31" s="70"/>
      <c r="AT31" s="71"/>
      <c r="AU31" s="133">
        <f t="shared" si="10"/>
        <v>0</v>
      </c>
      <c r="AV31" s="69">
        <v>7</v>
      </c>
      <c r="AW31" s="70"/>
      <c r="AX31" s="71"/>
      <c r="AY31" s="133">
        <f t="shared" si="11"/>
        <v>0</v>
      </c>
      <c r="AZ31" s="69">
        <v>6</v>
      </c>
      <c r="BA31" s="70"/>
      <c r="BB31" s="71"/>
      <c r="BC31" s="133">
        <f t="shared" si="12"/>
        <v>0</v>
      </c>
      <c r="BD31" s="69">
        <v>5</v>
      </c>
      <c r="BE31" s="70"/>
      <c r="BF31" s="71"/>
      <c r="BG31" s="133">
        <f t="shared" si="13"/>
        <v>0</v>
      </c>
      <c r="BH31" s="69">
        <v>4</v>
      </c>
      <c r="BI31" s="70"/>
      <c r="BJ31" s="71"/>
      <c r="BK31" s="133">
        <f t="shared" si="14"/>
        <v>0</v>
      </c>
    </row>
    <row r="32" spans="2:63" ht="15.75" thickBot="1" x14ac:dyDescent="0.3">
      <c r="B32" s="242" t="s">
        <v>309</v>
      </c>
      <c r="C32" s="1894" t="s">
        <v>457</v>
      </c>
      <c r="D32" s="1895"/>
      <c r="E32" s="1894" t="s">
        <v>469</v>
      </c>
      <c r="F32" s="1895"/>
      <c r="G32" s="190" t="s">
        <v>301</v>
      </c>
      <c r="H32" s="82">
        <f>IF(AC12&gt;0,AC12,"")</f>
        <v>5.333333333333333</v>
      </c>
      <c r="AN32" s="69">
        <v>10</v>
      </c>
      <c r="AO32" s="72"/>
      <c r="AP32" s="73"/>
      <c r="AQ32" s="133">
        <f t="shared" si="9"/>
        <v>0</v>
      </c>
      <c r="AR32" s="69">
        <v>9</v>
      </c>
      <c r="AS32" s="70"/>
      <c r="AT32" s="71"/>
      <c r="AU32" s="133">
        <f t="shared" si="10"/>
        <v>0</v>
      </c>
      <c r="AV32" s="69">
        <v>8</v>
      </c>
      <c r="AW32" s="70"/>
      <c r="AX32" s="71"/>
      <c r="AY32" s="133">
        <f t="shared" si="11"/>
        <v>0</v>
      </c>
      <c r="AZ32" s="69">
        <v>7</v>
      </c>
      <c r="BA32" s="70"/>
      <c r="BB32" s="71"/>
      <c r="BC32" s="133">
        <f t="shared" si="12"/>
        <v>0</v>
      </c>
      <c r="BD32" s="69">
        <v>6</v>
      </c>
      <c r="BE32" s="70"/>
      <c r="BF32" s="71"/>
      <c r="BG32" s="133">
        <f t="shared" si="13"/>
        <v>0</v>
      </c>
      <c r="BH32" s="69">
        <v>5</v>
      </c>
      <c r="BI32" s="70"/>
      <c r="BJ32" s="71"/>
      <c r="BK32" s="133">
        <f t="shared" si="14"/>
        <v>0</v>
      </c>
    </row>
    <row r="33" spans="2:67" ht="15.75" thickBot="1" x14ac:dyDescent="0.3">
      <c r="B33" s="242" t="s">
        <v>312</v>
      </c>
      <c r="C33" s="1894" t="s">
        <v>459</v>
      </c>
      <c r="D33" s="1895"/>
      <c r="E33" s="1894" t="s">
        <v>332</v>
      </c>
      <c r="F33" s="1895"/>
      <c r="G33" s="190" t="s">
        <v>301</v>
      </c>
      <c r="H33" s="82">
        <f>IF(AG13&gt;0,AG13,"")</f>
        <v>3.1666666666666665</v>
      </c>
      <c r="AR33" s="69">
        <v>10</v>
      </c>
      <c r="AS33" s="72"/>
      <c r="AT33" s="73"/>
      <c r="AU33" s="133">
        <f t="shared" si="10"/>
        <v>0</v>
      </c>
      <c r="AV33" s="69">
        <v>9</v>
      </c>
      <c r="AW33" s="70"/>
      <c r="AX33" s="71"/>
      <c r="AY33" s="133">
        <f t="shared" si="11"/>
        <v>0</v>
      </c>
      <c r="AZ33" s="69">
        <v>8</v>
      </c>
      <c r="BA33" s="70"/>
      <c r="BB33" s="71"/>
      <c r="BC33" s="133">
        <f t="shared" si="12"/>
        <v>0</v>
      </c>
      <c r="BD33" s="69">
        <v>7</v>
      </c>
      <c r="BE33" s="70"/>
      <c r="BF33" s="71"/>
      <c r="BG33" s="133">
        <f t="shared" si="13"/>
        <v>0</v>
      </c>
      <c r="BH33" s="69">
        <v>6</v>
      </c>
      <c r="BI33" s="70"/>
      <c r="BJ33" s="71"/>
      <c r="BK33" s="133">
        <f t="shared" si="14"/>
        <v>0</v>
      </c>
    </row>
    <row r="34" spans="2:67" ht="15.75" thickBot="1" x14ac:dyDescent="0.3">
      <c r="B34" s="242" t="s">
        <v>316</v>
      </c>
      <c r="C34" s="1894" t="s">
        <v>458</v>
      </c>
      <c r="D34" s="1895"/>
      <c r="E34" s="1894" t="s">
        <v>332</v>
      </c>
      <c r="F34" s="1895"/>
      <c r="G34" s="190" t="s">
        <v>301</v>
      </c>
      <c r="H34" s="82">
        <f>IF(AK14&gt;0,AK14,"")</f>
        <v>10.166666666666666</v>
      </c>
      <c r="AV34" s="69">
        <v>10</v>
      </c>
      <c r="AW34" s="72"/>
      <c r="AX34" s="73"/>
      <c r="AY34" s="133">
        <f t="shared" si="11"/>
        <v>0</v>
      </c>
      <c r="AZ34" s="69">
        <v>9</v>
      </c>
      <c r="BA34" s="70"/>
      <c r="BB34" s="71"/>
      <c r="BC34" s="133">
        <f t="shared" si="12"/>
        <v>0</v>
      </c>
      <c r="BD34" s="69">
        <v>8</v>
      </c>
      <c r="BE34" s="70"/>
      <c r="BF34" s="71"/>
      <c r="BG34" s="133">
        <f t="shared" si="13"/>
        <v>0</v>
      </c>
      <c r="BH34" s="69">
        <v>7</v>
      </c>
      <c r="BI34" s="70"/>
      <c r="BJ34" s="71"/>
      <c r="BK34" s="133">
        <f t="shared" si="14"/>
        <v>0</v>
      </c>
    </row>
    <row r="35" spans="2:67" ht="15.75" thickBot="1" x14ac:dyDescent="0.3">
      <c r="B35" s="242" t="s">
        <v>318</v>
      </c>
      <c r="C35" s="1894"/>
      <c r="D35" s="1895"/>
      <c r="E35" s="1894" t="s">
        <v>312</v>
      </c>
      <c r="F35" s="1895"/>
      <c r="G35" s="190" t="s">
        <v>189</v>
      </c>
      <c r="H35" s="82" t="str">
        <f>IF(AO15&gt;0,AO15,"")</f>
        <v/>
      </c>
      <c r="AZ35" s="69">
        <v>10</v>
      </c>
      <c r="BA35" s="72"/>
      <c r="BB35" s="73"/>
      <c r="BC35" s="133">
        <f t="shared" si="12"/>
        <v>0</v>
      </c>
      <c r="BD35" s="69">
        <v>9</v>
      </c>
      <c r="BE35" s="70"/>
      <c r="BF35" s="71"/>
      <c r="BG35" s="133">
        <f t="shared" si="13"/>
        <v>0</v>
      </c>
      <c r="BH35" s="69">
        <v>8</v>
      </c>
      <c r="BI35" s="70"/>
      <c r="BJ35" s="71"/>
      <c r="BK35" s="133">
        <f t="shared" si="14"/>
        <v>0</v>
      </c>
    </row>
    <row r="36" spans="2:67" ht="15.75" thickBot="1" x14ac:dyDescent="0.3">
      <c r="B36" s="242" t="s">
        <v>321</v>
      </c>
      <c r="C36" s="1894"/>
      <c r="D36" s="1895"/>
      <c r="E36" s="1894" t="s">
        <v>316</v>
      </c>
      <c r="F36" s="1895"/>
      <c r="G36" s="190" t="s">
        <v>189</v>
      </c>
      <c r="H36" s="82" t="str">
        <f>IF(AS16&gt;0,AS16,"")</f>
        <v/>
      </c>
      <c r="BD36" s="69">
        <v>10</v>
      </c>
      <c r="BE36" s="72"/>
      <c r="BF36" s="73"/>
      <c r="BG36" s="133">
        <f t="shared" si="13"/>
        <v>0</v>
      </c>
      <c r="BH36" s="69">
        <v>9</v>
      </c>
      <c r="BI36" s="70"/>
      <c r="BJ36" s="71"/>
      <c r="BK36" s="133">
        <f t="shared" si="14"/>
        <v>0</v>
      </c>
    </row>
    <row r="37" spans="2:67" ht="15.75" thickBot="1" x14ac:dyDescent="0.3">
      <c r="B37" s="242" t="s">
        <v>322</v>
      </c>
      <c r="C37" s="1894"/>
      <c r="D37" s="1895"/>
      <c r="E37" s="1894" t="s">
        <v>318</v>
      </c>
      <c r="F37" s="1895"/>
      <c r="G37" s="190" t="s">
        <v>189</v>
      </c>
      <c r="H37" s="82" t="str">
        <f>IF(AW17&gt;0,AW17,"")</f>
        <v/>
      </c>
      <c r="BH37" s="69">
        <v>10</v>
      </c>
      <c r="BI37" s="72"/>
      <c r="BJ37" s="73"/>
      <c r="BK37" s="133">
        <f t="shared" si="14"/>
        <v>0</v>
      </c>
    </row>
    <row r="38" spans="2:67" x14ac:dyDescent="0.25">
      <c r="B38" s="242" t="s">
        <v>323</v>
      </c>
      <c r="C38" s="1894"/>
      <c r="D38" s="1895"/>
      <c r="E38" s="1894" t="s">
        <v>321</v>
      </c>
      <c r="F38" s="1895"/>
      <c r="G38" s="190" t="s">
        <v>189</v>
      </c>
      <c r="H38" s="82" t="str">
        <f>IF(BA18&gt;0,BA18,"")</f>
        <v/>
      </c>
    </row>
    <row r="39" spans="2:67" ht="15.75" customHeight="1" thickBot="1" x14ac:dyDescent="0.3">
      <c r="B39" s="242" t="s">
        <v>325</v>
      </c>
      <c r="C39" s="1894"/>
      <c r="D39" s="1895"/>
      <c r="E39" s="1894" t="s">
        <v>322</v>
      </c>
      <c r="F39" s="1895"/>
      <c r="G39" s="190" t="s">
        <v>189</v>
      </c>
      <c r="H39" s="82" t="str">
        <f>IF(BE19&gt;0,BE19,"")</f>
        <v/>
      </c>
      <c r="J39" s="1328" t="s">
        <v>333</v>
      </c>
      <c r="K39" s="1328"/>
      <c r="L39" s="1328"/>
      <c r="M39" s="1907" t="str">
        <f>M4</f>
        <v>REF. NOME + Nº - 15H x 10B x 5L (cm)</v>
      </c>
      <c r="N39" s="1907"/>
      <c r="O39" s="1907"/>
      <c r="P39" s="1907"/>
      <c r="Q39" s="1907"/>
      <c r="R39" s="1907"/>
      <c r="S39" s="1907"/>
      <c r="T39" s="1907"/>
      <c r="U39" s="1907"/>
      <c r="V39" s="1907"/>
      <c r="W39" s="1907"/>
      <c r="X39" s="1907" t="str">
        <f>M39</f>
        <v>REF. NOME + Nº - 15H x 10B x 5L (cm)</v>
      </c>
      <c r="Y39" s="1907"/>
      <c r="Z39" s="1907"/>
      <c r="AA39" s="1907"/>
      <c r="AB39" s="1907"/>
      <c r="AC39" s="1907"/>
      <c r="AD39" s="1907"/>
      <c r="AE39" s="1907"/>
      <c r="AF39" s="1907"/>
      <c r="AG39" s="1907"/>
      <c r="AH39" s="1907"/>
      <c r="AI39" s="1907" t="str">
        <f>X39</f>
        <v>REF. NOME + Nº - 15H x 10B x 5L (cm)</v>
      </c>
      <c r="AJ39" s="1907"/>
      <c r="AK39" s="1907"/>
      <c r="AL39" s="1907"/>
      <c r="AM39" s="1907"/>
      <c r="AN39" s="1907"/>
      <c r="AO39" s="1907"/>
      <c r="AP39" s="1907"/>
      <c r="AQ39" s="1907"/>
      <c r="AR39" s="1907"/>
      <c r="AS39" s="1907"/>
      <c r="AT39" s="1907" t="str">
        <f>AI39</f>
        <v>REF. NOME + Nº - 15H x 10B x 5L (cm)</v>
      </c>
      <c r="AU39" s="1907"/>
      <c r="AV39" s="1907"/>
      <c r="AW39" s="1907"/>
      <c r="AX39" s="1907"/>
      <c r="AY39" s="1907"/>
      <c r="AZ39" s="1907"/>
      <c r="BA39" s="1907"/>
      <c r="BB39" s="1907"/>
      <c r="BC39" s="1907"/>
      <c r="BD39" s="1907"/>
      <c r="BE39" s="1907" t="str">
        <f>AT39</f>
        <v>REF. NOME + Nº - 15H x 10B x 5L (cm)</v>
      </c>
      <c r="BF39" s="1907"/>
      <c r="BG39" s="1907"/>
      <c r="BH39" s="1907"/>
      <c r="BI39" s="1907"/>
      <c r="BJ39" s="1907"/>
      <c r="BK39" s="1907"/>
      <c r="BL39" s="1907"/>
      <c r="BM39" s="1907"/>
      <c r="BN39" s="1907"/>
      <c r="BO39" s="1907"/>
    </row>
    <row r="40" spans="2:67" ht="15.75" thickBot="1" x14ac:dyDescent="0.3">
      <c r="B40" s="242" t="s">
        <v>327</v>
      </c>
      <c r="C40" s="1894"/>
      <c r="D40" s="1895"/>
      <c r="E40" s="1894" t="s">
        <v>323</v>
      </c>
      <c r="F40" s="1895"/>
      <c r="G40" s="190" t="s">
        <v>189</v>
      </c>
      <c r="H40" s="82" t="str">
        <f>IF(BI20&gt;0,BI20,"")</f>
        <v/>
      </c>
      <c r="K40" s="1914" t="s">
        <v>17</v>
      </c>
      <c r="L40" s="1915"/>
      <c r="N40">
        <v>1</v>
      </c>
      <c r="AR40" s="243" t="s">
        <v>298</v>
      </c>
      <c r="AS40" s="1874"/>
      <c r="AT40" s="1874"/>
      <c r="AU40" s="1874"/>
      <c r="AV40" s="1874"/>
      <c r="AW40" s="1874"/>
      <c r="AX40" s="59" t="s">
        <v>299</v>
      </c>
      <c r="AY40" s="1916"/>
      <c r="AZ40" s="1916"/>
      <c r="BA40" s="1917"/>
    </row>
    <row r="41" spans="2:67" ht="15.75" thickBot="1" x14ac:dyDescent="0.3">
      <c r="C41" s="20"/>
      <c r="K41" s="1256" t="str">
        <f>K6</f>
        <v>PROCESSOS</v>
      </c>
      <c r="L41" s="1257"/>
      <c r="M41" s="1929" t="s">
        <v>300</v>
      </c>
      <c r="N41" s="1929"/>
      <c r="O41" s="251" t="str">
        <f>G63</f>
        <v>ATIVO</v>
      </c>
      <c r="P41" s="20"/>
      <c r="R41">
        <f>N40+1</f>
        <v>2</v>
      </c>
      <c r="AR41" s="1881"/>
      <c r="AS41" s="1882"/>
      <c r="AT41" s="1882"/>
      <c r="AU41" s="1882"/>
      <c r="AV41" s="1882"/>
      <c r="AW41" s="1882"/>
      <c r="AX41" s="1882"/>
      <c r="AY41" s="1882"/>
      <c r="AZ41" s="1882"/>
      <c r="BA41" s="1883"/>
    </row>
    <row r="42" spans="2:67" x14ac:dyDescent="0.25">
      <c r="D42" s="1898" t="s">
        <v>310</v>
      </c>
      <c r="E42" s="1898"/>
      <c r="F42" s="1899"/>
      <c r="G42" s="1899" t="s">
        <v>311</v>
      </c>
      <c r="H42" s="1900"/>
      <c r="M42" t="s">
        <v>303</v>
      </c>
      <c r="N42" s="20"/>
      <c r="O42" s="6" t="str">
        <f>IF(O41="ATIVO","1","0")</f>
        <v>1</v>
      </c>
      <c r="Q42" s="1929" t="s">
        <v>304</v>
      </c>
      <c r="R42" s="1929"/>
      <c r="S42" s="251" t="str">
        <f>G64</f>
        <v>ATIVO</v>
      </c>
      <c r="T42" s="20"/>
      <c r="V42">
        <f>R41+1</f>
        <v>3</v>
      </c>
      <c r="AR42" s="1881"/>
      <c r="AS42" s="1882"/>
      <c r="AT42" s="1882"/>
      <c r="AU42" s="1882"/>
      <c r="AV42" s="1882"/>
      <c r="AW42" s="1882"/>
      <c r="AX42" s="1882"/>
      <c r="AY42" s="1882"/>
      <c r="AZ42" s="1882"/>
      <c r="BA42" s="1883"/>
    </row>
    <row r="43" spans="2:67" ht="15.75" thickBot="1" x14ac:dyDescent="0.3">
      <c r="D43" t="s">
        <v>313</v>
      </c>
      <c r="E43" t="s">
        <v>314</v>
      </c>
      <c r="F43" t="s">
        <v>315</v>
      </c>
      <c r="G43" s="63"/>
      <c r="M43" s="1891">
        <f>(SUM(N51:N60)/60)*O42</f>
        <v>1</v>
      </c>
      <c r="N43" s="1892"/>
      <c r="O43" s="61"/>
      <c r="P43" s="61"/>
      <c r="Q43" t="s">
        <v>303</v>
      </c>
      <c r="R43" s="20"/>
      <c r="S43" s="6" t="str">
        <f>IF(S42="ATIVO","1","0")</f>
        <v>1</v>
      </c>
      <c r="U43" s="1929" t="s">
        <v>307</v>
      </c>
      <c r="V43" s="1929"/>
      <c r="W43" s="251" t="str">
        <f>G65</f>
        <v>ATIVO</v>
      </c>
      <c r="X43" s="20"/>
      <c r="Z43">
        <f>V42+1</f>
        <v>4</v>
      </c>
      <c r="AR43" s="1881"/>
      <c r="AS43" s="1882"/>
      <c r="AT43" s="1882"/>
      <c r="AU43" s="1882"/>
      <c r="AV43" s="1882"/>
      <c r="AW43" s="1882"/>
      <c r="AX43" s="1882"/>
      <c r="AY43" s="1882"/>
      <c r="AZ43" s="1882"/>
      <c r="BA43" s="1883"/>
    </row>
    <row r="44" spans="2:67" ht="15.75" thickBot="1" x14ac:dyDescent="0.3">
      <c r="D44" s="64">
        <f>BC12</f>
        <v>0</v>
      </c>
      <c r="E44" s="64">
        <f>BD12</f>
        <v>41</v>
      </c>
      <c r="F44" s="64">
        <f>BE12</f>
        <v>49.999999999999716</v>
      </c>
      <c r="G44" s="1901">
        <f>BF12</f>
        <v>25</v>
      </c>
      <c r="H44" s="1902"/>
      <c r="K44" s="75" t="s">
        <v>334</v>
      </c>
      <c r="M44" s="1872" t="str">
        <f>E63</f>
        <v>MANUAL</v>
      </c>
      <c r="N44" s="1873"/>
      <c r="O44" s="62"/>
      <c r="Q44" s="1891">
        <f>(SUM(R52:R61)/60)*S43</f>
        <v>1.6666666666666667</v>
      </c>
      <c r="R44" s="1892"/>
      <c r="S44" s="61"/>
      <c r="T44" s="61"/>
      <c r="U44" t="s">
        <v>303</v>
      </c>
      <c r="V44" s="20"/>
      <c r="W44" s="6" t="str">
        <f>IF(W43="ATIVO","1","0")</f>
        <v>1</v>
      </c>
      <c r="Y44" s="1929" t="s">
        <v>308</v>
      </c>
      <c r="Z44" s="1929"/>
      <c r="AA44" s="251" t="str">
        <f>G66</f>
        <v>ATIVO</v>
      </c>
      <c r="AB44" s="20"/>
      <c r="AD44">
        <f>Z43+1</f>
        <v>5</v>
      </c>
      <c r="AR44" s="1881"/>
      <c r="AS44" s="1882"/>
      <c r="AT44" s="1882"/>
      <c r="AU44" s="1882"/>
      <c r="AV44" s="1882"/>
      <c r="AW44" s="1882"/>
      <c r="AX44" s="1882"/>
      <c r="AY44" s="1882"/>
      <c r="AZ44" s="1882"/>
      <c r="BA44" s="1883"/>
    </row>
    <row r="45" spans="2:67" ht="15.75" thickBot="1" x14ac:dyDescent="0.3">
      <c r="D45" s="1889">
        <f>BC13</f>
        <v>0.69722222222222219</v>
      </c>
      <c r="E45" s="1889"/>
      <c r="F45" s="1889"/>
      <c r="G45" s="1889"/>
      <c r="H45" s="1889"/>
      <c r="K45" s="5" t="s">
        <v>301</v>
      </c>
      <c r="M45" s="1875" t="s">
        <v>480</v>
      </c>
      <c r="N45" s="1876"/>
      <c r="O45" s="62"/>
      <c r="Q45" s="1872" t="str">
        <f>E64</f>
        <v>FERRO</v>
      </c>
      <c r="R45" s="1873"/>
      <c r="S45" s="62"/>
      <c r="U45" s="1891">
        <f>(SUM(V53:V62)/60)*W44</f>
        <v>4.833333333333333</v>
      </c>
      <c r="V45" s="1892"/>
      <c r="W45" s="61"/>
      <c r="X45" s="61"/>
      <c r="Y45" t="s">
        <v>303</v>
      </c>
      <c r="Z45" s="20"/>
      <c r="AA45" s="6" t="str">
        <f>IF(AA44="ATIVO","1","0")</f>
        <v>1</v>
      </c>
      <c r="AC45" s="1929" t="s">
        <v>309</v>
      </c>
      <c r="AD45" s="1929"/>
      <c r="AE45" s="251" t="str">
        <f>G67</f>
        <v>ATIVO</v>
      </c>
      <c r="AF45" s="20"/>
      <c r="AH45">
        <f>AD44+1</f>
        <v>6</v>
      </c>
      <c r="AR45" s="1881"/>
      <c r="AS45" s="1882"/>
      <c r="AT45" s="1882"/>
      <c r="AU45" s="1882"/>
      <c r="AV45" s="1882"/>
      <c r="AW45" s="1882"/>
      <c r="AX45" s="1882"/>
      <c r="AY45" s="1882"/>
      <c r="AZ45" s="1882"/>
      <c r="BA45" s="1883"/>
      <c r="BC45" s="1898" t="s">
        <v>310</v>
      </c>
      <c r="BD45" s="1898"/>
      <c r="BE45" s="1899"/>
      <c r="BF45" s="1899" t="s">
        <v>311</v>
      </c>
      <c r="BG45" s="1900"/>
    </row>
    <row r="46" spans="2:67" ht="15.75" thickBot="1" x14ac:dyDescent="0.3">
      <c r="C46" s="220" t="s">
        <v>400</v>
      </c>
      <c r="K46" s="5" t="s">
        <v>189</v>
      </c>
      <c r="M46" s="1877"/>
      <c r="N46" s="1878"/>
      <c r="O46" s="62"/>
      <c r="Q46" s="1875" t="s">
        <v>479</v>
      </c>
      <c r="R46" s="1876"/>
      <c r="S46" s="62"/>
      <c r="U46" s="1872" t="str">
        <f>IF(E65&gt;0,E65,"")</f>
        <v>MANUAL</v>
      </c>
      <c r="V46" s="1873"/>
      <c r="W46" s="62"/>
      <c r="Y46" s="1891">
        <f>(SUM(Z54:Z63)/60)*AA45</f>
        <v>0.83333333333333337</v>
      </c>
      <c r="Z46" s="1892"/>
      <c r="AA46" s="61"/>
      <c r="AB46" s="61"/>
      <c r="AC46" t="s">
        <v>303</v>
      </c>
      <c r="AD46" s="20"/>
      <c r="AE46" s="6" t="str">
        <f>IF(AE45="ATIVO","1","0")</f>
        <v>1</v>
      </c>
      <c r="AG46" s="1929" t="s">
        <v>312</v>
      </c>
      <c r="AH46" s="1929"/>
      <c r="AI46" s="251" t="str">
        <f>G68</f>
        <v>ATIVO</v>
      </c>
      <c r="AJ46" s="20"/>
      <c r="AL46">
        <f>AH45+1</f>
        <v>7</v>
      </c>
      <c r="AR46" s="1884"/>
      <c r="AS46" s="1885"/>
      <c r="AT46" s="1885"/>
      <c r="AU46" s="1885"/>
      <c r="AV46" s="1885"/>
      <c r="AW46" s="1885"/>
      <c r="AX46" s="1885"/>
      <c r="AY46" s="1885"/>
      <c r="AZ46" s="1885"/>
      <c r="BA46" s="1886"/>
      <c r="BC46" t="s">
        <v>313</v>
      </c>
      <c r="BD46" t="s">
        <v>314</v>
      </c>
      <c r="BE46" t="s">
        <v>315</v>
      </c>
      <c r="BF46" s="63"/>
    </row>
    <row r="47" spans="2:67" ht="15.75" customHeight="1" thickBot="1" x14ac:dyDescent="0.3">
      <c r="M47" s="1877"/>
      <c r="N47" s="1878"/>
      <c r="O47" s="62"/>
      <c r="Q47" s="1877"/>
      <c r="R47" s="1878"/>
      <c r="S47" s="62"/>
      <c r="U47" s="1875" t="s">
        <v>481</v>
      </c>
      <c r="V47" s="1876"/>
      <c r="W47" s="62"/>
      <c r="Y47" s="1872" t="str">
        <f>IF(E66&gt;0,E66,"")</f>
        <v>MANUAL</v>
      </c>
      <c r="Z47" s="1873"/>
      <c r="AA47" s="62"/>
      <c r="AC47" s="1891">
        <f>(SUM(AD55:AD64)/60)*AE46</f>
        <v>0.83333333333333337</v>
      </c>
      <c r="AD47" s="1892"/>
      <c r="AE47" s="61"/>
      <c r="AF47" s="61"/>
      <c r="AG47" t="s">
        <v>303</v>
      </c>
      <c r="AH47" s="20"/>
      <c r="AI47" s="6" t="str">
        <f>IF(AI46="ATIVO","1","0")</f>
        <v>1</v>
      </c>
      <c r="AK47" s="1929" t="s">
        <v>316</v>
      </c>
      <c r="AL47" s="1929"/>
      <c r="AM47" s="251" t="str">
        <f>G69</f>
        <v>ATIVO</v>
      </c>
      <c r="AN47" s="20"/>
      <c r="AP47">
        <f>AL46+1</f>
        <v>8</v>
      </c>
      <c r="BC47" s="125">
        <f>INT(BC48)</f>
        <v>0</v>
      </c>
      <c r="BD47" s="126">
        <f>INT((BC48-INT(BC48))*60)</f>
        <v>16</v>
      </c>
      <c r="BE47" s="238">
        <f>(((BC48-INT(BC48))*60)-INT(((BC48-INT(BC48))*60)))*60</f>
        <v>55.000000000000071</v>
      </c>
      <c r="BF47" s="1918">
        <f>(O49*O42)+(S50*S43)+(W51*W44)+(AA52*AA45)+(AE53*AE46)+(AI54*AI47)+(AM55*AM48)+(AQ56*AQ49)+(AU57*AU50)+(AY58*AY51)+(BC59*BC52)+(BG60*BG53)+(BK61*BK54)</f>
        <v>29</v>
      </c>
      <c r="BG47" s="1919"/>
    </row>
    <row r="48" spans="2:67" ht="15.75" customHeight="1" thickBot="1" x14ac:dyDescent="0.3">
      <c r="M48" s="1879"/>
      <c r="N48" s="1880"/>
      <c r="Q48" s="1877"/>
      <c r="R48" s="1878"/>
      <c r="S48" s="62"/>
      <c r="U48" s="1877"/>
      <c r="V48" s="1878"/>
      <c r="W48" s="62"/>
      <c r="Y48" s="1875" t="s">
        <v>486</v>
      </c>
      <c r="Z48" s="1876"/>
      <c r="AA48" s="62"/>
      <c r="AC48" s="1872" t="str">
        <f>IF(E67&gt;0,E67,"")</f>
        <v>MANUAL</v>
      </c>
      <c r="AD48" s="1873"/>
      <c r="AE48" s="62"/>
      <c r="AG48" s="1891">
        <f>(SUM(AH56:AH65)/60)*AI47</f>
        <v>1.0833333333333333</v>
      </c>
      <c r="AH48" s="1892"/>
      <c r="AI48" s="61"/>
      <c r="AJ48" s="61"/>
      <c r="AK48" t="s">
        <v>303</v>
      </c>
      <c r="AL48" s="20"/>
      <c r="AM48" s="6" t="str">
        <f>IF(AM47="ATIVO","1","0")</f>
        <v>1</v>
      </c>
      <c r="AO48" s="1929" t="s">
        <v>318</v>
      </c>
      <c r="AP48" s="1929"/>
      <c r="AQ48" s="251" t="str">
        <f>G70</f>
        <v>ATIVO</v>
      </c>
      <c r="AR48" s="20"/>
      <c r="AT48">
        <f>AP47+1</f>
        <v>9</v>
      </c>
      <c r="BC48" s="1889">
        <f>(M43+Q44+U45+Y46+AC47+AG48+AK49+AO50+AS51+AW52+BA53+BE54+BI55)/(60)</f>
        <v>0.28194444444444444</v>
      </c>
      <c r="BD48" s="1889"/>
      <c r="BE48" s="1889"/>
      <c r="BF48" s="1889"/>
      <c r="BG48" s="1889"/>
    </row>
    <row r="49" spans="2:63" ht="15.75" customHeight="1" thickBot="1" x14ac:dyDescent="0.3">
      <c r="M49" s="1887" t="s">
        <v>317</v>
      </c>
      <c r="N49" s="1888"/>
      <c r="O49" s="134">
        <f>SUM(O51:O60)</f>
        <v>3</v>
      </c>
      <c r="Q49" s="1879"/>
      <c r="R49" s="1880"/>
      <c r="U49" s="1877"/>
      <c r="V49" s="1878"/>
      <c r="W49" s="62"/>
      <c r="Y49" s="1877"/>
      <c r="Z49" s="1878"/>
      <c r="AA49" s="62"/>
      <c r="AC49" s="1875" t="s">
        <v>487</v>
      </c>
      <c r="AD49" s="1876"/>
      <c r="AE49" s="62"/>
      <c r="AG49" s="1872" t="str">
        <f>IF(E68&gt;0,E68,"")</f>
        <v>MANUAL</v>
      </c>
      <c r="AH49" s="1873"/>
      <c r="AI49" s="62"/>
      <c r="AK49" s="1891">
        <f>(SUM(AL57:AL66)/60)*AM48</f>
        <v>0.83333333333333337</v>
      </c>
      <c r="AL49" s="1892"/>
      <c r="AM49" s="61"/>
      <c r="AN49" s="61"/>
      <c r="AO49" t="s">
        <v>303</v>
      </c>
      <c r="AP49" s="20"/>
      <c r="AQ49" s="6" t="str">
        <f>IF(AQ48="ATIVO","1","0")</f>
        <v>1</v>
      </c>
      <c r="AS49" s="1929" t="s">
        <v>321</v>
      </c>
      <c r="AT49" s="1929"/>
      <c r="AU49" s="251" t="str">
        <f>G71</f>
        <v>NÃO</v>
      </c>
      <c r="AV49" s="20"/>
      <c r="AX49">
        <f>AT48+1</f>
        <v>10</v>
      </c>
    </row>
    <row r="50" spans="2:63" ht="15.75" customHeight="1" thickBot="1" x14ac:dyDescent="0.3">
      <c r="L50" s="65"/>
      <c r="M50" s="66" t="s">
        <v>319</v>
      </c>
      <c r="N50" s="67" t="s">
        <v>320</v>
      </c>
      <c r="O50" s="68"/>
      <c r="Q50" s="1887" t="s">
        <v>317</v>
      </c>
      <c r="R50" s="1888"/>
      <c r="S50" s="134">
        <f>SUM(S52:S61)</f>
        <v>5</v>
      </c>
      <c r="U50" s="1879"/>
      <c r="V50" s="1880"/>
      <c r="Y50" s="1877"/>
      <c r="Z50" s="1878"/>
      <c r="AA50" s="62"/>
      <c r="AC50" s="1877"/>
      <c r="AD50" s="1878"/>
      <c r="AE50" s="62"/>
      <c r="AG50" s="1875" t="s">
        <v>488</v>
      </c>
      <c r="AH50" s="1876"/>
      <c r="AI50" s="62"/>
      <c r="AK50" s="1872" t="str">
        <f>IF(E69&gt;0,E69,"")</f>
        <v>MANUAL</v>
      </c>
      <c r="AL50" s="1873"/>
      <c r="AM50" s="62"/>
      <c r="AO50" s="1891">
        <f>(SUM(AP58:AP67)/60)*AQ49</f>
        <v>5.833333333333333</v>
      </c>
      <c r="AP50" s="1892"/>
      <c r="AQ50" s="61"/>
      <c r="AR50" s="61"/>
      <c r="AS50" t="s">
        <v>303</v>
      </c>
      <c r="AT50" s="20"/>
      <c r="AU50" s="6" t="str">
        <f>IF(AU49="ATIVO","1","0")</f>
        <v>0</v>
      </c>
      <c r="AW50" s="1929" t="s">
        <v>322</v>
      </c>
      <c r="AX50" s="1929"/>
      <c r="AY50" s="251" t="str">
        <f>G72</f>
        <v>NÃO</v>
      </c>
      <c r="AZ50" s="20"/>
      <c r="BB50">
        <f>AX49+1</f>
        <v>11</v>
      </c>
    </row>
    <row r="51" spans="2:63" ht="15.75" customHeight="1" thickBot="1" x14ac:dyDescent="0.3">
      <c r="L51" s="69">
        <v>1</v>
      </c>
      <c r="M51" s="70" t="s">
        <v>335</v>
      </c>
      <c r="N51" s="71">
        <v>15</v>
      </c>
      <c r="O51" s="133">
        <f>IF(N51&gt;0,1,0)</f>
        <v>1</v>
      </c>
      <c r="P51" s="65"/>
      <c r="Q51" s="66" t="s">
        <v>319</v>
      </c>
      <c r="R51" s="67" t="s">
        <v>320</v>
      </c>
      <c r="S51" s="68"/>
      <c r="U51" s="1887" t="s">
        <v>317</v>
      </c>
      <c r="V51" s="1888"/>
      <c r="W51" s="134">
        <f>SUM(W53:W62)</f>
        <v>4</v>
      </c>
      <c r="Y51" s="1879"/>
      <c r="Z51" s="1880"/>
      <c r="AC51" s="1877"/>
      <c r="AD51" s="1878"/>
      <c r="AE51" s="62"/>
      <c r="AG51" s="1877"/>
      <c r="AH51" s="1878"/>
      <c r="AI51" s="62"/>
      <c r="AK51" s="1875" t="s">
        <v>489</v>
      </c>
      <c r="AL51" s="1876"/>
      <c r="AM51" s="62"/>
      <c r="AO51" s="1872" t="str">
        <f>IF(E70&gt;0,E70,"")</f>
        <v>FERRO</v>
      </c>
      <c r="AP51" s="1873"/>
      <c r="AQ51" s="62"/>
      <c r="AS51" s="1891">
        <f>(SUM(AT59:AT68)/60)*AU50</f>
        <v>0</v>
      </c>
      <c r="AT51" s="1892"/>
      <c r="AU51" s="61"/>
      <c r="AV51" s="61"/>
      <c r="AW51" t="s">
        <v>303</v>
      </c>
      <c r="AX51" s="20"/>
      <c r="AY51" s="6" t="str">
        <f>IF(AY50="ATIVO","1","0")</f>
        <v>0</v>
      </c>
      <c r="BA51" s="1929" t="s">
        <v>323</v>
      </c>
      <c r="BB51" s="1929"/>
      <c r="BC51" s="251" t="str">
        <f>G73</f>
        <v>NÃO</v>
      </c>
      <c r="BD51" s="20"/>
      <c r="BF51">
        <f>BB50+1</f>
        <v>12</v>
      </c>
    </row>
    <row r="52" spans="2:63" ht="15.75" customHeight="1" thickBot="1" x14ac:dyDescent="0.3">
      <c r="L52" s="69">
        <v>2</v>
      </c>
      <c r="M52" s="70" t="s">
        <v>336</v>
      </c>
      <c r="N52" s="71">
        <v>15</v>
      </c>
      <c r="O52" s="133">
        <f t="shared" ref="O52:O60" si="15">IF(N52&gt;0,1,0)</f>
        <v>1</v>
      </c>
      <c r="P52" s="69">
        <v>1</v>
      </c>
      <c r="Q52" s="70" t="s">
        <v>478</v>
      </c>
      <c r="R52" s="71">
        <f>15*2</f>
        <v>30</v>
      </c>
      <c r="S52" s="133">
        <f>IF(R52&gt;0,1,0)</f>
        <v>1</v>
      </c>
      <c r="T52" s="65"/>
      <c r="U52" s="66" t="s">
        <v>319</v>
      </c>
      <c r="V52" s="67" t="s">
        <v>320</v>
      </c>
      <c r="W52" s="68"/>
      <c r="Y52" s="1887" t="s">
        <v>317</v>
      </c>
      <c r="Z52" s="1888"/>
      <c r="AA52" s="134">
        <f>SUM(AA54:AA63)</f>
        <v>3</v>
      </c>
      <c r="AC52" s="1879"/>
      <c r="AD52" s="1880"/>
      <c r="AG52" s="1877"/>
      <c r="AH52" s="1878"/>
      <c r="AI52" s="62"/>
      <c r="AK52" s="1877"/>
      <c r="AL52" s="1878"/>
      <c r="AM52" s="62"/>
      <c r="AO52" s="1875" t="s">
        <v>490</v>
      </c>
      <c r="AP52" s="1876"/>
      <c r="AQ52" s="62"/>
      <c r="AS52" s="1872" t="str">
        <f>IF(E71&gt;0,E71,"")</f>
        <v>G</v>
      </c>
      <c r="AT52" s="1873"/>
      <c r="AU52" s="62"/>
      <c r="AW52" s="1891">
        <f>(SUM(AX60:AX69)/60)*AY51</f>
        <v>0</v>
      </c>
      <c r="AX52" s="1892"/>
      <c r="AY52" s="61"/>
      <c r="AZ52" s="61"/>
      <c r="BA52" t="s">
        <v>303</v>
      </c>
      <c r="BB52" s="20"/>
      <c r="BC52" s="6" t="str">
        <f>IF(BC51="ATIVO","1","0")</f>
        <v>0</v>
      </c>
      <c r="BE52" s="1929" t="s">
        <v>325</v>
      </c>
      <c r="BF52" s="1929"/>
      <c r="BG52" s="251" t="str">
        <f>G74</f>
        <v>NÃO</v>
      </c>
      <c r="BH52" s="20"/>
      <c r="BJ52">
        <f>BF51+1</f>
        <v>13</v>
      </c>
    </row>
    <row r="53" spans="2:63" ht="15.75" customHeight="1" thickBot="1" x14ac:dyDescent="0.3">
      <c r="L53" s="69">
        <v>3</v>
      </c>
      <c r="M53" s="70" t="s">
        <v>337</v>
      </c>
      <c r="N53" s="71">
        <v>30</v>
      </c>
      <c r="O53" s="133">
        <f t="shared" si="15"/>
        <v>1</v>
      </c>
      <c r="P53" s="69">
        <v>2</v>
      </c>
      <c r="Q53" s="70" t="s">
        <v>335</v>
      </c>
      <c r="R53" s="71">
        <v>15</v>
      </c>
      <c r="S53" s="133">
        <f t="shared" ref="S53:S61" si="16">IF(R53&gt;0,1,0)</f>
        <v>1</v>
      </c>
      <c r="T53" s="69">
        <v>1</v>
      </c>
      <c r="U53" s="70" t="s">
        <v>478</v>
      </c>
      <c r="V53" s="71">
        <f>60*4</f>
        <v>240</v>
      </c>
      <c r="W53" s="133">
        <f>IF(V53&gt;0,1,0)</f>
        <v>1</v>
      </c>
      <c r="X53" s="65"/>
      <c r="Y53" s="66" t="s">
        <v>319</v>
      </c>
      <c r="Z53" s="67" t="s">
        <v>320</v>
      </c>
      <c r="AA53" s="68"/>
      <c r="AC53" s="1887" t="s">
        <v>317</v>
      </c>
      <c r="AD53" s="1888"/>
      <c r="AE53" s="134">
        <f>SUM(AE55:AE64)</f>
        <v>3</v>
      </c>
      <c r="AG53" s="1879"/>
      <c r="AH53" s="1880"/>
      <c r="AK53" s="1877"/>
      <c r="AL53" s="1878"/>
      <c r="AM53" s="62"/>
      <c r="AO53" s="1877"/>
      <c r="AP53" s="1878"/>
      <c r="AQ53" s="62"/>
      <c r="AS53" s="1875"/>
      <c r="AT53" s="1876"/>
      <c r="AU53" s="62"/>
      <c r="AW53" s="1872" t="str">
        <f>IF(E72&gt;0,E72,"")</f>
        <v>H</v>
      </c>
      <c r="AX53" s="1873"/>
      <c r="AY53" s="62"/>
      <c r="BA53" s="1891">
        <f>(SUM(BB61:BB70)/60)*BC52</f>
        <v>0</v>
      </c>
      <c r="BB53" s="1892"/>
      <c r="BC53" s="61"/>
      <c r="BD53" s="61"/>
      <c r="BE53" t="s">
        <v>303</v>
      </c>
      <c r="BF53" s="20"/>
      <c r="BG53" s="6" t="str">
        <f>IF(BG52="ATIVO","1","0")</f>
        <v>0</v>
      </c>
      <c r="BI53" s="1929" t="s">
        <v>327</v>
      </c>
      <c r="BJ53" s="1929"/>
      <c r="BK53" s="251" t="str">
        <f>G75</f>
        <v>NÃO</v>
      </c>
    </row>
    <row r="54" spans="2:63" ht="15.75" customHeight="1" thickBot="1" x14ac:dyDescent="0.3">
      <c r="L54" s="69">
        <v>4</v>
      </c>
      <c r="M54" s="70"/>
      <c r="N54" s="71"/>
      <c r="O54" s="133">
        <f t="shared" si="15"/>
        <v>0</v>
      </c>
      <c r="P54" s="69">
        <v>3</v>
      </c>
      <c r="Q54" s="70" t="s">
        <v>338</v>
      </c>
      <c r="R54" s="71">
        <v>30</v>
      </c>
      <c r="S54" s="133">
        <f t="shared" si="16"/>
        <v>1</v>
      </c>
      <c r="T54" s="69">
        <v>2</v>
      </c>
      <c r="U54" s="70" t="s">
        <v>335</v>
      </c>
      <c r="V54" s="71">
        <v>15</v>
      </c>
      <c r="W54" s="133">
        <f t="shared" ref="W54:W62" si="17">IF(V54&gt;0,1,0)</f>
        <v>1</v>
      </c>
      <c r="X54" s="69">
        <v>1</v>
      </c>
      <c r="Y54" s="70" t="s">
        <v>335</v>
      </c>
      <c r="Z54" s="71">
        <v>15</v>
      </c>
      <c r="AA54" s="133">
        <f>IF(Z54&gt;0,1,0)</f>
        <v>1</v>
      </c>
      <c r="AB54" s="65"/>
      <c r="AC54" s="66" t="s">
        <v>319</v>
      </c>
      <c r="AD54" s="67" t="s">
        <v>320</v>
      </c>
      <c r="AE54" s="68"/>
      <c r="AG54" s="1887" t="s">
        <v>317</v>
      </c>
      <c r="AH54" s="1888"/>
      <c r="AI54" s="134">
        <f>SUM(AI56:AI65)</f>
        <v>4</v>
      </c>
      <c r="AK54" s="1879"/>
      <c r="AL54" s="1880"/>
      <c r="AO54" s="1877"/>
      <c r="AP54" s="1878"/>
      <c r="AQ54" s="62"/>
      <c r="AS54" s="1877"/>
      <c r="AT54" s="1878"/>
      <c r="AU54" s="62"/>
      <c r="AW54" s="1875"/>
      <c r="AX54" s="1876"/>
      <c r="AY54" s="62"/>
      <c r="BA54" s="1872" t="str">
        <f>IF(E73&gt;0,E73,"")</f>
        <v>I</v>
      </c>
      <c r="BB54" s="1873"/>
      <c r="BC54" s="62"/>
      <c r="BE54" s="1891">
        <f>(SUM(BF62:BF71)/60)*BG53</f>
        <v>0</v>
      </c>
      <c r="BF54" s="1892"/>
      <c r="BG54" s="61"/>
      <c r="BH54" s="61"/>
      <c r="BI54" t="s">
        <v>303</v>
      </c>
      <c r="BJ54" s="20"/>
      <c r="BK54" s="6" t="str">
        <f>IF(BK53="ATIVO","1","0")</f>
        <v>0</v>
      </c>
    </row>
    <row r="55" spans="2:63" ht="15.75" customHeight="1" thickBot="1" x14ac:dyDescent="0.3">
      <c r="L55" s="69">
        <v>5</v>
      </c>
      <c r="M55" s="70"/>
      <c r="N55" s="71"/>
      <c r="O55" s="133">
        <f t="shared" si="15"/>
        <v>0</v>
      </c>
      <c r="P55" s="69">
        <v>4</v>
      </c>
      <c r="Q55" s="70" t="s">
        <v>337</v>
      </c>
      <c r="R55" s="71">
        <v>10</v>
      </c>
      <c r="S55" s="133">
        <f t="shared" si="16"/>
        <v>1</v>
      </c>
      <c r="T55" s="69">
        <v>3</v>
      </c>
      <c r="U55" s="70" t="s">
        <v>336</v>
      </c>
      <c r="V55" s="71">
        <v>15</v>
      </c>
      <c r="W55" s="133">
        <f t="shared" si="17"/>
        <v>1</v>
      </c>
      <c r="X55" s="69">
        <v>2</v>
      </c>
      <c r="Y55" s="70" t="s">
        <v>336</v>
      </c>
      <c r="Z55" s="71">
        <v>15</v>
      </c>
      <c r="AA55" s="133">
        <f t="shared" ref="AA55:AA63" si="18">IF(Z55&gt;0,1,0)</f>
        <v>1</v>
      </c>
      <c r="AB55" s="69">
        <v>1</v>
      </c>
      <c r="AC55" s="70" t="s">
        <v>335</v>
      </c>
      <c r="AD55" s="71">
        <v>15</v>
      </c>
      <c r="AE55" s="133">
        <f>IF(AD55&gt;0,1,0)</f>
        <v>1</v>
      </c>
      <c r="AF55" s="65"/>
      <c r="AG55" s="66" t="s">
        <v>319</v>
      </c>
      <c r="AH55" s="67" t="s">
        <v>320</v>
      </c>
      <c r="AI55" s="68"/>
      <c r="AK55" s="1887" t="s">
        <v>317</v>
      </c>
      <c r="AL55" s="1888"/>
      <c r="AM55" s="134">
        <f>SUM(AM57:AM66)</f>
        <v>3</v>
      </c>
      <c r="AO55" s="1879"/>
      <c r="AP55" s="1880"/>
      <c r="AS55" s="1877"/>
      <c r="AT55" s="1878"/>
      <c r="AU55" s="62"/>
      <c r="AW55" s="1877"/>
      <c r="AX55" s="1878"/>
      <c r="AY55" s="62"/>
      <c r="BA55" s="1875"/>
      <c r="BB55" s="1876"/>
      <c r="BC55" s="62"/>
      <c r="BE55" s="1872" t="str">
        <f>IF(E74&gt;0,E74,"")</f>
        <v>J</v>
      </c>
      <c r="BF55" s="1873"/>
      <c r="BG55" s="62"/>
      <c r="BI55" s="1891">
        <f>(SUM(BJ63:BJ72)/60)*BK54</f>
        <v>0</v>
      </c>
      <c r="BJ55" s="1892"/>
      <c r="BK55" s="61"/>
    </row>
    <row r="56" spans="2:63" ht="15.75" thickBot="1" x14ac:dyDescent="0.3">
      <c r="L56" s="69">
        <v>6</v>
      </c>
      <c r="M56" s="70"/>
      <c r="N56" s="71"/>
      <c r="O56" s="133">
        <f t="shared" si="15"/>
        <v>0</v>
      </c>
      <c r="P56" s="69">
        <v>5</v>
      </c>
      <c r="Q56" s="70" t="s">
        <v>336</v>
      </c>
      <c r="R56" s="71">
        <v>15</v>
      </c>
      <c r="S56" s="133">
        <f t="shared" si="16"/>
        <v>1</v>
      </c>
      <c r="T56" s="69">
        <v>4</v>
      </c>
      <c r="U56" s="70" t="s">
        <v>337</v>
      </c>
      <c r="V56" s="71">
        <v>20</v>
      </c>
      <c r="W56" s="133">
        <f t="shared" si="17"/>
        <v>1</v>
      </c>
      <c r="X56" s="69">
        <v>3</v>
      </c>
      <c r="Y56" s="70" t="s">
        <v>337</v>
      </c>
      <c r="Z56" s="71">
        <v>20</v>
      </c>
      <c r="AA56" s="133">
        <f t="shared" si="18"/>
        <v>1</v>
      </c>
      <c r="AB56" s="69">
        <v>2</v>
      </c>
      <c r="AC56" s="70" t="s">
        <v>336</v>
      </c>
      <c r="AD56" s="71">
        <v>15</v>
      </c>
      <c r="AE56" s="133">
        <f t="shared" ref="AE56:AE64" si="19">IF(AD56&gt;0,1,0)</f>
        <v>1</v>
      </c>
      <c r="AF56" s="69">
        <v>1</v>
      </c>
      <c r="AG56" s="70" t="s">
        <v>482</v>
      </c>
      <c r="AH56" s="71">
        <v>15</v>
      </c>
      <c r="AI56" s="133">
        <f>IF(AH56&gt;0,1,0)</f>
        <v>1</v>
      </c>
      <c r="AJ56" s="65"/>
      <c r="AK56" s="66" t="s">
        <v>319</v>
      </c>
      <c r="AL56" s="67" t="s">
        <v>320</v>
      </c>
      <c r="AM56" s="68"/>
      <c r="AO56" s="1887" t="s">
        <v>317</v>
      </c>
      <c r="AP56" s="1888"/>
      <c r="AQ56" s="134">
        <f>SUM(AQ58:AQ67)</f>
        <v>4</v>
      </c>
      <c r="AS56" s="1879"/>
      <c r="AT56" s="1880"/>
      <c r="AW56" s="1877"/>
      <c r="AX56" s="1878"/>
      <c r="AY56" s="62"/>
      <c r="BA56" s="1877"/>
      <c r="BB56" s="1878"/>
      <c r="BC56" s="62"/>
      <c r="BE56" s="1875"/>
      <c r="BF56" s="1876"/>
      <c r="BG56" s="62"/>
      <c r="BI56" s="1872" t="str">
        <f>IF(E75&gt;0,E75,"")</f>
        <v>K</v>
      </c>
      <c r="BJ56" s="1873"/>
      <c r="BK56" s="62"/>
    </row>
    <row r="57" spans="2:63" ht="15.75" thickBot="1" x14ac:dyDescent="0.3">
      <c r="L57" s="69">
        <v>7</v>
      </c>
      <c r="M57" s="70"/>
      <c r="N57" s="71"/>
      <c r="O57" s="133">
        <f t="shared" si="15"/>
        <v>0</v>
      </c>
      <c r="P57" s="69">
        <v>6</v>
      </c>
      <c r="Q57" s="70"/>
      <c r="R57" s="71"/>
      <c r="S57" s="133">
        <f t="shared" si="16"/>
        <v>0</v>
      </c>
      <c r="T57" s="69">
        <v>5</v>
      </c>
      <c r="U57" s="70"/>
      <c r="V57" s="71"/>
      <c r="W57" s="133">
        <f t="shared" si="17"/>
        <v>0</v>
      </c>
      <c r="X57" s="69">
        <v>4</v>
      </c>
      <c r="Y57" s="70"/>
      <c r="Z57" s="71"/>
      <c r="AA57" s="133">
        <f t="shared" si="18"/>
        <v>0</v>
      </c>
      <c r="AB57" s="69">
        <v>3</v>
      </c>
      <c r="AC57" s="70" t="s">
        <v>337</v>
      </c>
      <c r="AD57" s="71">
        <v>20</v>
      </c>
      <c r="AE57" s="133">
        <f t="shared" si="19"/>
        <v>1</v>
      </c>
      <c r="AF57" s="69">
        <v>2</v>
      </c>
      <c r="AG57" s="70" t="s">
        <v>335</v>
      </c>
      <c r="AH57" s="71">
        <v>15</v>
      </c>
      <c r="AI57" s="133">
        <f t="shared" ref="AI57:AI65" si="20">IF(AH57&gt;0,1,0)</f>
        <v>1</v>
      </c>
      <c r="AJ57" s="69">
        <v>1</v>
      </c>
      <c r="AK57" s="70" t="s">
        <v>335</v>
      </c>
      <c r="AL57" s="71">
        <v>15</v>
      </c>
      <c r="AM57" s="133">
        <f>IF(AL57&gt;0,1,0)</f>
        <v>1</v>
      </c>
      <c r="AN57" s="65"/>
      <c r="AO57" s="66" t="s">
        <v>319</v>
      </c>
      <c r="AP57" s="67" t="s">
        <v>320</v>
      </c>
      <c r="AQ57" s="68"/>
      <c r="AS57" s="1887" t="s">
        <v>317</v>
      </c>
      <c r="AT57" s="1888"/>
      <c r="AU57" s="134">
        <f>SUM(AU59:AU68)</f>
        <v>0</v>
      </c>
      <c r="AW57" s="1879"/>
      <c r="AX57" s="1880"/>
      <c r="BA57" s="1877"/>
      <c r="BB57" s="1878"/>
      <c r="BC57" s="62"/>
      <c r="BE57" s="1877"/>
      <c r="BF57" s="1878"/>
      <c r="BG57" s="62"/>
      <c r="BI57" s="1875"/>
      <c r="BJ57" s="1876"/>
      <c r="BK57" s="62"/>
    </row>
    <row r="58" spans="2:63" ht="15.75" thickBot="1" x14ac:dyDescent="0.3">
      <c r="L58" s="69">
        <v>8</v>
      </c>
      <c r="M58" s="70"/>
      <c r="N58" s="71"/>
      <c r="O58" s="133">
        <f t="shared" si="15"/>
        <v>0</v>
      </c>
      <c r="P58" s="69">
        <v>7</v>
      </c>
      <c r="Q58" s="70"/>
      <c r="R58" s="71"/>
      <c r="S58" s="133">
        <f t="shared" si="16"/>
        <v>0</v>
      </c>
      <c r="T58" s="69">
        <v>6</v>
      </c>
      <c r="U58" s="70"/>
      <c r="V58" s="71"/>
      <c r="W58" s="133">
        <f t="shared" si="17"/>
        <v>0</v>
      </c>
      <c r="X58" s="69">
        <v>5</v>
      </c>
      <c r="Y58" s="70"/>
      <c r="Z58" s="71"/>
      <c r="AA58" s="133">
        <f t="shared" si="18"/>
        <v>0</v>
      </c>
      <c r="AB58" s="69">
        <v>4</v>
      </c>
      <c r="AC58" s="70"/>
      <c r="AD58" s="71"/>
      <c r="AE58" s="133">
        <f t="shared" si="19"/>
        <v>0</v>
      </c>
      <c r="AF58" s="69">
        <v>3</v>
      </c>
      <c r="AG58" s="70" t="s">
        <v>336</v>
      </c>
      <c r="AH58" s="71">
        <v>15</v>
      </c>
      <c r="AI58" s="133">
        <f t="shared" si="20"/>
        <v>1</v>
      </c>
      <c r="AJ58" s="69">
        <v>2</v>
      </c>
      <c r="AK58" s="70" t="s">
        <v>336</v>
      </c>
      <c r="AL58" s="71">
        <v>15</v>
      </c>
      <c r="AM58" s="133">
        <f t="shared" ref="AM58:AM66" si="21">IF(AL58&gt;0,1,0)</f>
        <v>1</v>
      </c>
      <c r="AN58" s="69">
        <v>1</v>
      </c>
      <c r="AO58" s="70" t="s">
        <v>335</v>
      </c>
      <c r="AP58" s="71">
        <v>15</v>
      </c>
      <c r="AQ58" s="133">
        <f>IF(AP58&gt;0,1,0)</f>
        <v>1</v>
      </c>
      <c r="AR58" s="65"/>
      <c r="AS58" s="66" t="s">
        <v>319</v>
      </c>
      <c r="AT58" s="67" t="s">
        <v>320</v>
      </c>
      <c r="AU58" s="68"/>
      <c r="AW58" s="1887" t="s">
        <v>317</v>
      </c>
      <c r="AX58" s="1888"/>
      <c r="AY58" s="134">
        <f>SUM(AY60:AY69)</f>
        <v>0</v>
      </c>
      <c r="BA58" s="1879"/>
      <c r="BB58" s="1880"/>
      <c r="BE58" s="1877"/>
      <c r="BF58" s="1878"/>
      <c r="BG58" s="62"/>
      <c r="BI58" s="1877"/>
      <c r="BJ58" s="1878"/>
      <c r="BK58" s="62"/>
    </row>
    <row r="59" spans="2:63" ht="15.75" thickBot="1" x14ac:dyDescent="0.3">
      <c r="L59" s="69">
        <v>9</v>
      </c>
      <c r="M59" s="70"/>
      <c r="N59" s="71"/>
      <c r="O59" s="133">
        <f t="shared" si="15"/>
        <v>0</v>
      </c>
      <c r="P59" s="69">
        <v>8</v>
      </c>
      <c r="Q59" s="70"/>
      <c r="R59" s="71"/>
      <c r="S59" s="133">
        <f t="shared" si="16"/>
        <v>0</v>
      </c>
      <c r="T59" s="69">
        <v>7</v>
      </c>
      <c r="U59" s="70"/>
      <c r="V59" s="71"/>
      <c r="W59" s="133">
        <f t="shared" si="17"/>
        <v>0</v>
      </c>
      <c r="X59" s="69">
        <v>6</v>
      </c>
      <c r="Y59" s="70"/>
      <c r="Z59" s="71"/>
      <c r="AA59" s="133">
        <f t="shared" si="18"/>
        <v>0</v>
      </c>
      <c r="AB59" s="69">
        <v>5</v>
      </c>
      <c r="AC59" s="70"/>
      <c r="AD59" s="71"/>
      <c r="AE59" s="133">
        <f t="shared" si="19"/>
        <v>0</v>
      </c>
      <c r="AF59" s="69">
        <v>4</v>
      </c>
      <c r="AG59" s="70" t="s">
        <v>337</v>
      </c>
      <c r="AH59" s="71">
        <v>20</v>
      </c>
      <c r="AI59" s="133">
        <f t="shared" si="20"/>
        <v>1</v>
      </c>
      <c r="AJ59" s="69">
        <v>3</v>
      </c>
      <c r="AK59" s="70" t="s">
        <v>337</v>
      </c>
      <c r="AL59" s="71">
        <v>20</v>
      </c>
      <c r="AM59" s="133">
        <f t="shared" si="21"/>
        <v>1</v>
      </c>
      <c r="AN59" s="69">
        <v>2</v>
      </c>
      <c r="AO59" s="70" t="s">
        <v>336</v>
      </c>
      <c r="AP59" s="71">
        <v>15</v>
      </c>
      <c r="AQ59" s="133">
        <f t="shared" ref="AQ59:AQ67" si="22">IF(AP59&gt;0,1,0)</f>
        <v>1</v>
      </c>
      <c r="AR59" s="69">
        <v>1</v>
      </c>
      <c r="AS59" s="70"/>
      <c r="AT59" s="71"/>
      <c r="AU59" s="133">
        <f>IF(AT59&gt;0,1,0)</f>
        <v>0</v>
      </c>
      <c r="AV59" s="65"/>
      <c r="AW59" s="66" t="s">
        <v>319</v>
      </c>
      <c r="AX59" s="67" t="s">
        <v>320</v>
      </c>
      <c r="AY59" s="68"/>
      <c r="BA59" s="1887" t="s">
        <v>317</v>
      </c>
      <c r="BB59" s="1888"/>
      <c r="BC59" s="134">
        <f>SUM(BC61:BC70)</f>
        <v>0</v>
      </c>
      <c r="BE59" s="1879"/>
      <c r="BF59" s="1880"/>
      <c r="BI59" s="1877"/>
      <c r="BJ59" s="1878"/>
      <c r="BK59" s="62"/>
    </row>
    <row r="60" spans="2:63" ht="15.75" thickBot="1" x14ac:dyDescent="0.3">
      <c r="B60" s="1865" t="str">
        <f>J39</f>
        <v>OPERAÇÃO SECUNDÁRIA</v>
      </c>
      <c r="C60" s="1865"/>
      <c r="D60" s="1865"/>
      <c r="E60" s="1865"/>
      <c r="F60" s="1865"/>
      <c r="G60" s="1865"/>
      <c r="H60" s="1865"/>
      <c r="L60" s="69">
        <v>10</v>
      </c>
      <c r="M60" s="72"/>
      <c r="N60" s="73"/>
      <c r="O60" s="133">
        <f t="shared" si="15"/>
        <v>0</v>
      </c>
      <c r="P60" s="69">
        <v>9</v>
      </c>
      <c r="Q60" s="70"/>
      <c r="R60" s="71"/>
      <c r="S60" s="133">
        <f t="shared" si="16"/>
        <v>0</v>
      </c>
      <c r="T60" s="69">
        <v>8</v>
      </c>
      <c r="U60" s="70"/>
      <c r="V60" s="71"/>
      <c r="W60" s="133">
        <f t="shared" si="17"/>
        <v>0</v>
      </c>
      <c r="X60" s="69">
        <v>7</v>
      </c>
      <c r="Y60" s="70"/>
      <c r="Z60" s="71"/>
      <c r="AA60" s="133">
        <f t="shared" si="18"/>
        <v>0</v>
      </c>
      <c r="AB60" s="69">
        <v>6</v>
      </c>
      <c r="AC60" s="70"/>
      <c r="AD60" s="71"/>
      <c r="AE60" s="133">
        <f t="shared" si="19"/>
        <v>0</v>
      </c>
      <c r="AF60" s="69">
        <v>5</v>
      </c>
      <c r="AG60" s="70"/>
      <c r="AH60" s="71"/>
      <c r="AI60" s="133">
        <f t="shared" si="20"/>
        <v>0</v>
      </c>
      <c r="AJ60" s="69">
        <v>4</v>
      </c>
      <c r="AK60" s="70"/>
      <c r="AL60" s="71"/>
      <c r="AM60" s="133">
        <f t="shared" si="21"/>
        <v>0</v>
      </c>
      <c r="AN60" s="69">
        <v>3</v>
      </c>
      <c r="AO60" s="70" t="s">
        <v>337</v>
      </c>
      <c r="AP60" s="71">
        <v>20</v>
      </c>
      <c r="AQ60" s="133">
        <f t="shared" si="22"/>
        <v>1</v>
      </c>
      <c r="AR60" s="69">
        <v>2</v>
      </c>
      <c r="AS60" s="70"/>
      <c r="AT60" s="71"/>
      <c r="AU60" s="133">
        <f t="shared" ref="AU60:AU68" si="23">IF(AT60&gt;0,1,0)</f>
        <v>0</v>
      </c>
      <c r="AV60" s="69">
        <v>1</v>
      </c>
      <c r="AW60" s="70"/>
      <c r="AX60" s="71"/>
      <c r="AY60" s="133">
        <f>IF(AX60&gt;0,1,0)</f>
        <v>0</v>
      </c>
      <c r="AZ60" s="65"/>
      <c r="BA60" s="66" t="s">
        <v>319</v>
      </c>
      <c r="BB60" s="67" t="s">
        <v>320</v>
      </c>
      <c r="BC60" s="68"/>
      <c r="BE60" s="1887" t="s">
        <v>317</v>
      </c>
      <c r="BF60" s="1888"/>
      <c r="BG60" s="134">
        <f>SUM(BG62:BG71)</f>
        <v>0</v>
      </c>
      <c r="BI60" s="1879"/>
      <c r="BJ60" s="1880"/>
    </row>
    <row r="61" spans="2:63" ht="15.75" thickBot="1" x14ac:dyDescent="0.3">
      <c r="B61" s="1893" t="s">
        <v>328</v>
      </c>
      <c r="C61" s="1893"/>
      <c r="D61" s="1893"/>
      <c r="E61" s="1893"/>
      <c r="F61" s="1893"/>
      <c r="G61" s="1893"/>
      <c r="H61" s="1893"/>
      <c r="P61" s="69">
        <v>10</v>
      </c>
      <c r="Q61" s="72"/>
      <c r="R61" s="73"/>
      <c r="S61" s="133">
        <f t="shared" si="16"/>
        <v>0</v>
      </c>
      <c r="T61" s="69">
        <v>9</v>
      </c>
      <c r="U61" s="70"/>
      <c r="V61" s="71"/>
      <c r="W61" s="133">
        <f t="shared" si="17"/>
        <v>0</v>
      </c>
      <c r="X61" s="69">
        <v>8</v>
      </c>
      <c r="Y61" s="70"/>
      <c r="Z61" s="71"/>
      <c r="AA61" s="133">
        <f t="shared" si="18"/>
        <v>0</v>
      </c>
      <c r="AB61" s="69">
        <v>7</v>
      </c>
      <c r="AC61" s="70"/>
      <c r="AD61" s="71"/>
      <c r="AE61" s="133">
        <f t="shared" si="19"/>
        <v>0</v>
      </c>
      <c r="AF61" s="69">
        <v>6</v>
      </c>
      <c r="AG61" s="70"/>
      <c r="AH61" s="71"/>
      <c r="AI61" s="133">
        <f t="shared" si="20"/>
        <v>0</v>
      </c>
      <c r="AJ61" s="69">
        <v>5</v>
      </c>
      <c r="AK61" s="70"/>
      <c r="AL61" s="71"/>
      <c r="AM61" s="133">
        <f t="shared" si="21"/>
        <v>0</v>
      </c>
      <c r="AN61" s="69">
        <v>4</v>
      </c>
      <c r="AO61" s="70" t="s">
        <v>478</v>
      </c>
      <c r="AP61" s="71">
        <f>60*5</f>
        <v>300</v>
      </c>
      <c r="AQ61" s="133">
        <f t="shared" si="22"/>
        <v>1</v>
      </c>
      <c r="AR61" s="69">
        <v>3</v>
      </c>
      <c r="AS61" s="70"/>
      <c r="AT61" s="71"/>
      <c r="AU61" s="133">
        <f t="shared" si="23"/>
        <v>0</v>
      </c>
      <c r="AV61" s="69">
        <v>2</v>
      </c>
      <c r="AW61" s="70"/>
      <c r="AX61" s="71"/>
      <c r="AY61" s="133">
        <f t="shared" ref="AY61:AY69" si="24">IF(AX61&gt;0,1,0)</f>
        <v>0</v>
      </c>
      <c r="AZ61" s="69">
        <v>1</v>
      </c>
      <c r="BA61" s="70"/>
      <c r="BB61" s="71"/>
      <c r="BC61" s="133">
        <f>IF(BB61&gt;0,1,0)</f>
        <v>0</v>
      </c>
      <c r="BD61" s="65"/>
      <c r="BE61" s="66" t="s">
        <v>319</v>
      </c>
      <c r="BF61" s="67" t="s">
        <v>320</v>
      </c>
      <c r="BG61" s="68"/>
      <c r="BI61" s="1887" t="s">
        <v>317</v>
      </c>
      <c r="BJ61" s="1888"/>
      <c r="BK61" s="134">
        <f>SUM(BK63:BK72)</f>
        <v>0</v>
      </c>
    </row>
    <row r="62" spans="2:63" ht="15.75" thickBot="1" x14ac:dyDescent="0.3">
      <c r="B62" t="s">
        <v>330</v>
      </c>
      <c r="C62" s="1903" t="s">
        <v>331</v>
      </c>
      <c r="D62" s="1904"/>
      <c r="E62" s="1905" t="s">
        <v>398</v>
      </c>
      <c r="F62" s="1904"/>
      <c r="G62" s="8" t="s">
        <v>329</v>
      </c>
      <c r="H62" s="8" t="s">
        <v>395</v>
      </c>
      <c r="T62" s="69">
        <v>10</v>
      </c>
      <c r="U62" s="72"/>
      <c r="V62" s="73"/>
      <c r="W62" s="133">
        <f t="shared" si="17"/>
        <v>0</v>
      </c>
      <c r="X62" s="69">
        <v>9</v>
      </c>
      <c r="Y62" s="70"/>
      <c r="Z62" s="71"/>
      <c r="AA62" s="133">
        <f t="shared" si="18"/>
        <v>0</v>
      </c>
      <c r="AB62" s="69">
        <v>8</v>
      </c>
      <c r="AC62" s="70"/>
      <c r="AD62" s="71"/>
      <c r="AE62" s="133">
        <f t="shared" si="19"/>
        <v>0</v>
      </c>
      <c r="AF62" s="69">
        <v>7</v>
      </c>
      <c r="AG62" s="70"/>
      <c r="AH62" s="71"/>
      <c r="AI62" s="133">
        <f t="shared" si="20"/>
        <v>0</v>
      </c>
      <c r="AJ62" s="69">
        <v>6</v>
      </c>
      <c r="AK62" s="70"/>
      <c r="AL62" s="71"/>
      <c r="AM62" s="133">
        <f t="shared" si="21"/>
        <v>0</v>
      </c>
      <c r="AN62" s="69">
        <v>5</v>
      </c>
      <c r="AO62" s="70"/>
      <c r="AP62" s="71"/>
      <c r="AQ62" s="133">
        <f t="shared" si="22"/>
        <v>0</v>
      </c>
      <c r="AR62" s="69">
        <v>4</v>
      </c>
      <c r="AS62" s="70"/>
      <c r="AT62" s="71"/>
      <c r="AU62" s="133">
        <f t="shared" si="23"/>
        <v>0</v>
      </c>
      <c r="AV62" s="69">
        <v>3</v>
      </c>
      <c r="AW62" s="70"/>
      <c r="AX62" s="71"/>
      <c r="AY62" s="133">
        <f t="shared" si="24"/>
        <v>0</v>
      </c>
      <c r="AZ62" s="69">
        <v>2</v>
      </c>
      <c r="BA62" s="70"/>
      <c r="BB62" s="71"/>
      <c r="BC62" s="133">
        <f t="shared" ref="BC62:BC70" si="25">IF(BB62&gt;0,1,0)</f>
        <v>0</v>
      </c>
      <c r="BD62" s="69">
        <v>1</v>
      </c>
      <c r="BE62" s="70"/>
      <c r="BF62" s="71"/>
      <c r="BG62" s="133">
        <f>IF(BF62&gt;0,1,0)</f>
        <v>0</v>
      </c>
      <c r="BH62" s="65"/>
      <c r="BI62" s="66" t="s">
        <v>319</v>
      </c>
      <c r="BJ62" s="67" t="s">
        <v>320</v>
      </c>
      <c r="BK62" s="68"/>
    </row>
    <row r="63" spans="2:63" ht="15.75" thickBot="1" x14ac:dyDescent="0.3">
      <c r="B63" s="239" t="s">
        <v>300</v>
      </c>
      <c r="C63" s="1894" t="s">
        <v>397</v>
      </c>
      <c r="D63" s="1895"/>
      <c r="E63" s="1896" t="s">
        <v>491</v>
      </c>
      <c r="F63" s="1897"/>
      <c r="G63" s="190" t="s">
        <v>301</v>
      </c>
      <c r="H63" s="82">
        <f>IF(M43&gt;0,M43,"")</f>
        <v>1</v>
      </c>
      <c r="X63" s="69">
        <v>10</v>
      </c>
      <c r="Y63" s="72"/>
      <c r="Z63" s="73"/>
      <c r="AA63" s="133">
        <f t="shared" si="18"/>
        <v>0</v>
      </c>
      <c r="AB63" s="69">
        <v>9</v>
      </c>
      <c r="AC63" s="70"/>
      <c r="AD63" s="71"/>
      <c r="AE63" s="133">
        <f t="shared" si="19"/>
        <v>0</v>
      </c>
      <c r="AF63" s="69">
        <v>8</v>
      </c>
      <c r="AG63" s="70"/>
      <c r="AH63" s="71"/>
      <c r="AI63" s="133">
        <f t="shared" si="20"/>
        <v>0</v>
      </c>
      <c r="AJ63" s="69">
        <v>7</v>
      </c>
      <c r="AK63" s="70"/>
      <c r="AL63" s="71"/>
      <c r="AM63" s="133">
        <f t="shared" si="21"/>
        <v>0</v>
      </c>
      <c r="AN63" s="69">
        <v>6</v>
      </c>
      <c r="AO63" s="70"/>
      <c r="AP63" s="71"/>
      <c r="AQ63" s="133">
        <f t="shared" si="22"/>
        <v>0</v>
      </c>
      <c r="AR63" s="69">
        <v>5</v>
      </c>
      <c r="AS63" s="70"/>
      <c r="AT63" s="71"/>
      <c r="AU63" s="133">
        <f t="shared" si="23"/>
        <v>0</v>
      </c>
      <c r="AV63" s="69">
        <v>4</v>
      </c>
      <c r="AW63" s="70"/>
      <c r="AX63" s="71"/>
      <c r="AY63" s="133">
        <f t="shared" si="24"/>
        <v>0</v>
      </c>
      <c r="AZ63" s="69">
        <v>3</v>
      </c>
      <c r="BA63" s="70"/>
      <c r="BB63" s="71"/>
      <c r="BC63" s="133">
        <f t="shared" si="25"/>
        <v>0</v>
      </c>
      <c r="BD63" s="69">
        <v>2</v>
      </c>
      <c r="BE63" s="70"/>
      <c r="BF63" s="71"/>
      <c r="BG63" s="133">
        <f t="shared" ref="BG63:BG71" si="26">IF(BF63&gt;0,1,0)</f>
        <v>0</v>
      </c>
      <c r="BH63" s="69">
        <v>1</v>
      </c>
      <c r="BI63" s="70"/>
      <c r="BJ63" s="71"/>
      <c r="BK63" s="133">
        <f>IF(BJ63&gt;0,1,0)</f>
        <v>0</v>
      </c>
    </row>
    <row r="64" spans="2:63" ht="15.75" thickBot="1" x14ac:dyDescent="0.3">
      <c r="B64" s="240" t="s">
        <v>304</v>
      </c>
      <c r="C64" s="1894" t="s">
        <v>396</v>
      </c>
      <c r="D64" s="1895"/>
      <c r="E64" s="1894" t="s">
        <v>478</v>
      </c>
      <c r="F64" s="1895"/>
      <c r="G64" s="190" t="s">
        <v>301</v>
      </c>
      <c r="H64" s="82">
        <f>IF(Q44&gt;0,Q44,"")</f>
        <v>1.6666666666666667</v>
      </c>
      <c r="AB64" s="69">
        <v>10</v>
      </c>
      <c r="AC64" s="72"/>
      <c r="AD64" s="73"/>
      <c r="AE64" s="133">
        <f t="shared" si="19"/>
        <v>0</v>
      </c>
      <c r="AF64" s="69">
        <v>9</v>
      </c>
      <c r="AG64" s="70"/>
      <c r="AH64" s="71"/>
      <c r="AI64" s="133">
        <f t="shared" si="20"/>
        <v>0</v>
      </c>
      <c r="AJ64" s="69">
        <v>8</v>
      </c>
      <c r="AK64" s="70"/>
      <c r="AL64" s="71"/>
      <c r="AM64" s="133">
        <f t="shared" si="21"/>
        <v>0</v>
      </c>
      <c r="AN64" s="69">
        <v>7</v>
      </c>
      <c r="AO64" s="70"/>
      <c r="AP64" s="71"/>
      <c r="AQ64" s="133">
        <f t="shared" si="22"/>
        <v>0</v>
      </c>
      <c r="AR64" s="69">
        <v>6</v>
      </c>
      <c r="AS64" s="70"/>
      <c r="AT64" s="71"/>
      <c r="AU64" s="133">
        <f t="shared" si="23"/>
        <v>0</v>
      </c>
      <c r="AV64" s="69">
        <v>5</v>
      </c>
      <c r="AW64" s="70"/>
      <c r="AX64" s="71"/>
      <c r="AY64" s="133">
        <f t="shared" si="24"/>
        <v>0</v>
      </c>
      <c r="AZ64" s="69">
        <v>4</v>
      </c>
      <c r="BA64" s="70"/>
      <c r="BB64" s="71"/>
      <c r="BC64" s="133">
        <f t="shared" si="25"/>
        <v>0</v>
      </c>
      <c r="BD64" s="69">
        <v>3</v>
      </c>
      <c r="BE64" s="70"/>
      <c r="BF64" s="71"/>
      <c r="BG64" s="133">
        <f t="shared" si="26"/>
        <v>0</v>
      </c>
      <c r="BH64" s="69">
        <v>2</v>
      </c>
      <c r="BI64" s="70"/>
      <c r="BJ64" s="71"/>
      <c r="BK64" s="133">
        <f t="shared" ref="BK64:BK72" si="27">IF(BJ64&gt;0,1,0)</f>
        <v>0</v>
      </c>
    </row>
    <row r="65" spans="2:63" ht="15.75" thickBot="1" x14ac:dyDescent="0.3">
      <c r="B65" s="240" t="s">
        <v>307</v>
      </c>
      <c r="C65" s="1894"/>
      <c r="D65" s="1895"/>
      <c r="E65" s="1896" t="s">
        <v>491</v>
      </c>
      <c r="F65" s="1897"/>
      <c r="G65" s="190" t="s">
        <v>301</v>
      </c>
      <c r="H65" s="82">
        <f>IF(U45&gt;0,U45,"")</f>
        <v>4.833333333333333</v>
      </c>
      <c r="AF65" s="69">
        <v>10</v>
      </c>
      <c r="AG65" s="72"/>
      <c r="AH65" s="73"/>
      <c r="AI65" s="133">
        <f t="shared" si="20"/>
        <v>0</v>
      </c>
      <c r="AJ65" s="69">
        <v>9</v>
      </c>
      <c r="AK65" s="70"/>
      <c r="AL65" s="71"/>
      <c r="AM65" s="133">
        <f t="shared" si="21"/>
        <v>0</v>
      </c>
      <c r="AN65" s="69">
        <v>8</v>
      </c>
      <c r="AO65" s="70"/>
      <c r="AP65" s="71"/>
      <c r="AQ65" s="133">
        <f t="shared" si="22"/>
        <v>0</v>
      </c>
      <c r="AR65" s="69">
        <v>7</v>
      </c>
      <c r="AS65" s="70"/>
      <c r="AT65" s="71"/>
      <c r="AU65" s="133">
        <f t="shared" si="23"/>
        <v>0</v>
      </c>
      <c r="AV65" s="69">
        <v>6</v>
      </c>
      <c r="AW65" s="70"/>
      <c r="AX65" s="71"/>
      <c r="AY65" s="133">
        <f t="shared" si="24"/>
        <v>0</v>
      </c>
      <c r="AZ65" s="69">
        <v>5</v>
      </c>
      <c r="BA65" s="70"/>
      <c r="BB65" s="71"/>
      <c r="BC65" s="133">
        <f t="shared" si="25"/>
        <v>0</v>
      </c>
      <c r="BD65" s="69">
        <v>4</v>
      </c>
      <c r="BE65" s="70"/>
      <c r="BF65" s="71"/>
      <c r="BG65" s="133">
        <f t="shared" si="26"/>
        <v>0</v>
      </c>
      <c r="BH65" s="69">
        <v>3</v>
      </c>
      <c r="BI65" s="70"/>
      <c r="BJ65" s="71"/>
      <c r="BK65" s="133">
        <f t="shared" si="27"/>
        <v>0</v>
      </c>
    </row>
    <row r="66" spans="2:63" ht="15.75" thickBot="1" x14ac:dyDescent="0.3">
      <c r="B66" s="240" t="s">
        <v>308</v>
      </c>
      <c r="C66" s="1894"/>
      <c r="D66" s="1895"/>
      <c r="E66" s="1896" t="s">
        <v>491</v>
      </c>
      <c r="F66" s="1897"/>
      <c r="G66" s="190" t="s">
        <v>301</v>
      </c>
      <c r="H66" s="82">
        <f>IF(Y46&gt;0,Y46,"")</f>
        <v>0.83333333333333337</v>
      </c>
      <c r="AJ66" s="69">
        <v>10</v>
      </c>
      <c r="AK66" s="72"/>
      <c r="AL66" s="73"/>
      <c r="AM66" s="133">
        <f t="shared" si="21"/>
        <v>0</v>
      </c>
      <c r="AN66" s="69">
        <v>9</v>
      </c>
      <c r="AO66" s="70"/>
      <c r="AP66" s="71"/>
      <c r="AQ66" s="133">
        <f t="shared" si="22"/>
        <v>0</v>
      </c>
      <c r="AR66" s="69">
        <v>8</v>
      </c>
      <c r="AS66" s="70"/>
      <c r="AT66" s="71"/>
      <c r="AU66" s="133">
        <f t="shared" si="23"/>
        <v>0</v>
      </c>
      <c r="AV66" s="69">
        <v>7</v>
      </c>
      <c r="AW66" s="70"/>
      <c r="AX66" s="71"/>
      <c r="AY66" s="133">
        <f t="shared" si="24"/>
        <v>0</v>
      </c>
      <c r="AZ66" s="69">
        <v>6</v>
      </c>
      <c r="BA66" s="70"/>
      <c r="BB66" s="71"/>
      <c r="BC66" s="133">
        <f t="shared" si="25"/>
        <v>0</v>
      </c>
      <c r="BD66" s="69">
        <v>5</v>
      </c>
      <c r="BE66" s="70"/>
      <c r="BF66" s="71"/>
      <c r="BG66" s="133">
        <f t="shared" si="26"/>
        <v>0</v>
      </c>
      <c r="BH66" s="69">
        <v>4</v>
      </c>
      <c r="BI66" s="70"/>
      <c r="BJ66" s="71"/>
      <c r="BK66" s="133">
        <f t="shared" si="27"/>
        <v>0</v>
      </c>
    </row>
    <row r="67" spans="2:63" ht="15.75" thickBot="1" x14ac:dyDescent="0.3">
      <c r="B67" s="240" t="s">
        <v>309</v>
      </c>
      <c r="C67" s="1894"/>
      <c r="D67" s="1895"/>
      <c r="E67" s="1896" t="s">
        <v>491</v>
      </c>
      <c r="F67" s="1897"/>
      <c r="G67" s="190" t="s">
        <v>301</v>
      </c>
      <c r="H67" s="82">
        <f>IF(AC47&gt;0,AC47,"")</f>
        <v>0.83333333333333337</v>
      </c>
      <c r="AN67" s="69">
        <v>10</v>
      </c>
      <c r="AO67" s="72"/>
      <c r="AP67" s="73"/>
      <c r="AQ67" s="133">
        <f t="shared" si="22"/>
        <v>0</v>
      </c>
      <c r="AR67" s="69">
        <v>9</v>
      </c>
      <c r="AS67" s="70"/>
      <c r="AT67" s="71"/>
      <c r="AU67" s="133">
        <f t="shared" si="23"/>
        <v>0</v>
      </c>
      <c r="AV67" s="69">
        <v>8</v>
      </c>
      <c r="AW67" s="70"/>
      <c r="AX67" s="71"/>
      <c r="AY67" s="133">
        <f t="shared" si="24"/>
        <v>0</v>
      </c>
      <c r="AZ67" s="69">
        <v>7</v>
      </c>
      <c r="BA67" s="70"/>
      <c r="BB67" s="71"/>
      <c r="BC67" s="133">
        <f t="shared" si="25"/>
        <v>0</v>
      </c>
      <c r="BD67" s="69">
        <v>6</v>
      </c>
      <c r="BE67" s="70"/>
      <c r="BF67" s="71"/>
      <c r="BG67" s="133">
        <f t="shared" si="26"/>
        <v>0</v>
      </c>
      <c r="BH67" s="69">
        <v>5</v>
      </c>
      <c r="BI67" s="70"/>
      <c r="BJ67" s="71"/>
      <c r="BK67" s="133">
        <f t="shared" si="27"/>
        <v>0</v>
      </c>
    </row>
    <row r="68" spans="2:63" ht="15.75" thickBot="1" x14ac:dyDescent="0.3">
      <c r="B68" s="240" t="s">
        <v>312</v>
      </c>
      <c r="C68" s="1894"/>
      <c r="D68" s="1895"/>
      <c r="E68" s="1896" t="s">
        <v>491</v>
      </c>
      <c r="F68" s="1897"/>
      <c r="G68" s="190" t="s">
        <v>301</v>
      </c>
      <c r="H68" s="82">
        <f>IF(AG48&gt;0,AG48,"")</f>
        <v>1.0833333333333333</v>
      </c>
      <c r="AR68" s="69">
        <v>10</v>
      </c>
      <c r="AS68" s="72"/>
      <c r="AT68" s="73"/>
      <c r="AU68" s="133">
        <f t="shared" si="23"/>
        <v>0</v>
      </c>
      <c r="AV68" s="69">
        <v>9</v>
      </c>
      <c r="AW68" s="70"/>
      <c r="AX68" s="71"/>
      <c r="AY68" s="133">
        <f t="shared" si="24"/>
        <v>0</v>
      </c>
      <c r="AZ68" s="69">
        <v>8</v>
      </c>
      <c r="BA68" s="70"/>
      <c r="BB68" s="71"/>
      <c r="BC68" s="133">
        <f t="shared" si="25"/>
        <v>0</v>
      </c>
      <c r="BD68" s="69">
        <v>7</v>
      </c>
      <c r="BE68" s="70"/>
      <c r="BF68" s="71"/>
      <c r="BG68" s="133">
        <f t="shared" si="26"/>
        <v>0</v>
      </c>
      <c r="BH68" s="69">
        <v>6</v>
      </c>
      <c r="BI68" s="70"/>
      <c r="BJ68" s="71"/>
      <c r="BK68" s="133">
        <f t="shared" si="27"/>
        <v>0</v>
      </c>
    </row>
    <row r="69" spans="2:63" ht="15.75" thickBot="1" x14ac:dyDescent="0.3">
      <c r="B69" s="240" t="s">
        <v>316</v>
      </c>
      <c r="C69" s="1894"/>
      <c r="D69" s="1895"/>
      <c r="E69" s="1896" t="s">
        <v>491</v>
      </c>
      <c r="F69" s="1897"/>
      <c r="G69" s="190" t="s">
        <v>301</v>
      </c>
      <c r="H69" s="82">
        <f>IF(AK49&gt;0,AK49,"")</f>
        <v>0.83333333333333337</v>
      </c>
      <c r="AV69" s="69">
        <v>10</v>
      </c>
      <c r="AW69" s="72"/>
      <c r="AX69" s="73"/>
      <c r="AY69" s="133">
        <f t="shared" si="24"/>
        <v>0</v>
      </c>
      <c r="AZ69" s="69">
        <v>9</v>
      </c>
      <c r="BA69" s="70"/>
      <c r="BB69" s="71"/>
      <c r="BC69" s="133">
        <f t="shared" si="25"/>
        <v>0</v>
      </c>
      <c r="BD69" s="69">
        <v>8</v>
      </c>
      <c r="BE69" s="70"/>
      <c r="BF69" s="71"/>
      <c r="BG69" s="133">
        <f t="shared" si="26"/>
        <v>0</v>
      </c>
      <c r="BH69" s="69">
        <v>7</v>
      </c>
      <c r="BI69" s="70"/>
      <c r="BJ69" s="71"/>
      <c r="BK69" s="133">
        <f t="shared" si="27"/>
        <v>0</v>
      </c>
    </row>
    <row r="70" spans="2:63" ht="15.75" thickBot="1" x14ac:dyDescent="0.3">
      <c r="B70" s="240" t="s">
        <v>318</v>
      </c>
      <c r="C70" s="1894"/>
      <c r="D70" s="1895"/>
      <c r="E70" s="1894" t="s">
        <v>478</v>
      </c>
      <c r="F70" s="1895"/>
      <c r="G70" s="190" t="s">
        <v>301</v>
      </c>
      <c r="H70" s="82">
        <f>IF(AO50&gt;0,AO50,"")</f>
        <v>5.833333333333333</v>
      </c>
      <c r="AZ70" s="69">
        <v>10</v>
      </c>
      <c r="BA70" s="72"/>
      <c r="BB70" s="73"/>
      <c r="BC70" s="133">
        <f t="shared" si="25"/>
        <v>0</v>
      </c>
      <c r="BD70" s="69">
        <v>9</v>
      </c>
      <c r="BE70" s="70"/>
      <c r="BF70" s="71"/>
      <c r="BG70" s="133">
        <f t="shared" si="26"/>
        <v>0</v>
      </c>
      <c r="BH70" s="69">
        <v>8</v>
      </c>
      <c r="BI70" s="70"/>
      <c r="BJ70" s="71"/>
      <c r="BK70" s="133">
        <f t="shared" si="27"/>
        <v>0</v>
      </c>
    </row>
    <row r="71" spans="2:63" ht="15.75" thickBot="1" x14ac:dyDescent="0.3">
      <c r="B71" s="240" t="s">
        <v>321</v>
      </c>
      <c r="C71" s="1894"/>
      <c r="D71" s="1895"/>
      <c r="E71" s="1894" t="s">
        <v>316</v>
      </c>
      <c r="F71" s="1895"/>
      <c r="G71" s="190" t="s">
        <v>189</v>
      </c>
      <c r="H71" s="82" t="str">
        <f>IF(AS51&gt;0,AS51,"")</f>
        <v/>
      </c>
      <c r="BD71" s="69">
        <v>10</v>
      </c>
      <c r="BE71" s="72"/>
      <c r="BF71" s="73"/>
      <c r="BG71" s="133">
        <f t="shared" si="26"/>
        <v>0</v>
      </c>
      <c r="BH71" s="69">
        <v>9</v>
      </c>
      <c r="BI71" s="70"/>
      <c r="BJ71" s="71"/>
      <c r="BK71" s="133">
        <f t="shared" si="27"/>
        <v>0</v>
      </c>
    </row>
    <row r="72" spans="2:63" ht="15.75" thickBot="1" x14ac:dyDescent="0.3">
      <c r="B72" s="240" t="s">
        <v>322</v>
      </c>
      <c r="C72" s="1894"/>
      <c r="D72" s="1895"/>
      <c r="E72" s="1894" t="s">
        <v>318</v>
      </c>
      <c r="F72" s="1895"/>
      <c r="G72" s="190" t="s">
        <v>189</v>
      </c>
      <c r="H72" s="82" t="str">
        <f>IF(AW52&gt;0,AW52,"")</f>
        <v/>
      </c>
      <c r="BH72" s="69">
        <v>10</v>
      </c>
      <c r="BI72" s="72"/>
      <c r="BJ72" s="73"/>
      <c r="BK72" s="133">
        <f t="shared" si="27"/>
        <v>0</v>
      </c>
    </row>
    <row r="73" spans="2:63" x14ac:dyDescent="0.25">
      <c r="B73" s="240" t="s">
        <v>323</v>
      </c>
      <c r="C73" s="1894"/>
      <c r="D73" s="1895"/>
      <c r="E73" s="1894" t="s">
        <v>321</v>
      </c>
      <c r="F73" s="1895"/>
      <c r="G73" s="190" t="s">
        <v>189</v>
      </c>
      <c r="H73" s="82" t="str">
        <f>IF(BA53&gt;0,BA53,"")</f>
        <v/>
      </c>
    </row>
    <row r="74" spans="2:63" x14ac:dyDescent="0.25">
      <c r="B74" s="240" t="s">
        <v>325</v>
      </c>
      <c r="C74" s="1894"/>
      <c r="D74" s="1895"/>
      <c r="E74" s="1894" t="s">
        <v>322</v>
      </c>
      <c r="F74" s="1895"/>
      <c r="G74" s="190" t="s">
        <v>189</v>
      </c>
      <c r="H74" s="82" t="str">
        <f>IF(BE54&gt;0,BE54,"")</f>
        <v/>
      </c>
    </row>
    <row r="75" spans="2:63" x14ac:dyDescent="0.25">
      <c r="B75" s="240" t="s">
        <v>327</v>
      </c>
      <c r="C75" s="1894"/>
      <c r="D75" s="1895"/>
      <c r="E75" s="1894" t="s">
        <v>323</v>
      </c>
      <c r="F75" s="1895"/>
      <c r="G75" s="190" t="s">
        <v>189</v>
      </c>
      <c r="H75" s="82" t="str">
        <f>IF(BI55&gt;0,BI55,"")</f>
        <v/>
      </c>
    </row>
    <row r="76" spans="2:63" x14ac:dyDescent="0.25">
      <c r="C76" s="20"/>
    </row>
    <row r="77" spans="2:63" x14ac:dyDescent="0.25">
      <c r="D77" s="1898" t="s">
        <v>310</v>
      </c>
      <c r="E77" s="1898"/>
      <c r="F77" s="1899"/>
      <c r="G77" s="1899" t="s">
        <v>311</v>
      </c>
      <c r="H77" s="1900"/>
    </row>
    <row r="78" spans="2:63" x14ac:dyDescent="0.25">
      <c r="D78" t="s">
        <v>313</v>
      </c>
      <c r="E78" t="s">
        <v>314</v>
      </c>
      <c r="F78" t="s">
        <v>315</v>
      </c>
      <c r="G78" s="63"/>
    </row>
    <row r="79" spans="2:63" x14ac:dyDescent="0.25">
      <c r="D79" s="64">
        <f>BC47</f>
        <v>0</v>
      </c>
      <c r="E79" s="64">
        <f>BD47</f>
        <v>16</v>
      </c>
      <c r="F79" s="64">
        <f>BE47</f>
        <v>55.000000000000071</v>
      </c>
      <c r="G79" s="1901">
        <f>BF47</f>
        <v>29</v>
      </c>
      <c r="H79" s="1902"/>
    </row>
    <row r="80" spans="2:63" x14ac:dyDescent="0.25">
      <c r="D80" s="1889">
        <f>BC48</f>
        <v>0.28194444444444444</v>
      </c>
      <c r="E80" s="1889"/>
      <c r="F80" s="1889"/>
      <c r="G80" s="1889"/>
      <c r="H80" s="1889"/>
    </row>
    <row r="81" spans="3:3" x14ac:dyDescent="0.25">
      <c r="C81" s="220" t="s">
        <v>399</v>
      </c>
    </row>
  </sheetData>
  <sheetProtection algorithmName="SHA-512" hashValue="5GlIoo0Cg+YzcVNVJl9Tyz/svISzsIY/3OqSiroxdcnA7r3Ki3yHqQfmgrH3ckm5MfCkK0SjXGjY5oEkuPRuVA==" saltValue="wPmPKOoUJHu1vI1bUA03DA==" spinCount="100000" sheet="1" selectLockedCells="1"/>
  <mergeCells count="257">
    <mergeCell ref="E70:F70"/>
    <mergeCell ref="C71:D71"/>
    <mergeCell ref="E71:F71"/>
    <mergeCell ref="C72:D72"/>
    <mergeCell ref="E72:F72"/>
    <mergeCell ref="C64:D64"/>
    <mergeCell ref="E64:F64"/>
    <mergeCell ref="C65:D65"/>
    <mergeCell ref="E65:F65"/>
    <mergeCell ref="C66:D66"/>
    <mergeCell ref="E66:F66"/>
    <mergeCell ref="C27:D27"/>
    <mergeCell ref="E27:F27"/>
    <mergeCell ref="C40:D40"/>
    <mergeCell ref="C39:D39"/>
    <mergeCell ref="C38:D38"/>
    <mergeCell ref="C37:D37"/>
    <mergeCell ref="C36:D36"/>
    <mergeCell ref="C35:D35"/>
    <mergeCell ref="C34:D34"/>
    <mergeCell ref="C33:D33"/>
    <mergeCell ref="C32:D32"/>
    <mergeCell ref="C31:D31"/>
    <mergeCell ref="C30:D30"/>
    <mergeCell ref="C29:D29"/>
    <mergeCell ref="C28:D28"/>
    <mergeCell ref="E28:F28"/>
    <mergeCell ref="E29:F29"/>
    <mergeCell ref="E30:F30"/>
    <mergeCell ref="E31:F31"/>
    <mergeCell ref="E32:F32"/>
    <mergeCell ref="E33:F33"/>
    <mergeCell ref="E39:F39"/>
    <mergeCell ref="E40:F40"/>
    <mergeCell ref="BI61:BJ61"/>
    <mergeCell ref="BI55:BJ55"/>
    <mergeCell ref="AS57:AT57"/>
    <mergeCell ref="BI57:BJ60"/>
    <mergeCell ref="AW58:AX58"/>
    <mergeCell ref="BA59:BB59"/>
    <mergeCell ref="BE60:BF60"/>
    <mergeCell ref="BE52:BF52"/>
    <mergeCell ref="AG54:AH54"/>
    <mergeCell ref="AW54:AX57"/>
    <mergeCell ref="BA53:BB53"/>
    <mergeCell ref="BI53:BJ53"/>
    <mergeCell ref="AK55:AL55"/>
    <mergeCell ref="BA55:BB58"/>
    <mergeCell ref="BE54:BF54"/>
    <mergeCell ref="AO56:AP56"/>
    <mergeCell ref="BE56:BF59"/>
    <mergeCell ref="Q50:R50"/>
    <mergeCell ref="AG50:AH53"/>
    <mergeCell ref="AK49:AL49"/>
    <mergeCell ref="AS49:AT49"/>
    <mergeCell ref="U51:V51"/>
    <mergeCell ref="BF45:BG45"/>
    <mergeCell ref="U47:V50"/>
    <mergeCell ref="Y46:Z46"/>
    <mergeCell ref="AG46:AH46"/>
    <mergeCell ref="Y48:Z51"/>
    <mergeCell ref="AC47:AD47"/>
    <mergeCell ref="AK47:AL47"/>
    <mergeCell ref="BF47:BG47"/>
    <mergeCell ref="AK51:AL54"/>
    <mergeCell ref="AO50:AP50"/>
    <mergeCell ref="AW50:AX50"/>
    <mergeCell ref="Y52:Z52"/>
    <mergeCell ref="AO52:AP55"/>
    <mergeCell ref="AS51:AT51"/>
    <mergeCell ref="BA51:BB51"/>
    <mergeCell ref="AC53:AD53"/>
    <mergeCell ref="AS53:AT56"/>
    <mergeCell ref="AW52:AX52"/>
    <mergeCell ref="AC49:AD52"/>
    <mergeCell ref="Y44:Z44"/>
    <mergeCell ref="Q46:R49"/>
    <mergeCell ref="U45:V45"/>
    <mergeCell ref="AC45:AD45"/>
    <mergeCell ref="BC45:BE45"/>
    <mergeCell ref="K40:L40"/>
    <mergeCell ref="AY40:BA40"/>
    <mergeCell ref="K41:L41"/>
    <mergeCell ref="M41:N41"/>
    <mergeCell ref="AR41:BA46"/>
    <mergeCell ref="Q42:R42"/>
    <mergeCell ref="M43:N43"/>
    <mergeCell ref="U43:V43"/>
    <mergeCell ref="M45:N48"/>
    <mergeCell ref="BC48:BG48"/>
    <mergeCell ref="M49:N49"/>
    <mergeCell ref="AG48:AH48"/>
    <mergeCell ref="AO48:AP48"/>
    <mergeCell ref="U46:V46"/>
    <mergeCell ref="Y47:Z47"/>
    <mergeCell ref="AC48:AD48"/>
    <mergeCell ref="AG49:AH49"/>
    <mergeCell ref="BA16:BB16"/>
    <mergeCell ref="AW17:AX17"/>
    <mergeCell ref="AO15:AP15"/>
    <mergeCell ref="BE17:BF17"/>
    <mergeCell ref="X39:AH39"/>
    <mergeCell ref="AI39:AS39"/>
    <mergeCell ref="AT39:BD39"/>
    <mergeCell ref="BE39:BO39"/>
    <mergeCell ref="BI18:BJ18"/>
    <mergeCell ref="AK20:AL20"/>
    <mergeCell ref="BE19:BF19"/>
    <mergeCell ref="AO21:AP21"/>
    <mergeCell ref="BI20:BJ20"/>
    <mergeCell ref="AS22:AT22"/>
    <mergeCell ref="AW23:AX23"/>
    <mergeCell ref="BA24:BB24"/>
    <mergeCell ref="BE25:BF25"/>
    <mergeCell ref="AG19:AH19"/>
    <mergeCell ref="BA18:BB18"/>
    <mergeCell ref="Y17:Z17"/>
    <mergeCell ref="AS16:AT16"/>
    <mergeCell ref="AC18:AD18"/>
    <mergeCell ref="B2:F2"/>
    <mergeCell ref="B3:E3"/>
    <mergeCell ref="B4:E5"/>
    <mergeCell ref="F4:F5"/>
    <mergeCell ref="J4:L4"/>
    <mergeCell ref="M4:W4"/>
    <mergeCell ref="BF10:BG10"/>
    <mergeCell ref="Y11:Z11"/>
    <mergeCell ref="AG11:AH11"/>
    <mergeCell ref="AH6:AJ6"/>
    <mergeCell ref="AL6:AP6"/>
    <mergeCell ref="AH7:AJ7"/>
    <mergeCell ref="AL7:AP7"/>
    <mergeCell ref="M2:X2"/>
    <mergeCell ref="Y2:AJ2"/>
    <mergeCell ref="AK2:AV2"/>
    <mergeCell ref="AW2:BH2"/>
    <mergeCell ref="BD6:BF6"/>
    <mergeCell ref="BH6:BL6"/>
    <mergeCell ref="BD7:BF7"/>
    <mergeCell ref="BH7:BL7"/>
    <mergeCell ref="AC10:AD10"/>
    <mergeCell ref="B8:E8"/>
    <mergeCell ref="M9:N9"/>
    <mergeCell ref="X4:AH4"/>
    <mergeCell ref="AI4:AS4"/>
    <mergeCell ref="AT4:BD4"/>
    <mergeCell ref="BE4:BO4"/>
    <mergeCell ref="K5:L5"/>
    <mergeCell ref="AY5:BA5"/>
    <mergeCell ref="Y12:Z12"/>
    <mergeCell ref="Y13:Z16"/>
    <mergeCell ref="AC13:AD13"/>
    <mergeCell ref="AC14:AD17"/>
    <mergeCell ref="AG14:AH14"/>
    <mergeCell ref="AG15:AH18"/>
    <mergeCell ref="Y9:Z9"/>
    <mergeCell ref="AC12:AD12"/>
    <mergeCell ref="AK12:AL12"/>
    <mergeCell ref="BF12:BG12"/>
    <mergeCell ref="BC10:BE10"/>
    <mergeCell ref="AG13:AH13"/>
    <mergeCell ref="AO13:AP13"/>
    <mergeCell ref="AK15:AL15"/>
    <mergeCell ref="AK16:AL19"/>
    <mergeCell ref="AO16:AP16"/>
    <mergeCell ref="AO17:AP20"/>
    <mergeCell ref="AS17:AT17"/>
    <mergeCell ref="B6:E6"/>
    <mergeCell ref="K6:L6"/>
    <mergeCell ref="M6:N6"/>
    <mergeCell ref="B7:E7"/>
    <mergeCell ref="Q7:R7"/>
    <mergeCell ref="B9:E9"/>
    <mergeCell ref="M8:N8"/>
    <mergeCell ref="U8:V8"/>
    <mergeCell ref="B10:E10"/>
    <mergeCell ref="M10:N13"/>
    <mergeCell ref="Q9:R9"/>
    <mergeCell ref="B11:E12"/>
    <mergeCell ref="F11:F12"/>
    <mergeCell ref="U10:V10"/>
    <mergeCell ref="B13:E14"/>
    <mergeCell ref="F13:F14"/>
    <mergeCell ref="M14:N14"/>
    <mergeCell ref="Q10:R10"/>
    <mergeCell ref="B25:H25"/>
    <mergeCell ref="D42:F42"/>
    <mergeCell ref="G42:H42"/>
    <mergeCell ref="G44:H44"/>
    <mergeCell ref="D45:H45"/>
    <mergeCell ref="B26:H26"/>
    <mergeCell ref="Q45:R45"/>
    <mergeCell ref="Q11:R14"/>
    <mergeCell ref="U11:V11"/>
    <mergeCell ref="U12:V15"/>
    <mergeCell ref="Q15:R15"/>
    <mergeCell ref="J39:L39"/>
    <mergeCell ref="M39:W39"/>
    <mergeCell ref="Q44:R44"/>
    <mergeCell ref="B22:E23"/>
    <mergeCell ref="B19:F21"/>
    <mergeCell ref="B16:F16"/>
    <mergeCell ref="U16:V16"/>
    <mergeCell ref="B17:E18"/>
    <mergeCell ref="E34:F34"/>
    <mergeCell ref="E35:F35"/>
    <mergeCell ref="E36:F36"/>
    <mergeCell ref="E37:F37"/>
    <mergeCell ref="E38:F38"/>
    <mergeCell ref="B60:H60"/>
    <mergeCell ref="B61:H61"/>
    <mergeCell ref="C63:D63"/>
    <mergeCell ref="E63:F63"/>
    <mergeCell ref="D77:F77"/>
    <mergeCell ref="G77:H77"/>
    <mergeCell ref="D80:H80"/>
    <mergeCell ref="M44:N44"/>
    <mergeCell ref="C75:D75"/>
    <mergeCell ref="E75:F75"/>
    <mergeCell ref="G79:H79"/>
    <mergeCell ref="C67:D67"/>
    <mergeCell ref="E67:F67"/>
    <mergeCell ref="C62:D62"/>
    <mergeCell ref="E62:F62"/>
    <mergeCell ref="C73:D73"/>
    <mergeCell ref="E73:F73"/>
    <mergeCell ref="C74:D74"/>
    <mergeCell ref="E74:F74"/>
    <mergeCell ref="C68:D68"/>
    <mergeCell ref="E68:F68"/>
    <mergeCell ref="C69:D69"/>
    <mergeCell ref="E69:F69"/>
    <mergeCell ref="C70:D70"/>
    <mergeCell ref="AK50:AL50"/>
    <mergeCell ref="AO51:AP51"/>
    <mergeCell ref="AS52:AT52"/>
    <mergeCell ref="AW53:AX53"/>
    <mergeCell ref="BA54:BB54"/>
    <mergeCell ref="BE55:BF55"/>
    <mergeCell ref="BI56:BJ56"/>
    <mergeCell ref="AS40:AW40"/>
    <mergeCell ref="AS5:AW5"/>
    <mergeCell ref="BI21:BJ21"/>
    <mergeCell ref="BI22:BJ25"/>
    <mergeCell ref="AR6:BA11"/>
    <mergeCell ref="BI26:BJ26"/>
    <mergeCell ref="BC13:BG13"/>
    <mergeCell ref="AW15:AX15"/>
    <mergeCell ref="AS18:AT21"/>
    <mergeCell ref="AW18:AX18"/>
    <mergeCell ref="AW19:AX22"/>
    <mergeCell ref="BA19:BB19"/>
    <mergeCell ref="BA20:BB23"/>
    <mergeCell ref="BE20:BF20"/>
    <mergeCell ref="BE21:BF24"/>
    <mergeCell ref="AK14:AL14"/>
    <mergeCell ref="AS14:AT14"/>
  </mergeCells>
  <conditionalFormatting sqref="F22:F23">
    <cfRule type="cellIs" dxfId="5" priority="1" operator="notEqual">
      <formula>$K$6</formula>
    </cfRule>
    <cfRule type="cellIs" dxfId="4" priority="2" operator="equal">
      <formula>$K$6</formula>
    </cfRule>
  </conditionalFormatting>
  <dataValidations count="3">
    <dataValidation type="list" allowBlank="1" showInputMessage="1" showErrorMessage="1" promptTitle="Coluna em uso?" prompt="ATIVO ou NÃO" sqref="O6 S7 W8 AA9 AE10 AI11 AM12 AQ13 AU14 AY15 BC16 BG17 BK18 BK53 BG52 BC51 AY50 AU49 AQ48 AM47 AI46 AE45 AA44 W43 S42 O41 G28:G40 G63:G75" xr:uid="{33F0558C-AA65-4427-9B7F-8971F93CBDD8}">
      <formula1>$K$45:$K$46</formula1>
    </dataValidation>
    <dataValidation type="list" allowBlank="1" showInputMessage="1" showErrorMessage="1" sqref="K6:L6 K41:L41" xr:uid="{9926943B-97E7-48A9-9552-18261F3CAE3F}">
      <formula1>$F$22:$F$23</formula1>
    </dataValidation>
    <dataValidation type="list" allowBlank="1" showInputMessage="1" showErrorMessage="1" prompt="SIM ou NÃO" sqref="F8" xr:uid="{DD7A6087-7F09-45C2-9079-BE60A0090684}">
      <formula1>$F$17:$F$18</formula1>
    </dataValidation>
  </dataValidations>
  <pageMargins left="0.511811024" right="0.511811024" top="0.78740157499999996" bottom="0.78740157499999996" header="0.31496062000000002" footer="0.31496062000000002"/>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EA2A-1987-4AAA-ADBF-1C99D182289E}">
  <dimension ref="B1:Z57"/>
  <sheetViews>
    <sheetView showGridLines="0" topLeftCell="E1" zoomScale="80" zoomScaleNormal="80" workbookViewId="0">
      <selection activeCell="P13" sqref="P13"/>
    </sheetView>
  </sheetViews>
  <sheetFormatPr defaultRowHeight="15" x14ac:dyDescent="0.25"/>
  <cols>
    <col min="4" max="4" width="16.42578125" customWidth="1"/>
    <col min="5" max="5" width="13.85546875" customWidth="1"/>
    <col min="6" max="6" width="15.42578125" customWidth="1"/>
    <col min="10" max="10" width="16.7109375" customWidth="1"/>
    <col min="14" max="14" width="13" customWidth="1"/>
    <col min="15" max="15" width="16.7109375" customWidth="1"/>
    <col min="16" max="16" width="15.7109375" customWidth="1"/>
    <col min="17" max="17" width="20" customWidth="1"/>
    <col min="19" max="19" width="15.140625" customWidth="1"/>
    <col min="20" max="20" width="16.7109375" customWidth="1"/>
    <col min="22" max="22" width="17.28515625" customWidth="1"/>
    <col min="23" max="23" width="11.5703125" customWidth="1"/>
    <col min="24" max="24" width="16.7109375" customWidth="1"/>
    <col min="26" max="26" width="18.5703125" customWidth="1"/>
    <col min="28" max="28" width="16.7109375" customWidth="1"/>
    <col min="32" max="32" width="16.7109375" customWidth="1"/>
    <col min="36" max="36" width="16.7109375" customWidth="1"/>
    <col min="40" max="40" width="16.7109375" customWidth="1"/>
    <col min="44" max="44" width="16.7109375" customWidth="1"/>
    <col min="48" max="48" width="16.7109375" customWidth="1"/>
    <col min="52" max="52" width="16.7109375" customWidth="1"/>
    <col min="56" max="56" width="16.7109375" customWidth="1"/>
    <col min="57" max="57" width="9.7109375" bestFit="1" customWidth="1"/>
    <col min="60" max="60" width="16.5703125" customWidth="1"/>
  </cols>
  <sheetData>
    <row r="1" spans="2:26" ht="15.75" thickBot="1" x14ac:dyDescent="0.3"/>
    <row r="2" spans="2:26" x14ac:dyDescent="0.25">
      <c r="B2" s="1086" t="s">
        <v>6</v>
      </c>
      <c r="C2" s="1087"/>
      <c r="D2" s="1087"/>
      <c r="E2" s="1087"/>
      <c r="F2" s="1088"/>
    </row>
    <row r="3" spans="2:26" ht="18.75" x14ac:dyDescent="0.25">
      <c r="B3" s="1089" t="s">
        <v>9</v>
      </c>
      <c r="C3" s="1090"/>
      <c r="D3" s="1090"/>
      <c r="E3" s="1090"/>
      <c r="F3" s="1" t="s">
        <v>10</v>
      </c>
      <c r="H3" s="1586" t="str">
        <f>'NOME + Nº'!C8</f>
        <v>REF. NOME + Nº - 15H x 10B x 5L (cm)</v>
      </c>
      <c r="I3" s="1586"/>
      <c r="J3" s="1586"/>
      <c r="K3" s="1586"/>
      <c r="L3" s="1586"/>
      <c r="M3" s="1586"/>
      <c r="N3" s="1586"/>
      <c r="O3" s="1586"/>
      <c r="P3" s="1586"/>
      <c r="Q3" s="1586"/>
      <c r="R3" s="1586"/>
      <c r="S3" s="1586"/>
      <c r="T3" s="1586"/>
    </row>
    <row r="4" spans="2:26" ht="15" customHeight="1" x14ac:dyDescent="0.25">
      <c r="B4" s="1091" t="s">
        <v>11</v>
      </c>
      <c r="C4" s="1092"/>
      <c r="D4" s="1092"/>
      <c r="E4" s="1092"/>
      <c r="F4" s="1920" t="s">
        <v>10</v>
      </c>
      <c r="H4" s="1931" t="s">
        <v>339</v>
      </c>
      <c r="I4" s="1931"/>
      <c r="J4" s="1931"/>
      <c r="K4" s="1931"/>
      <c r="L4" s="1931"/>
      <c r="M4" s="1931"/>
      <c r="N4" s="1931"/>
      <c r="O4" s="1931"/>
      <c r="P4" s="1931"/>
      <c r="Q4" s="1931"/>
      <c r="R4" s="1931"/>
      <c r="S4" s="1931"/>
      <c r="T4" s="1931"/>
    </row>
    <row r="5" spans="2:26" x14ac:dyDescent="0.25">
      <c r="B5" s="1091"/>
      <c r="C5" s="1092"/>
      <c r="D5" s="1092"/>
      <c r="E5" s="1092"/>
      <c r="F5" s="1920"/>
    </row>
    <row r="6" spans="2:26" ht="15.75" customHeight="1" x14ac:dyDescent="0.25">
      <c r="B6" s="1089" t="s">
        <v>15</v>
      </c>
      <c r="C6" s="1090"/>
      <c r="D6" s="1090"/>
      <c r="E6" s="1090"/>
      <c r="F6" s="60" t="s">
        <v>10</v>
      </c>
    </row>
    <row r="7" spans="2:26" ht="15" customHeight="1" x14ac:dyDescent="0.25">
      <c r="B7" s="1089" t="s">
        <v>19</v>
      </c>
      <c r="C7" s="1090"/>
      <c r="D7" s="1090"/>
      <c r="E7" s="1090"/>
      <c r="F7" s="2" t="s">
        <v>10</v>
      </c>
      <c r="J7" s="118" t="s">
        <v>175</v>
      </c>
      <c r="K7" s="1953"/>
      <c r="L7" s="1951"/>
      <c r="M7" s="1951"/>
      <c r="N7" s="1951"/>
      <c r="O7" s="231" t="s">
        <v>302</v>
      </c>
      <c r="P7" s="1934"/>
      <c r="Q7" s="1935"/>
      <c r="R7" s="1935"/>
      <c r="S7" s="1935"/>
      <c r="T7" s="1936"/>
    </row>
    <row r="8" spans="2:26" ht="15.75" thickBot="1" x14ac:dyDescent="0.3">
      <c r="B8" s="1089" t="s">
        <v>394</v>
      </c>
      <c r="C8" s="1090"/>
      <c r="D8" s="1090"/>
      <c r="E8" s="1090"/>
      <c r="F8" s="229" t="s">
        <v>189</v>
      </c>
      <c r="J8" s="231" t="s">
        <v>305</v>
      </c>
      <c r="K8" s="1951"/>
      <c r="L8" s="1951"/>
      <c r="M8" s="1951"/>
      <c r="N8" s="1952"/>
      <c r="O8" s="232" t="s">
        <v>306</v>
      </c>
      <c r="P8" s="1937"/>
      <c r="Q8" s="1937"/>
      <c r="R8" s="1937"/>
      <c r="S8" s="1937"/>
      <c r="T8" s="1937"/>
    </row>
    <row r="9" spans="2:26" ht="19.5" customHeight="1" thickBot="1" x14ac:dyDescent="0.3">
      <c r="B9" s="1089" t="s">
        <v>21</v>
      </c>
      <c r="C9" s="1090"/>
      <c r="D9" s="1090"/>
      <c r="E9" s="1090"/>
      <c r="F9" s="3" t="s">
        <v>10</v>
      </c>
      <c r="H9" s="1914" t="s">
        <v>17</v>
      </c>
      <c r="I9" s="1915"/>
      <c r="J9" s="1943"/>
      <c r="K9" s="1944"/>
      <c r="L9" s="1944"/>
      <c r="M9" s="1944"/>
      <c r="N9" s="1944"/>
      <c r="O9" s="1944"/>
      <c r="P9" s="1944"/>
      <c r="Q9" s="1944"/>
      <c r="R9" s="1944"/>
      <c r="S9" s="1944"/>
      <c r="T9" s="1945"/>
    </row>
    <row r="10" spans="2:26" ht="19.5" thickBot="1" x14ac:dyDescent="0.3">
      <c r="B10" s="1089" t="s">
        <v>24</v>
      </c>
      <c r="C10" s="1090"/>
      <c r="D10" s="1090"/>
      <c r="E10" s="1090"/>
      <c r="F10" s="4" t="s">
        <v>10</v>
      </c>
      <c r="H10" s="1254" t="s">
        <v>67</v>
      </c>
      <c r="I10" s="1255"/>
      <c r="J10" s="1943"/>
      <c r="K10" s="1944"/>
      <c r="L10" s="1944"/>
      <c r="M10" s="1944"/>
      <c r="N10" s="1944"/>
      <c r="O10" s="1944"/>
      <c r="P10" s="1944"/>
      <c r="Q10" s="1944"/>
      <c r="R10" s="1944"/>
      <c r="S10" s="1944"/>
      <c r="T10" s="1945"/>
    </row>
    <row r="11" spans="2:26" ht="15.75" thickBot="1" x14ac:dyDescent="0.3">
      <c r="B11" s="1233" t="s">
        <v>26</v>
      </c>
      <c r="C11" s="1234"/>
      <c r="D11" s="1234"/>
      <c r="E11" s="1235"/>
      <c r="F11" s="1910" t="s">
        <v>10</v>
      </c>
      <c r="I11" s="123"/>
      <c r="J11" s="122" t="s">
        <v>340</v>
      </c>
      <c r="K11" s="1932" t="s">
        <v>341</v>
      </c>
      <c r="L11" s="1932"/>
      <c r="M11" s="1932"/>
      <c r="N11" s="129" t="s">
        <v>319</v>
      </c>
      <c r="O11" s="117" t="s">
        <v>342</v>
      </c>
      <c r="P11" s="117" t="s">
        <v>343</v>
      </c>
      <c r="Q11" s="117" t="s">
        <v>344</v>
      </c>
      <c r="R11" s="1932" t="s">
        <v>345</v>
      </c>
      <c r="S11" s="1932"/>
      <c r="T11" s="117" t="s">
        <v>59</v>
      </c>
      <c r="W11" s="1887" t="s">
        <v>346</v>
      </c>
      <c r="X11" s="1888"/>
      <c r="Y11" s="1888"/>
      <c r="Z11" s="1930"/>
    </row>
    <row r="12" spans="2:26" x14ac:dyDescent="0.25">
      <c r="B12" s="1236"/>
      <c r="C12" s="1237"/>
      <c r="D12" s="1237"/>
      <c r="E12" s="1238"/>
      <c r="F12" s="1910"/>
      <c r="I12">
        <v>1</v>
      </c>
      <c r="J12" s="120"/>
      <c r="K12" s="1933" t="s">
        <v>347</v>
      </c>
      <c r="L12" s="1933"/>
      <c r="M12" s="1933"/>
      <c r="N12" s="230" t="s">
        <v>348</v>
      </c>
      <c r="O12" s="244">
        <v>0</v>
      </c>
      <c r="P12" s="244">
        <v>2.0833333333333332E-2</v>
      </c>
      <c r="Q12" s="245"/>
      <c r="R12" s="1933"/>
      <c r="S12" s="1933"/>
      <c r="T12" s="119">
        <f>IF(P12&gt;O12,P12-O12,0)</f>
        <v>2.0833333333333332E-2</v>
      </c>
      <c r="W12" s="234">
        <f>IF(T12&gt;0,1,0)</f>
        <v>1</v>
      </c>
      <c r="X12" s="131">
        <f>IF(N12=F24,1,0)</f>
        <v>1</v>
      </c>
      <c r="Y12" s="131">
        <f>IF(N12=F25,1,0)</f>
        <v>0</v>
      </c>
      <c r="Z12" s="235">
        <f>T12*Y12</f>
        <v>0</v>
      </c>
    </row>
    <row r="13" spans="2:26" x14ac:dyDescent="0.25">
      <c r="B13" s="1089" t="s">
        <v>33</v>
      </c>
      <c r="C13" s="1090"/>
      <c r="D13" s="1090"/>
      <c r="E13" s="1090"/>
      <c r="F13" s="1911" t="s">
        <v>34</v>
      </c>
      <c r="I13">
        <v>2</v>
      </c>
      <c r="J13" s="120"/>
      <c r="K13" s="1933" t="s">
        <v>347</v>
      </c>
      <c r="L13" s="1933"/>
      <c r="M13" s="1933"/>
      <c r="N13" s="230" t="s">
        <v>349</v>
      </c>
      <c r="O13" s="244">
        <v>0</v>
      </c>
      <c r="P13" s="244">
        <v>6.9444444444444441E-3</v>
      </c>
      <c r="Q13" s="245"/>
      <c r="R13" s="1933"/>
      <c r="S13" s="1933"/>
      <c r="T13" s="119">
        <f t="shared" ref="T13:T41" si="0">IF(P13&gt;O13,P13-O13,0)</f>
        <v>6.9444444444444441E-3</v>
      </c>
      <c r="W13" s="234">
        <f t="shared" ref="W13:W41" si="1">IF(T13&gt;0,1,0)</f>
        <v>1</v>
      </c>
      <c r="X13" s="131">
        <f>IF(N13=F24,1,0)</f>
        <v>0</v>
      </c>
      <c r="Y13" s="131">
        <f>IF(N13=F25,1,0)</f>
        <v>1</v>
      </c>
      <c r="Z13" s="235">
        <f>T13*Y13</f>
        <v>6.9444444444444441E-3</v>
      </c>
    </row>
    <row r="14" spans="2:26" ht="15.75" thickBot="1" x14ac:dyDescent="0.3">
      <c r="B14" s="1240"/>
      <c r="C14" s="1241"/>
      <c r="D14" s="1241"/>
      <c r="E14" s="1241"/>
      <c r="F14" s="1912"/>
      <c r="I14">
        <v>3</v>
      </c>
      <c r="J14" s="120"/>
      <c r="K14" s="1933"/>
      <c r="L14" s="1933"/>
      <c r="M14" s="1933"/>
      <c r="N14" s="230"/>
      <c r="O14" s="244"/>
      <c r="P14" s="244"/>
      <c r="Q14" s="245"/>
      <c r="R14" s="1933"/>
      <c r="S14" s="1933"/>
      <c r="T14" s="119">
        <f t="shared" si="0"/>
        <v>0</v>
      </c>
      <c r="W14" s="234">
        <f t="shared" si="1"/>
        <v>0</v>
      </c>
      <c r="X14" s="131">
        <f>IF(N14=F24,1,0)</f>
        <v>0</v>
      </c>
      <c r="Y14" s="131">
        <f>IF(N14=F25,1,0)</f>
        <v>0</v>
      </c>
      <c r="Z14" s="235">
        <f t="shared" ref="Z14:Z41" si="2">T14*Y14</f>
        <v>0</v>
      </c>
    </row>
    <row r="15" spans="2:26" x14ac:dyDescent="0.25">
      <c r="I15">
        <v>4</v>
      </c>
      <c r="J15" s="120"/>
      <c r="K15" s="1933"/>
      <c r="L15" s="1933"/>
      <c r="M15" s="1933"/>
      <c r="N15" s="230"/>
      <c r="O15" s="244"/>
      <c r="P15" s="244"/>
      <c r="Q15" s="245"/>
      <c r="R15" s="1933"/>
      <c r="S15" s="1933"/>
      <c r="T15" s="119">
        <f t="shared" si="0"/>
        <v>0</v>
      </c>
      <c r="W15" s="234">
        <f t="shared" si="1"/>
        <v>0</v>
      </c>
      <c r="X15" s="131">
        <f>IF(N15=F24,1,0)</f>
        <v>0</v>
      </c>
      <c r="Y15" s="131">
        <f>IF(N15=F25,1,0)</f>
        <v>0</v>
      </c>
      <c r="Z15" s="235">
        <f t="shared" si="2"/>
        <v>0</v>
      </c>
    </row>
    <row r="16" spans="2:26" x14ac:dyDescent="0.25">
      <c r="B16" s="1909" t="s">
        <v>252</v>
      </c>
      <c r="C16" s="1909"/>
      <c r="D16" s="1909"/>
      <c r="E16" s="1909"/>
      <c r="F16" s="1909"/>
      <c r="I16">
        <v>5</v>
      </c>
      <c r="J16" s="120"/>
      <c r="K16" s="1933"/>
      <c r="L16" s="1933"/>
      <c r="M16" s="1933"/>
      <c r="N16" s="230"/>
      <c r="O16" s="244"/>
      <c r="P16" s="244"/>
      <c r="Q16" s="245"/>
      <c r="R16" s="1933"/>
      <c r="S16" s="1933"/>
      <c r="T16" s="119">
        <f t="shared" si="0"/>
        <v>0</v>
      </c>
      <c r="W16" s="234">
        <f t="shared" si="1"/>
        <v>0</v>
      </c>
      <c r="X16" s="131">
        <f>IF(N16=F24,1,0)</f>
        <v>0</v>
      </c>
      <c r="Y16" s="131">
        <f>IF(N16=F25,1,0)</f>
        <v>0</v>
      </c>
      <c r="Z16" s="235">
        <f t="shared" si="2"/>
        <v>0</v>
      </c>
    </row>
    <row r="17" spans="2:26" x14ac:dyDescent="0.25">
      <c r="B17" s="1908" t="s">
        <v>253</v>
      </c>
      <c r="C17" s="1908"/>
      <c r="D17" s="1908"/>
      <c r="E17" s="1908"/>
      <c r="F17" s="5" t="s">
        <v>301</v>
      </c>
      <c r="I17">
        <v>6</v>
      </c>
      <c r="J17" s="120"/>
      <c r="K17" s="1933"/>
      <c r="L17" s="1933"/>
      <c r="M17" s="1933"/>
      <c r="N17" s="230"/>
      <c r="O17" s="244"/>
      <c r="P17" s="244"/>
      <c r="Q17" s="245"/>
      <c r="R17" s="1933"/>
      <c r="S17" s="1933"/>
      <c r="T17" s="119">
        <f t="shared" si="0"/>
        <v>0</v>
      </c>
      <c r="W17" s="234">
        <f t="shared" si="1"/>
        <v>0</v>
      </c>
      <c r="X17" s="131">
        <f>IF(N17=F24,1,0)</f>
        <v>0</v>
      </c>
      <c r="Y17" s="131">
        <f>IF(N17=F25,1,0)</f>
        <v>0</v>
      </c>
      <c r="Z17" s="235">
        <f t="shared" si="2"/>
        <v>0</v>
      </c>
    </row>
    <row r="18" spans="2:26" x14ac:dyDescent="0.25">
      <c r="B18" s="1908"/>
      <c r="C18" s="1908"/>
      <c r="D18" s="1908"/>
      <c r="E18" s="1908"/>
      <c r="F18" s="5" t="s">
        <v>189</v>
      </c>
      <c r="I18">
        <v>7</v>
      </c>
      <c r="J18" s="120"/>
      <c r="K18" s="1933"/>
      <c r="L18" s="1933"/>
      <c r="M18" s="1933"/>
      <c r="N18" s="230"/>
      <c r="O18" s="244"/>
      <c r="P18" s="244"/>
      <c r="Q18" s="245"/>
      <c r="R18" s="1933"/>
      <c r="S18" s="1933"/>
      <c r="T18" s="119">
        <f t="shared" si="0"/>
        <v>0</v>
      </c>
      <c r="W18" s="234">
        <f t="shared" si="1"/>
        <v>0</v>
      </c>
      <c r="X18" s="131">
        <f>IF(N18=F24,1,0)</f>
        <v>0</v>
      </c>
      <c r="Y18" s="131">
        <f>IF(N18=F25,1,0)</f>
        <v>0</v>
      </c>
      <c r="Z18" s="235">
        <f t="shared" si="2"/>
        <v>0</v>
      </c>
    </row>
    <row r="19" spans="2:26" ht="15.75" customHeight="1" x14ac:dyDescent="0.25">
      <c r="B19" s="1908" t="s">
        <v>326</v>
      </c>
      <c r="C19" s="1908"/>
      <c r="D19" s="1908"/>
      <c r="E19" s="1908"/>
      <c r="F19" s="1908"/>
      <c r="I19">
        <v>8</v>
      </c>
      <c r="J19" s="120"/>
      <c r="K19" s="1933"/>
      <c r="L19" s="1933"/>
      <c r="M19" s="1933"/>
      <c r="N19" s="230"/>
      <c r="O19" s="244"/>
      <c r="P19" s="244"/>
      <c r="Q19" s="245"/>
      <c r="R19" s="1933"/>
      <c r="S19" s="1933"/>
      <c r="T19" s="119">
        <f t="shared" si="0"/>
        <v>0</v>
      </c>
      <c r="W19" s="234">
        <f t="shared" si="1"/>
        <v>0</v>
      </c>
      <c r="X19" s="131">
        <f>IF(N19=F24,1,0)</f>
        <v>0</v>
      </c>
      <c r="Y19" s="131">
        <f>IF(N19=F25,1,0)</f>
        <v>0</v>
      </c>
      <c r="Z19" s="235">
        <f t="shared" si="2"/>
        <v>0</v>
      </c>
    </row>
    <row r="20" spans="2:26" ht="15.75" customHeight="1" x14ac:dyDescent="0.25">
      <c r="B20" s="1908"/>
      <c r="C20" s="1908"/>
      <c r="D20" s="1908"/>
      <c r="E20" s="1908"/>
      <c r="F20" s="1908"/>
      <c r="I20">
        <v>9</v>
      </c>
      <c r="J20" s="120"/>
      <c r="K20" s="1933"/>
      <c r="L20" s="1933"/>
      <c r="M20" s="1933"/>
      <c r="N20" s="230"/>
      <c r="O20" s="244"/>
      <c r="P20" s="244"/>
      <c r="Q20" s="245"/>
      <c r="R20" s="1933"/>
      <c r="S20" s="1933"/>
      <c r="T20" s="119">
        <f t="shared" si="0"/>
        <v>0</v>
      </c>
      <c r="W20" s="234">
        <f t="shared" si="1"/>
        <v>0</v>
      </c>
      <c r="X20" s="131">
        <f>IF(N20=F24,1,0)</f>
        <v>0</v>
      </c>
      <c r="Y20" s="131">
        <f>IF(N20=F25,1,0)</f>
        <v>0</v>
      </c>
      <c r="Z20" s="235">
        <f t="shared" si="2"/>
        <v>0</v>
      </c>
    </row>
    <row r="21" spans="2:26" ht="15.75" customHeight="1" x14ac:dyDescent="0.25">
      <c r="B21" s="1908"/>
      <c r="C21" s="1908"/>
      <c r="D21" s="1908"/>
      <c r="E21" s="1908"/>
      <c r="F21" s="1908"/>
      <c r="I21">
        <v>10</v>
      </c>
      <c r="J21" s="120"/>
      <c r="K21" s="1933"/>
      <c r="L21" s="1933"/>
      <c r="M21" s="1933"/>
      <c r="N21" s="230"/>
      <c r="O21" s="244"/>
      <c r="P21" s="244"/>
      <c r="Q21" s="245"/>
      <c r="R21" s="1933"/>
      <c r="S21" s="1933"/>
      <c r="T21" s="119">
        <f t="shared" si="0"/>
        <v>0</v>
      </c>
      <c r="W21" s="234">
        <f t="shared" si="1"/>
        <v>0</v>
      </c>
      <c r="X21" s="131">
        <f>IF(N21=F24,1,0)</f>
        <v>0</v>
      </c>
      <c r="Y21" s="131">
        <f>IF(N21=F25,1,0)</f>
        <v>0</v>
      </c>
      <c r="Z21" s="235">
        <f t="shared" si="2"/>
        <v>0</v>
      </c>
    </row>
    <row r="22" spans="2:26" x14ac:dyDescent="0.25">
      <c r="B22" s="1908" t="s">
        <v>17</v>
      </c>
      <c r="C22" s="1908"/>
      <c r="D22" s="1908"/>
      <c r="E22" s="1908"/>
      <c r="F22" s="121" t="s">
        <v>23</v>
      </c>
      <c r="I22">
        <v>11</v>
      </c>
      <c r="J22" s="120"/>
      <c r="K22" s="1933"/>
      <c r="L22" s="1933"/>
      <c r="M22" s="1933"/>
      <c r="N22" s="230"/>
      <c r="O22" s="244"/>
      <c r="P22" s="244"/>
      <c r="Q22" s="245"/>
      <c r="R22" s="1933"/>
      <c r="S22" s="1933"/>
      <c r="T22" s="119">
        <f t="shared" si="0"/>
        <v>0</v>
      </c>
      <c r="W22" s="234">
        <f t="shared" si="1"/>
        <v>0</v>
      </c>
      <c r="X22" s="131">
        <f>IF(N22=F24,1,0)</f>
        <v>0</v>
      </c>
      <c r="Y22" s="131">
        <f>IF(N22=F25,1,0)</f>
        <v>0</v>
      </c>
      <c r="Z22" s="235">
        <f t="shared" si="2"/>
        <v>0</v>
      </c>
    </row>
    <row r="23" spans="2:26" x14ac:dyDescent="0.25">
      <c r="B23" s="1908"/>
      <c r="C23" s="1908"/>
      <c r="D23" s="1908"/>
      <c r="E23" s="1908"/>
      <c r="F23" s="121" t="s">
        <v>67</v>
      </c>
      <c r="I23">
        <v>12</v>
      </c>
      <c r="J23" s="120"/>
      <c r="K23" s="1933"/>
      <c r="L23" s="1933"/>
      <c r="M23" s="1933"/>
      <c r="N23" s="230"/>
      <c r="O23" s="244"/>
      <c r="P23" s="244"/>
      <c r="Q23" s="245"/>
      <c r="R23" s="1933"/>
      <c r="S23" s="1933"/>
      <c r="T23" s="119">
        <f t="shared" si="0"/>
        <v>0</v>
      </c>
      <c r="W23" s="234">
        <f t="shared" si="1"/>
        <v>0</v>
      </c>
      <c r="X23" s="131">
        <f>IF(N23=F24,1,0)</f>
        <v>0</v>
      </c>
      <c r="Y23" s="131">
        <f>IF(N23=F25,1,0)</f>
        <v>0</v>
      </c>
      <c r="Z23" s="235">
        <f t="shared" si="2"/>
        <v>0</v>
      </c>
    </row>
    <row r="24" spans="2:26" x14ac:dyDescent="0.25">
      <c r="B24" s="1908" t="s">
        <v>350</v>
      </c>
      <c r="C24" s="1908"/>
      <c r="D24" s="1908"/>
      <c r="E24" s="1908"/>
      <c r="F24" s="130" t="s">
        <v>348</v>
      </c>
      <c r="I24">
        <v>13</v>
      </c>
      <c r="J24" s="120"/>
      <c r="K24" s="1933"/>
      <c r="L24" s="1933"/>
      <c r="M24" s="1933"/>
      <c r="N24" s="230"/>
      <c r="O24" s="244"/>
      <c r="P24" s="244"/>
      <c r="Q24" s="245"/>
      <c r="R24" s="1933"/>
      <c r="S24" s="1933"/>
      <c r="T24" s="119">
        <f t="shared" si="0"/>
        <v>0</v>
      </c>
      <c r="W24" s="234">
        <f t="shared" si="1"/>
        <v>0</v>
      </c>
      <c r="X24" s="131">
        <f>IF(N24=F24,1,0)</f>
        <v>0</v>
      </c>
      <c r="Y24" s="131">
        <f>IF(N24=F25,1,0)</f>
        <v>0</v>
      </c>
      <c r="Z24" s="235">
        <f t="shared" si="2"/>
        <v>0</v>
      </c>
    </row>
    <row r="25" spans="2:26" x14ac:dyDescent="0.25">
      <c r="B25" s="1908"/>
      <c r="C25" s="1908"/>
      <c r="D25" s="1908"/>
      <c r="E25" s="1908"/>
      <c r="F25" s="130" t="s">
        <v>349</v>
      </c>
      <c r="I25">
        <v>14</v>
      </c>
      <c r="J25" s="120"/>
      <c r="K25" s="1933"/>
      <c r="L25" s="1933"/>
      <c r="M25" s="1933"/>
      <c r="N25" s="230"/>
      <c r="O25" s="244"/>
      <c r="P25" s="244"/>
      <c r="Q25" s="245"/>
      <c r="R25" s="1933"/>
      <c r="S25" s="1933"/>
      <c r="T25" s="119">
        <f t="shared" si="0"/>
        <v>0</v>
      </c>
      <c r="W25" s="234">
        <f t="shared" si="1"/>
        <v>0</v>
      </c>
      <c r="X25" s="131">
        <f>IF(N25=F24,1,0)</f>
        <v>0</v>
      </c>
      <c r="Y25" s="131">
        <f>IF(N25=F25,1,0)</f>
        <v>0</v>
      </c>
      <c r="Z25" s="235">
        <f t="shared" si="2"/>
        <v>0</v>
      </c>
    </row>
    <row r="26" spans="2:26" x14ac:dyDescent="0.25">
      <c r="I26">
        <v>15</v>
      </c>
      <c r="J26" s="120"/>
      <c r="K26" s="1933"/>
      <c r="L26" s="1933"/>
      <c r="M26" s="1933"/>
      <c r="N26" s="230"/>
      <c r="O26" s="244"/>
      <c r="P26" s="244"/>
      <c r="Q26" s="245"/>
      <c r="R26" s="1933"/>
      <c r="S26" s="1933"/>
      <c r="T26" s="119">
        <f t="shared" si="0"/>
        <v>0</v>
      </c>
      <c r="W26" s="234">
        <f t="shared" si="1"/>
        <v>0</v>
      </c>
      <c r="X26" s="131">
        <f>IF(N26=F24,1,0)</f>
        <v>0</v>
      </c>
      <c r="Y26" s="131">
        <f>IF(N26=F25,1,0)</f>
        <v>0</v>
      </c>
      <c r="Z26" s="235">
        <f t="shared" si="2"/>
        <v>0</v>
      </c>
    </row>
    <row r="27" spans="2:26" x14ac:dyDescent="0.25">
      <c r="B27" s="1965" t="s">
        <v>260</v>
      </c>
      <c r="C27" s="1966"/>
      <c r="D27" s="1966"/>
      <c r="E27" s="1966"/>
      <c r="F27" s="1967"/>
      <c r="I27">
        <v>16</v>
      </c>
      <c r="J27" s="120"/>
      <c r="K27" s="1933"/>
      <c r="L27" s="1933"/>
      <c r="M27" s="1933"/>
      <c r="N27" s="230"/>
      <c r="O27" s="244"/>
      <c r="P27" s="244"/>
      <c r="Q27" s="245"/>
      <c r="R27" s="1933"/>
      <c r="S27" s="1933"/>
      <c r="T27" s="119">
        <f t="shared" si="0"/>
        <v>0</v>
      </c>
      <c r="W27" s="234">
        <f t="shared" si="1"/>
        <v>0</v>
      </c>
      <c r="X27" s="131">
        <f>IF(N27=F24,1,0)</f>
        <v>0</v>
      </c>
      <c r="Y27" s="131">
        <f>IF(N27=F25,1,0)</f>
        <v>0</v>
      </c>
      <c r="Z27" s="235">
        <f t="shared" si="2"/>
        <v>0</v>
      </c>
    </row>
    <row r="28" spans="2:26" x14ac:dyDescent="0.25">
      <c r="B28" s="26" t="s">
        <v>227</v>
      </c>
      <c r="C28" s="1635" t="s">
        <v>228</v>
      </c>
      <c r="D28" s="1635"/>
      <c r="E28" s="1635"/>
      <c r="F28" s="1968"/>
      <c r="I28">
        <v>17</v>
      </c>
      <c r="J28" s="120"/>
      <c r="K28" s="1933"/>
      <c r="L28" s="1933"/>
      <c r="M28" s="1933"/>
      <c r="N28" s="230"/>
      <c r="O28" s="244"/>
      <c r="P28" s="244"/>
      <c r="Q28" s="245"/>
      <c r="R28" s="1933"/>
      <c r="S28" s="1933"/>
      <c r="T28" s="119">
        <f t="shared" si="0"/>
        <v>0</v>
      </c>
      <c r="W28" s="234">
        <f t="shared" si="1"/>
        <v>0</v>
      </c>
      <c r="X28" s="131">
        <f>IF(N28=F24,1,0)</f>
        <v>0</v>
      </c>
      <c r="Y28" s="131">
        <f>IF(N28=F25,1,0)</f>
        <v>0</v>
      </c>
      <c r="Z28" s="235">
        <f t="shared" si="2"/>
        <v>0</v>
      </c>
    </row>
    <row r="29" spans="2:26" x14ac:dyDescent="0.25">
      <c r="B29" s="27"/>
      <c r="C29" s="1303"/>
      <c r="D29" s="1303"/>
      <c r="E29" s="1303"/>
      <c r="F29" s="1969"/>
      <c r="I29">
        <v>18</v>
      </c>
      <c r="J29" s="120"/>
      <c r="K29" s="1933"/>
      <c r="L29" s="1933"/>
      <c r="M29" s="1933"/>
      <c r="N29" s="230"/>
      <c r="O29" s="244"/>
      <c r="P29" s="244"/>
      <c r="Q29" s="245"/>
      <c r="R29" s="1933"/>
      <c r="S29" s="1933"/>
      <c r="T29" s="119">
        <f t="shared" si="0"/>
        <v>0</v>
      </c>
      <c r="W29" s="234">
        <f t="shared" si="1"/>
        <v>0</v>
      </c>
      <c r="X29" s="131">
        <f>IF(N29=F24,1,0)</f>
        <v>0</v>
      </c>
      <c r="Y29" s="131">
        <f>IF(N29=F25,1,0)</f>
        <v>0</v>
      </c>
      <c r="Z29" s="235">
        <f t="shared" si="2"/>
        <v>0</v>
      </c>
    </row>
    <row r="30" spans="2:26" x14ac:dyDescent="0.25">
      <c r="B30" s="28"/>
      <c r="C30" s="1303"/>
      <c r="D30" s="1303"/>
      <c r="E30" s="1303"/>
      <c r="F30" s="1969"/>
      <c r="I30">
        <v>19</v>
      </c>
      <c r="J30" s="120"/>
      <c r="K30" s="1933"/>
      <c r="L30" s="1933"/>
      <c r="M30" s="1933"/>
      <c r="N30" s="230"/>
      <c r="O30" s="244"/>
      <c r="P30" s="244"/>
      <c r="Q30" s="245"/>
      <c r="R30" s="1933"/>
      <c r="S30" s="1933"/>
      <c r="T30" s="119">
        <f t="shared" si="0"/>
        <v>0</v>
      </c>
      <c r="W30" s="234">
        <f t="shared" si="1"/>
        <v>0</v>
      </c>
      <c r="X30" s="131">
        <f>IF(N30=F24,1,0)</f>
        <v>0</v>
      </c>
      <c r="Y30" s="131">
        <f>IF(N30=F25,1,0)</f>
        <v>0</v>
      </c>
      <c r="Z30" s="235">
        <f t="shared" si="2"/>
        <v>0</v>
      </c>
    </row>
    <row r="31" spans="2:26" x14ac:dyDescent="0.25">
      <c r="B31" s="28"/>
      <c r="C31" s="1303"/>
      <c r="D31" s="1303"/>
      <c r="E31" s="1303"/>
      <c r="F31" s="1969"/>
      <c r="I31">
        <v>20</v>
      </c>
      <c r="J31" s="120"/>
      <c r="K31" s="1933"/>
      <c r="L31" s="1933"/>
      <c r="M31" s="1933"/>
      <c r="N31" s="230"/>
      <c r="O31" s="244"/>
      <c r="P31" s="244"/>
      <c r="Q31" s="245"/>
      <c r="R31" s="1933"/>
      <c r="S31" s="1933"/>
      <c r="T31" s="119">
        <f t="shared" si="0"/>
        <v>0</v>
      </c>
      <c r="W31" s="234">
        <f t="shared" si="1"/>
        <v>0</v>
      </c>
      <c r="X31" s="131">
        <f>IF(N31=F24,1,0)</f>
        <v>0</v>
      </c>
      <c r="Y31" s="131">
        <f>IF(N31=F25,1,0)</f>
        <v>0</v>
      </c>
      <c r="Z31" s="235">
        <f t="shared" si="2"/>
        <v>0</v>
      </c>
    </row>
    <row r="32" spans="2:26" x14ac:dyDescent="0.25">
      <c r="B32" s="27"/>
      <c r="C32" s="1303"/>
      <c r="D32" s="1303"/>
      <c r="E32" s="1303"/>
      <c r="F32" s="1969"/>
      <c r="I32">
        <v>21</v>
      </c>
      <c r="J32" s="120"/>
      <c r="K32" s="1933"/>
      <c r="L32" s="1933"/>
      <c r="M32" s="1933"/>
      <c r="N32" s="230"/>
      <c r="O32" s="244"/>
      <c r="P32" s="244"/>
      <c r="Q32" s="245"/>
      <c r="R32" s="1933"/>
      <c r="S32" s="1933"/>
      <c r="T32" s="119">
        <f t="shared" si="0"/>
        <v>0</v>
      </c>
      <c r="W32" s="234">
        <f t="shared" si="1"/>
        <v>0</v>
      </c>
      <c r="X32" s="131">
        <f>IF(N32=F24,1,0)</f>
        <v>0</v>
      </c>
      <c r="Y32" s="131">
        <f>IF(N32=F25,1,0)</f>
        <v>0</v>
      </c>
      <c r="Z32" s="235">
        <f t="shared" si="2"/>
        <v>0</v>
      </c>
    </row>
    <row r="33" spans="2:26" x14ac:dyDescent="0.25">
      <c r="B33" s="27"/>
      <c r="C33" s="1970"/>
      <c r="D33" s="1971"/>
      <c r="E33" s="1971"/>
      <c r="F33" s="1972"/>
      <c r="I33">
        <v>22</v>
      </c>
      <c r="J33" s="120"/>
      <c r="K33" s="1933"/>
      <c r="L33" s="1933"/>
      <c r="M33" s="1933"/>
      <c r="N33" s="230"/>
      <c r="O33" s="244"/>
      <c r="P33" s="244"/>
      <c r="Q33" s="245"/>
      <c r="R33" s="1933"/>
      <c r="S33" s="1933"/>
      <c r="T33" s="119">
        <f t="shared" si="0"/>
        <v>0</v>
      </c>
      <c r="W33" s="234">
        <f t="shared" si="1"/>
        <v>0</v>
      </c>
      <c r="X33" s="131">
        <f>IF(N33=F24,1,0)</f>
        <v>0</v>
      </c>
      <c r="Y33" s="131">
        <f>IF(N33=F25,1,0)</f>
        <v>0</v>
      </c>
      <c r="Z33" s="235">
        <f t="shared" si="2"/>
        <v>0</v>
      </c>
    </row>
    <row r="34" spans="2:26" x14ac:dyDescent="0.25">
      <c r="B34" s="27"/>
      <c r="C34" s="1970"/>
      <c r="D34" s="1971"/>
      <c r="E34" s="1971"/>
      <c r="F34" s="1972"/>
      <c r="I34">
        <v>23</v>
      </c>
      <c r="J34" s="120"/>
      <c r="K34" s="1933"/>
      <c r="L34" s="1933"/>
      <c r="M34" s="1933"/>
      <c r="N34" s="230"/>
      <c r="O34" s="244"/>
      <c r="P34" s="244"/>
      <c r="Q34" s="245"/>
      <c r="R34" s="1933"/>
      <c r="S34" s="1933"/>
      <c r="T34" s="119">
        <f t="shared" si="0"/>
        <v>0</v>
      </c>
      <c r="W34" s="234">
        <f t="shared" si="1"/>
        <v>0</v>
      </c>
      <c r="X34" s="131">
        <f>IF(N34=F24,1,0)</f>
        <v>0</v>
      </c>
      <c r="Y34" s="131">
        <f>IF(N34=F25,1,0)</f>
        <v>0</v>
      </c>
      <c r="Z34" s="235">
        <f t="shared" si="2"/>
        <v>0</v>
      </c>
    </row>
    <row r="35" spans="2:26" x14ac:dyDescent="0.25">
      <c r="B35" s="27"/>
      <c r="C35" s="1973"/>
      <c r="D35" s="1352"/>
      <c r="E35" s="1352"/>
      <c r="F35" s="1974"/>
      <c r="I35">
        <v>24</v>
      </c>
      <c r="J35" s="120"/>
      <c r="K35" s="1933"/>
      <c r="L35" s="1933"/>
      <c r="M35" s="1933"/>
      <c r="N35" s="230"/>
      <c r="O35" s="244"/>
      <c r="P35" s="244"/>
      <c r="Q35" s="245"/>
      <c r="R35" s="1933"/>
      <c r="S35" s="1933"/>
      <c r="T35" s="119">
        <f t="shared" si="0"/>
        <v>0</v>
      </c>
      <c r="W35" s="234">
        <f t="shared" si="1"/>
        <v>0</v>
      </c>
      <c r="X35" s="131">
        <f>IF(N35=F24,1,0)</f>
        <v>0</v>
      </c>
      <c r="Y35" s="131">
        <f>IF(N35=F25,1,0)</f>
        <v>0</v>
      </c>
      <c r="Z35" s="235">
        <f t="shared" si="2"/>
        <v>0</v>
      </c>
    </row>
    <row r="36" spans="2:26" x14ac:dyDescent="0.25">
      <c r="B36" s="27"/>
      <c r="C36" s="1970"/>
      <c r="D36" s="1971"/>
      <c r="E36" s="1971"/>
      <c r="F36" s="1972"/>
      <c r="I36">
        <v>25</v>
      </c>
      <c r="J36" s="120"/>
      <c r="K36" s="1933"/>
      <c r="L36" s="1933"/>
      <c r="M36" s="1933"/>
      <c r="N36" s="230"/>
      <c r="O36" s="244"/>
      <c r="P36" s="244"/>
      <c r="Q36" s="245"/>
      <c r="R36" s="1933"/>
      <c r="S36" s="1933"/>
      <c r="T36" s="119">
        <f t="shared" si="0"/>
        <v>0</v>
      </c>
      <c r="W36" s="234">
        <f t="shared" si="1"/>
        <v>0</v>
      </c>
      <c r="X36" s="131">
        <f>IF(N36=F24,1,0)</f>
        <v>0</v>
      </c>
      <c r="Y36" s="131">
        <f>IF(N36=F25,1,0)</f>
        <v>0</v>
      </c>
      <c r="Z36" s="235">
        <f t="shared" si="2"/>
        <v>0</v>
      </c>
    </row>
    <row r="37" spans="2:26" x14ac:dyDescent="0.25">
      <c r="B37" s="27"/>
      <c r="C37" s="1973"/>
      <c r="D37" s="1352"/>
      <c r="E37" s="1352"/>
      <c r="F37" s="1974"/>
      <c r="I37">
        <v>26</v>
      </c>
      <c r="J37" s="120"/>
      <c r="K37" s="1933"/>
      <c r="L37" s="1933"/>
      <c r="M37" s="1933"/>
      <c r="N37" s="230"/>
      <c r="O37" s="244"/>
      <c r="P37" s="244"/>
      <c r="Q37" s="245"/>
      <c r="R37" s="1933"/>
      <c r="S37" s="1933"/>
      <c r="T37" s="119">
        <f t="shared" si="0"/>
        <v>0</v>
      </c>
      <c r="W37" s="234">
        <f t="shared" si="1"/>
        <v>0</v>
      </c>
      <c r="X37" s="131">
        <f>IF(N37=F24,1,0)</f>
        <v>0</v>
      </c>
      <c r="Y37" s="131">
        <f>IF(N37=F25,1,0)</f>
        <v>0</v>
      </c>
      <c r="Z37" s="235">
        <f t="shared" si="2"/>
        <v>0</v>
      </c>
    </row>
    <row r="38" spans="2:26" x14ac:dyDescent="0.25">
      <c r="B38" s="27"/>
      <c r="C38" s="1973"/>
      <c r="D38" s="1352"/>
      <c r="E38" s="1352"/>
      <c r="F38" s="1974"/>
      <c r="I38">
        <v>27</v>
      </c>
      <c r="J38" s="120"/>
      <c r="K38" s="1933"/>
      <c r="L38" s="1933"/>
      <c r="M38" s="1933"/>
      <c r="N38" s="230"/>
      <c r="O38" s="244"/>
      <c r="P38" s="244"/>
      <c r="Q38" s="245"/>
      <c r="R38" s="1933"/>
      <c r="S38" s="1933"/>
      <c r="T38" s="119">
        <f t="shared" si="0"/>
        <v>0</v>
      </c>
      <c r="W38" s="234">
        <f t="shared" si="1"/>
        <v>0</v>
      </c>
      <c r="X38" s="131">
        <f>IF(N38=F24,1,0)</f>
        <v>0</v>
      </c>
      <c r="Y38" s="131">
        <f>IF(N38=F25,1,0)</f>
        <v>0</v>
      </c>
      <c r="Z38" s="235">
        <f t="shared" si="2"/>
        <v>0</v>
      </c>
    </row>
    <row r="39" spans="2:26" ht="15.75" customHeight="1" x14ac:dyDescent="0.25">
      <c r="B39" s="27"/>
      <c r="C39" s="1975"/>
      <c r="D39" s="1976"/>
      <c r="E39" s="1976"/>
      <c r="F39" s="1977"/>
      <c r="I39">
        <v>28</v>
      </c>
      <c r="J39" s="120"/>
      <c r="K39" s="1933"/>
      <c r="L39" s="1933"/>
      <c r="M39" s="1933"/>
      <c r="N39" s="230"/>
      <c r="O39" s="244"/>
      <c r="P39" s="244"/>
      <c r="Q39" s="245"/>
      <c r="R39" s="1933"/>
      <c r="S39" s="1933"/>
      <c r="T39" s="119">
        <f t="shared" si="0"/>
        <v>0</v>
      </c>
      <c r="W39" s="234">
        <f t="shared" si="1"/>
        <v>0</v>
      </c>
      <c r="X39" s="131">
        <f>IF(N39=F24,1,0)</f>
        <v>0</v>
      </c>
      <c r="Y39" s="131">
        <f>IF(N39=F25,1,0)</f>
        <v>0</v>
      </c>
      <c r="Z39" s="235">
        <f t="shared" si="2"/>
        <v>0</v>
      </c>
    </row>
    <row r="40" spans="2:26" x14ac:dyDescent="0.25">
      <c r="B40" s="29"/>
      <c r="C40" s="1973"/>
      <c r="D40" s="1352"/>
      <c r="E40" s="1352"/>
      <c r="F40" s="1974"/>
      <c r="I40">
        <v>29</v>
      </c>
      <c r="J40" s="120"/>
      <c r="K40" s="1933"/>
      <c r="L40" s="1933"/>
      <c r="M40" s="1933"/>
      <c r="N40" s="230"/>
      <c r="O40" s="244"/>
      <c r="P40" s="244"/>
      <c r="Q40" s="245"/>
      <c r="R40" s="1933"/>
      <c r="S40" s="1933"/>
      <c r="T40" s="119">
        <f t="shared" si="0"/>
        <v>0</v>
      </c>
      <c r="W40" s="234">
        <f t="shared" si="1"/>
        <v>0</v>
      </c>
      <c r="X40" s="131">
        <f>IF(N40=F24,1,0)</f>
        <v>0</v>
      </c>
      <c r="Y40" s="131">
        <f>IF(N40=F25,1,0)</f>
        <v>0</v>
      </c>
      <c r="Z40" s="235">
        <f t="shared" si="2"/>
        <v>0</v>
      </c>
    </row>
    <row r="41" spans="2:26" x14ac:dyDescent="0.25">
      <c r="B41" s="27"/>
      <c r="C41" s="1981"/>
      <c r="D41" s="1982"/>
      <c r="E41" s="1982"/>
      <c r="F41" s="1983"/>
      <c r="I41">
        <v>30</v>
      </c>
      <c r="J41" s="120"/>
      <c r="K41" s="1933"/>
      <c r="L41" s="1933"/>
      <c r="M41" s="1933"/>
      <c r="N41" s="230"/>
      <c r="O41" s="244"/>
      <c r="P41" s="244"/>
      <c r="Q41" s="245"/>
      <c r="R41" s="1933"/>
      <c r="S41" s="1933"/>
      <c r="T41" s="119">
        <f t="shared" si="0"/>
        <v>0</v>
      </c>
      <c r="W41" s="236">
        <f t="shared" si="1"/>
        <v>0</v>
      </c>
      <c r="X41" s="233">
        <f>IF(N41=F24,1,0)</f>
        <v>0</v>
      </c>
      <c r="Y41" s="233">
        <f>IF(N41=F25,1,0)</f>
        <v>0</v>
      </c>
      <c r="Z41" s="237">
        <f t="shared" si="2"/>
        <v>0</v>
      </c>
    </row>
    <row r="42" spans="2:26" x14ac:dyDescent="0.25">
      <c r="B42" s="27"/>
      <c r="C42" s="1778"/>
      <c r="D42" s="1303"/>
      <c r="E42" s="1303"/>
      <c r="F42" s="1969"/>
      <c r="J42" s="1962"/>
      <c r="K42" s="1963"/>
      <c r="L42" s="1963"/>
      <c r="M42" s="1963"/>
      <c r="N42" s="1963"/>
      <c r="O42" s="1963"/>
      <c r="P42" s="1963"/>
      <c r="Q42" s="1963"/>
      <c r="R42" s="1963"/>
      <c r="S42" s="1963"/>
      <c r="T42" s="1964"/>
    </row>
    <row r="43" spans="2:26" ht="15.75" customHeight="1" x14ac:dyDescent="0.25">
      <c r="B43" s="27"/>
      <c r="C43" s="1984"/>
      <c r="D43" s="1303"/>
      <c r="E43" s="1303"/>
      <c r="F43" s="1969"/>
      <c r="J43" s="1940" t="s">
        <v>351</v>
      </c>
      <c r="K43" s="1940"/>
      <c r="L43" s="1948">
        <f>SUM(W12:W41)</f>
        <v>2</v>
      </c>
      <c r="M43" s="1949"/>
      <c r="N43" s="1950"/>
      <c r="O43" s="1940" t="s">
        <v>352</v>
      </c>
      <c r="P43" s="1940"/>
      <c r="Q43" s="1940"/>
      <c r="R43" s="1940"/>
      <c r="S43" s="1941">
        <v>0</v>
      </c>
      <c r="T43" s="1941"/>
    </row>
    <row r="44" spans="2:26" ht="15.75" customHeight="1" x14ac:dyDescent="0.25">
      <c r="B44" s="27"/>
      <c r="C44" s="1303"/>
      <c r="D44" s="1303"/>
      <c r="E44" s="1303"/>
      <c r="F44" s="1969"/>
      <c r="O44" s="1940" t="s">
        <v>136</v>
      </c>
      <c r="P44" s="1940"/>
      <c r="Q44" s="1940"/>
      <c r="R44" s="1940"/>
      <c r="S44" s="1939">
        <f>SUM(Z12:Z41)</f>
        <v>6.9444444444444441E-3</v>
      </c>
      <c r="T44" s="1939"/>
    </row>
    <row r="45" spans="2:26" x14ac:dyDescent="0.25">
      <c r="B45" s="27"/>
      <c r="C45" s="1970"/>
      <c r="D45" s="1971"/>
      <c r="E45" s="1971"/>
      <c r="F45" s="1972"/>
      <c r="O45" s="1940" t="s">
        <v>353</v>
      </c>
      <c r="P45" s="1940"/>
      <c r="Q45" s="1940"/>
      <c r="R45" s="1940"/>
      <c r="S45" s="1939">
        <f>SUM(T12:T41)+S43</f>
        <v>2.7777777777777776E-2</v>
      </c>
      <c r="T45" s="1939"/>
    </row>
    <row r="46" spans="2:26" ht="15.75" customHeight="1" x14ac:dyDescent="0.25">
      <c r="B46" s="27"/>
      <c r="C46" s="1970"/>
      <c r="D46" s="1971"/>
      <c r="E46" s="1971"/>
      <c r="F46" s="1972"/>
    </row>
    <row r="47" spans="2:26" ht="15.75" customHeight="1" x14ac:dyDescent="0.25">
      <c r="B47" s="27"/>
      <c r="C47" s="1973"/>
      <c r="D47" s="1352"/>
      <c r="E47" s="1352"/>
      <c r="F47" s="1974"/>
      <c r="L47" s="1942" t="s">
        <v>354</v>
      </c>
      <c r="M47" s="1942"/>
      <c r="N47" s="1942"/>
      <c r="O47" s="1942"/>
      <c r="P47" s="1942"/>
      <c r="Q47" s="1960">
        <f>(MAX(Q12:Q41)-MIN(Q12:Q41))</f>
        <v>0</v>
      </c>
      <c r="R47" s="1961"/>
      <c r="S47" s="1961"/>
      <c r="T47" s="1961"/>
    </row>
    <row r="48" spans="2:26" ht="15.75" customHeight="1" x14ac:dyDescent="0.25">
      <c r="B48" s="27"/>
      <c r="C48" s="1970"/>
      <c r="D48" s="1971"/>
      <c r="E48" s="1971"/>
      <c r="F48" s="1972"/>
    </row>
    <row r="49" spans="2:20" ht="15.75" customHeight="1" x14ac:dyDescent="0.25">
      <c r="B49" s="27"/>
      <c r="C49" s="1973"/>
      <c r="D49" s="1352"/>
      <c r="E49" s="1352"/>
      <c r="F49" s="1974"/>
    </row>
    <row r="50" spans="2:20" ht="15.75" customHeight="1" x14ac:dyDescent="0.25">
      <c r="B50" s="27"/>
      <c r="C50" s="1973"/>
      <c r="D50" s="1352"/>
      <c r="E50" s="1352"/>
      <c r="F50" s="1974"/>
      <c r="J50" s="1865" t="s">
        <v>277</v>
      </c>
      <c r="K50" s="1865"/>
      <c r="L50" s="1865"/>
      <c r="M50" s="1865"/>
      <c r="N50" s="1865"/>
      <c r="O50" s="1865"/>
      <c r="P50" s="1865"/>
      <c r="Q50" s="1865"/>
      <c r="R50" s="1865"/>
      <c r="S50" s="1865"/>
      <c r="T50" s="1865"/>
    </row>
    <row r="51" spans="2:20" ht="15.75" customHeight="1" x14ac:dyDescent="0.25">
      <c r="B51" s="27"/>
      <c r="C51" s="1975"/>
      <c r="D51" s="1976"/>
      <c r="E51" s="1976"/>
      <c r="F51" s="1977"/>
    </row>
    <row r="52" spans="2:20" ht="15.75" customHeight="1" x14ac:dyDescent="0.25">
      <c r="B52" s="27"/>
      <c r="C52" s="1973"/>
      <c r="D52" s="1352"/>
      <c r="E52" s="1352"/>
      <c r="F52" s="1974"/>
      <c r="J52" s="1956" t="str">
        <f>H3</f>
        <v>REF. NOME + Nº - 15H x 10B x 5L (cm)</v>
      </c>
      <c r="K52" s="1956"/>
      <c r="L52" s="1956"/>
      <c r="M52" s="1956"/>
      <c r="N52" s="1956"/>
      <c r="O52" s="1957"/>
      <c r="P52" s="1954" t="s">
        <v>310</v>
      </c>
      <c r="Q52" s="1954"/>
      <c r="R52" s="1955"/>
      <c r="S52" s="1938" t="s">
        <v>351</v>
      </c>
      <c r="T52" s="1938"/>
    </row>
    <row r="53" spans="2:20" ht="15.75" customHeight="1" x14ac:dyDescent="0.25">
      <c r="B53" s="30"/>
      <c r="C53" s="1978"/>
      <c r="D53" s="1979"/>
      <c r="E53" s="1979"/>
      <c r="F53" s="1980"/>
      <c r="O53" t="s">
        <v>355</v>
      </c>
      <c r="P53" t="s">
        <v>313</v>
      </c>
      <c r="Q53" t="s">
        <v>314</v>
      </c>
      <c r="R53" t="s">
        <v>315</v>
      </c>
      <c r="S53" s="63"/>
    </row>
    <row r="54" spans="2:20" ht="15.75" customHeight="1" x14ac:dyDescent="0.25">
      <c r="K54" s="1946" t="s">
        <v>129</v>
      </c>
      <c r="L54" s="1946"/>
      <c r="M54" s="1946"/>
      <c r="N54" s="1947"/>
      <c r="O54" s="125">
        <f>INT(P55)</f>
        <v>0</v>
      </c>
      <c r="P54" s="125">
        <f>INT(((P55*24)-INT(P55)))</f>
        <v>0</v>
      </c>
      <c r="Q54" s="126">
        <f>INT(INT(((P55*24)-INT(P55))*60)-(P54*60))</f>
        <v>30</v>
      </c>
      <c r="R54" s="126">
        <f>INT(INT(((P55*24)-INT(P55))*60*60)-(P54*60*60)-(Q54*60))</f>
        <v>0</v>
      </c>
      <c r="S54" s="1918">
        <f>SUM(X12:X41)</f>
        <v>1</v>
      </c>
      <c r="T54" s="1919"/>
    </row>
    <row r="55" spans="2:20" ht="15.75" customHeight="1" x14ac:dyDescent="0.25">
      <c r="P55" s="1889">
        <f>SUM(T12:T41)+S43-S44</f>
        <v>2.0833333333333332E-2</v>
      </c>
      <c r="Q55" s="1889"/>
      <c r="R55" s="1889"/>
      <c r="S55" s="1889"/>
      <c r="T55" s="1889"/>
    </row>
    <row r="56" spans="2:20" x14ac:dyDescent="0.25">
      <c r="K56" s="1958" t="s">
        <v>136</v>
      </c>
      <c r="L56" s="1958"/>
      <c r="M56" s="1958"/>
      <c r="N56" s="1959"/>
      <c r="O56" s="127">
        <f>INT(P57)</f>
        <v>0</v>
      </c>
      <c r="P56" s="127">
        <f>INT(((P57*24)-INT(P57)))</f>
        <v>0</v>
      </c>
      <c r="Q56" s="128">
        <f>INT(INT(((P57*24)-INT(P57))*60)-(P56*60))</f>
        <v>10</v>
      </c>
      <c r="R56" s="128">
        <f>INT(INT(((P57*24)-INT(P57))*60*60)-(P56*60*60)-(Q56*60))</f>
        <v>0</v>
      </c>
      <c r="S56" s="1918">
        <f>SUM(Y12:Y41)</f>
        <v>1</v>
      </c>
      <c r="T56" s="1919"/>
    </row>
    <row r="57" spans="2:20" x14ac:dyDescent="0.25">
      <c r="P57" s="1889">
        <f>S44</f>
        <v>6.9444444444444441E-3</v>
      </c>
      <c r="Q57" s="1889"/>
      <c r="R57" s="1889"/>
      <c r="S57" s="1889"/>
      <c r="T57" s="1889"/>
    </row>
  </sheetData>
  <sheetProtection algorithmName="SHA-512" hashValue="bJbOAQ9thcz/ZfmEAzDUZEmBIwnlkdyJ6Mq5fFl6O9dXMASo4TkD22ByhQiHuDL1W1wdrub0ZLw36hyfUUQ5gQ==" saltValue="NaWlFUrdLkKWiwS9wE28Jw==" spinCount="100000" sheet="1"/>
  <mergeCells count="139">
    <mergeCell ref="C36:F36"/>
    <mergeCell ref="C37:F37"/>
    <mergeCell ref="C38:F38"/>
    <mergeCell ref="C39:F39"/>
    <mergeCell ref="C49:F49"/>
    <mergeCell ref="C50:F50"/>
    <mergeCell ref="C51:F51"/>
    <mergeCell ref="C52:F52"/>
    <mergeCell ref="C53:F53"/>
    <mergeCell ref="C40:F40"/>
    <mergeCell ref="C41:F41"/>
    <mergeCell ref="C42:F42"/>
    <mergeCell ref="C43:F43"/>
    <mergeCell ref="C44:F44"/>
    <mergeCell ref="C45:F45"/>
    <mergeCell ref="C46:F46"/>
    <mergeCell ref="C47:F47"/>
    <mergeCell ref="C48:F48"/>
    <mergeCell ref="B27:F27"/>
    <mergeCell ref="C28:F28"/>
    <mergeCell ref="C29:F29"/>
    <mergeCell ref="C30:F30"/>
    <mergeCell ref="C31:F31"/>
    <mergeCell ref="C32:F32"/>
    <mergeCell ref="C33:F33"/>
    <mergeCell ref="C34:F34"/>
    <mergeCell ref="C35:F35"/>
    <mergeCell ref="P57:T57"/>
    <mergeCell ref="K54:N54"/>
    <mergeCell ref="L43:N43"/>
    <mergeCell ref="S56:T56"/>
    <mergeCell ref="K8:N8"/>
    <mergeCell ref="K7:N7"/>
    <mergeCell ref="B24:E25"/>
    <mergeCell ref="P52:R52"/>
    <mergeCell ref="S54:T54"/>
    <mergeCell ref="P55:T55"/>
    <mergeCell ref="J50:T50"/>
    <mergeCell ref="J52:O52"/>
    <mergeCell ref="K56:N56"/>
    <mergeCell ref="Q47:T47"/>
    <mergeCell ref="H9:I9"/>
    <mergeCell ref="H10:I10"/>
    <mergeCell ref="O44:R44"/>
    <mergeCell ref="K41:M41"/>
    <mergeCell ref="R41:S41"/>
    <mergeCell ref="J42:T42"/>
    <mergeCell ref="J43:K43"/>
    <mergeCell ref="O45:R45"/>
    <mergeCell ref="S45:T45"/>
    <mergeCell ref="K38:M38"/>
    <mergeCell ref="R29:S29"/>
    <mergeCell ref="K30:M30"/>
    <mergeCell ref="R30:S30"/>
    <mergeCell ref="K31:M31"/>
    <mergeCell ref="R31:S31"/>
    <mergeCell ref="R38:S38"/>
    <mergeCell ref="K39:M39"/>
    <mergeCell ref="R39:S39"/>
    <mergeCell ref="K40:M40"/>
    <mergeCell ref="R40:S40"/>
    <mergeCell ref="K35:M35"/>
    <mergeCell ref="R35:S35"/>
    <mergeCell ref="K36:M36"/>
    <mergeCell ref="R36:S36"/>
    <mergeCell ref="K37:M37"/>
    <mergeCell ref="R37:S37"/>
    <mergeCell ref="B19:F21"/>
    <mergeCell ref="B22:E23"/>
    <mergeCell ref="K17:M17"/>
    <mergeCell ref="R17:S17"/>
    <mergeCell ref="K18:M18"/>
    <mergeCell ref="R25:S25"/>
    <mergeCell ref="K26:M26"/>
    <mergeCell ref="R26:S26"/>
    <mergeCell ref="K27:M27"/>
    <mergeCell ref="R27:S27"/>
    <mergeCell ref="K22:M22"/>
    <mergeCell ref="R22:S22"/>
    <mergeCell ref="K23:M23"/>
    <mergeCell ref="R23:S23"/>
    <mergeCell ref="K24:M24"/>
    <mergeCell ref="R24:S24"/>
    <mergeCell ref="R18:S18"/>
    <mergeCell ref="K19:M19"/>
    <mergeCell ref="R19:S19"/>
    <mergeCell ref="K20:M20"/>
    <mergeCell ref="R20:S20"/>
    <mergeCell ref="K21:M21"/>
    <mergeCell ref="R21:S21"/>
    <mergeCell ref="B17:E18"/>
    <mergeCell ref="P8:T8"/>
    <mergeCell ref="S52:T52"/>
    <mergeCell ref="S44:T44"/>
    <mergeCell ref="O43:R43"/>
    <mergeCell ref="S43:T43"/>
    <mergeCell ref="L47:P47"/>
    <mergeCell ref="K25:M25"/>
    <mergeCell ref="K28:M28"/>
    <mergeCell ref="R28:S28"/>
    <mergeCell ref="J10:T10"/>
    <mergeCell ref="K14:M14"/>
    <mergeCell ref="R14:S14"/>
    <mergeCell ref="K15:M15"/>
    <mergeCell ref="R15:S15"/>
    <mergeCell ref="K16:M16"/>
    <mergeCell ref="R16:S16"/>
    <mergeCell ref="J9:T9"/>
    <mergeCell ref="K32:M32"/>
    <mergeCell ref="R32:S32"/>
    <mergeCell ref="K33:M33"/>
    <mergeCell ref="R33:S33"/>
    <mergeCell ref="K34:M34"/>
    <mergeCell ref="R34:S34"/>
    <mergeCell ref="K29:M29"/>
    <mergeCell ref="W11:Z11"/>
    <mergeCell ref="B8:E8"/>
    <mergeCell ref="H4:T4"/>
    <mergeCell ref="B2:F2"/>
    <mergeCell ref="B3:E3"/>
    <mergeCell ref="B4:E5"/>
    <mergeCell ref="F4:F5"/>
    <mergeCell ref="H3:T3"/>
    <mergeCell ref="B16:F16"/>
    <mergeCell ref="B11:E12"/>
    <mergeCell ref="F11:F12"/>
    <mergeCell ref="B13:E14"/>
    <mergeCell ref="F13:F14"/>
    <mergeCell ref="B6:E6"/>
    <mergeCell ref="B7:E7"/>
    <mergeCell ref="B9:E9"/>
    <mergeCell ref="B10:E10"/>
    <mergeCell ref="K11:M11"/>
    <mergeCell ref="R11:S11"/>
    <mergeCell ref="K12:M12"/>
    <mergeCell ref="R12:S12"/>
    <mergeCell ref="K13:M13"/>
    <mergeCell ref="R13:S13"/>
    <mergeCell ref="P7:T7"/>
  </mergeCells>
  <conditionalFormatting sqref="F22:F23">
    <cfRule type="cellIs" dxfId="3" priority="3" operator="notEqual">
      <formula>$H$10</formula>
    </cfRule>
    <cfRule type="cellIs" dxfId="2" priority="4" operator="equal">
      <formula>$H$10</formula>
    </cfRule>
  </conditionalFormatting>
  <conditionalFormatting sqref="T12:T41">
    <cfRule type="cellIs" dxfId="1" priority="5" operator="lessThan">
      <formula>0</formula>
    </cfRule>
    <cfRule type="containsErrors" dxfId="0" priority="6">
      <formula>ISERROR(T12)</formula>
    </cfRule>
  </conditionalFormatting>
  <dataValidations count="4">
    <dataValidation type="list" allowBlank="1" showInputMessage="1" showErrorMessage="1" sqref="F24:F25" xr:uid="{D9EF4958-26AC-4B75-ADE5-CC93B075BF9A}">
      <formula1>$F$24:$F$25</formula1>
    </dataValidation>
    <dataValidation type="list" allowBlank="1" showInputMessage="1" showErrorMessage="1" sqref="N12:N41" xr:uid="{ED1C4D0E-D85F-4B32-8EFC-9D06646FB8BC}">
      <formula1>$F$24:$F$26</formula1>
    </dataValidation>
    <dataValidation type="list" allowBlank="1" showInputMessage="1" showErrorMessage="1" sqref="H10:I10" xr:uid="{B8258D0A-E17B-42A6-93A6-C7E3933AF27E}">
      <formula1>$F$22:$F$23</formula1>
    </dataValidation>
    <dataValidation type="list" allowBlank="1" showInputMessage="1" showErrorMessage="1" prompt="SIM ou NÃO" sqref="F8" xr:uid="{9BBF92B6-3ED5-4783-9564-1DEC19DDF8C5}">
      <formula1>$F$17:$F$18</formula1>
    </dataValidation>
  </dataValidations>
  <pageMargins left="0.511811024" right="0.511811024" top="0.78740157499999996" bottom="0.78740157499999996" header="0.31496062000000002" footer="0.31496062000000002"/>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9A800-F75C-4BDC-ACA8-836FFB9719ED}">
  <dimension ref="E9:Z52"/>
  <sheetViews>
    <sheetView zoomScale="70" zoomScaleNormal="70" workbookViewId="0">
      <selection activeCell="T16" sqref="T16"/>
    </sheetView>
  </sheetViews>
  <sheetFormatPr defaultRowHeight="15" x14ac:dyDescent="0.25"/>
  <cols>
    <col min="6" max="6" width="12.28515625" customWidth="1"/>
    <col min="7" max="7" width="10.28515625" customWidth="1"/>
    <col min="8" max="8" width="11.140625" customWidth="1"/>
    <col min="20" max="20" width="13.42578125" customWidth="1"/>
    <col min="21" max="21" width="11" customWidth="1"/>
    <col min="22" max="22" width="18.7109375" customWidth="1"/>
    <col min="26" max="26" width="13.28515625" customWidth="1"/>
  </cols>
  <sheetData>
    <row r="9" spans="5:21" x14ac:dyDescent="0.25">
      <c r="F9" s="1377" t="str">
        <f>'NOME + Nº'!C8</f>
        <v>REF. NOME + Nº - 15H x 10B x 5L (cm)</v>
      </c>
      <c r="G9" s="1377"/>
      <c r="H9" s="1377"/>
      <c r="I9" s="1377"/>
      <c r="J9" s="1377"/>
      <c r="K9" s="1377"/>
      <c r="L9" s="1377"/>
      <c r="M9" s="1377"/>
      <c r="N9" s="1377"/>
      <c r="O9" s="1377"/>
      <c r="P9" s="1377"/>
      <c r="Q9" s="1377"/>
      <c r="R9" s="1377"/>
    </row>
    <row r="10" spans="5:21" ht="15.75" thickBot="1" x14ac:dyDescent="0.3"/>
    <row r="11" spans="5:21" ht="15.75" thickBot="1" x14ac:dyDescent="0.3">
      <c r="E11" s="405" t="s">
        <v>234</v>
      </c>
      <c r="F11" s="407">
        <f>MODELAGEM!J8</f>
        <v>20</v>
      </c>
    </row>
    <row r="13" spans="5:21" x14ac:dyDescent="0.25">
      <c r="F13" s="651"/>
      <c r="G13" s="659" t="s">
        <v>790</v>
      </c>
      <c r="H13" s="657"/>
      <c r="I13" s="657"/>
      <c r="J13" s="659" t="s">
        <v>791</v>
      </c>
      <c r="K13" s="657"/>
      <c r="L13" s="657"/>
      <c r="M13" s="659" t="s">
        <v>792</v>
      </c>
      <c r="N13" s="657"/>
      <c r="O13" s="657"/>
      <c r="P13" s="659" t="s">
        <v>800</v>
      </c>
      <c r="Q13" s="657"/>
      <c r="R13" s="658"/>
    </row>
    <row r="14" spans="5:21" x14ac:dyDescent="0.25">
      <c r="G14" s="63"/>
      <c r="J14" s="63"/>
      <c r="M14" s="63"/>
      <c r="P14" s="63"/>
      <c r="T14" t="s">
        <v>804</v>
      </c>
    </row>
    <row r="15" spans="5:21" x14ac:dyDescent="0.25">
      <c r="E15" s="656">
        <v>0</v>
      </c>
      <c r="F15" s="657"/>
      <c r="G15" s="647" t="s">
        <v>798</v>
      </c>
      <c r="H15" s="648"/>
      <c r="I15" s="648"/>
      <c r="J15" s="647" t="s">
        <v>306</v>
      </c>
      <c r="K15" s="648"/>
      <c r="L15" s="648"/>
      <c r="M15" s="647" t="s">
        <v>775</v>
      </c>
      <c r="N15" s="657"/>
      <c r="O15" s="657"/>
      <c r="P15" s="647" t="s">
        <v>801</v>
      </c>
      <c r="Q15" s="657"/>
      <c r="R15" s="658"/>
      <c r="T15" s="672">
        <f>U15/(2*F11)</f>
        <v>6.2500000000000003E-3</v>
      </c>
      <c r="U15" s="672">
        <v>0.25</v>
      </c>
    </row>
    <row r="16" spans="5:21" x14ac:dyDescent="0.25">
      <c r="G16" s="654" t="s">
        <v>799</v>
      </c>
      <c r="H16" s="655"/>
      <c r="I16" s="655"/>
      <c r="J16" s="660" t="s">
        <v>794</v>
      </c>
      <c r="K16" s="661"/>
      <c r="L16" s="661"/>
      <c r="M16" s="650" t="s">
        <v>796</v>
      </c>
      <c r="O16" s="389"/>
      <c r="P16" s="650" t="s">
        <v>802</v>
      </c>
    </row>
    <row r="17" spans="5:26" x14ac:dyDescent="0.25">
      <c r="G17" s="654" t="s">
        <v>798</v>
      </c>
      <c r="H17" s="655"/>
      <c r="I17" s="655"/>
      <c r="J17" s="660" t="s">
        <v>306</v>
      </c>
      <c r="K17" s="661"/>
      <c r="L17" s="661"/>
      <c r="M17" s="650" t="s">
        <v>797</v>
      </c>
      <c r="O17" s="389"/>
      <c r="P17" s="650" t="s">
        <v>795</v>
      </c>
    </row>
    <row r="18" spans="5:26" x14ac:dyDescent="0.25">
      <c r="G18" s="654" t="s">
        <v>795</v>
      </c>
      <c r="H18" s="655"/>
      <c r="I18" s="655"/>
      <c r="J18" s="660" t="s">
        <v>795</v>
      </c>
      <c r="K18" s="661"/>
      <c r="L18" s="661"/>
      <c r="M18" s="650"/>
      <c r="O18" s="389"/>
      <c r="P18" s="650"/>
    </row>
    <row r="19" spans="5:26" x14ac:dyDescent="0.25">
      <c r="G19" s="654"/>
      <c r="H19" s="655"/>
      <c r="I19" s="655"/>
      <c r="J19" s="660"/>
      <c r="K19" s="661"/>
      <c r="L19" s="661"/>
      <c r="M19" s="650"/>
      <c r="O19" s="389"/>
      <c r="P19" s="650"/>
    </row>
    <row r="20" spans="5:26" x14ac:dyDescent="0.25">
      <c r="E20" s="656">
        <v>1</v>
      </c>
      <c r="F20" s="657"/>
      <c r="G20" s="647" t="s">
        <v>771</v>
      </c>
      <c r="H20" s="648"/>
      <c r="I20" s="648"/>
      <c r="J20" s="647" t="s">
        <v>769</v>
      </c>
      <c r="K20" s="648"/>
      <c r="L20" s="648"/>
      <c r="M20" s="647" t="s">
        <v>187</v>
      </c>
      <c r="N20" s="657"/>
      <c r="O20" s="658"/>
      <c r="P20" s="647" t="s">
        <v>453</v>
      </c>
      <c r="Q20" s="657"/>
      <c r="R20" s="658"/>
      <c r="T20" s="672">
        <v>1.3888888888888889E-3</v>
      </c>
      <c r="V20" t="s">
        <v>807</v>
      </c>
    </row>
    <row r="21" spans="5:26" x14ac:dyDescent="0.25">
      <c r="G21" s="650" t="s">
        <v>772</v>
      </c>
      <c r="H21" s="49"/>
      <c r="I21" s="49"/>
      <c r="J21" s="650" t="s">
        <v>324</v>
      </c>
      <c r="K21" s="49"/>
      <c r="L21" s="49"/>
      <c r="M21" s="650" t="s">
        <v>776</v>
      </c>
      <c r="O21" s="389"/>
      <c r="P21" s="662" t="s">
        <v>803</v>
      </c>
      <c r="Q21" s="663"/>
      <c r="R21" s="663"/>
    </row>
    <row r="22" spans="5:26" x14ac:dyDescent="0.25">
      <c r="G22" s="650" t="s">
        <v>773</v>
      </c>
      <c r="H22" s="49"/>
      <c r="I22" s="49"/>
      <c r="J22" s="650"/>
      <c r="K22" s="49"/>
      <c r="L22" s="49"/>
      <c r="M22" s="650"/>
      <c r="O22" s="389"/>
      <c r="P22" s="662" t="s">
        <v>453</v>
      </c>
      <c r="Q22" s="663"/>
      <c r="R22" s="663"/>
      <c r="Z22" t="s">
        <v>804</v>
      </c>
    </row>
    <row r="23" spans="5:26" x14ac:dyDescent="0.25">
      <c r="G23" s="650" t="s">
        <v>774</v>
      </c>
      <c r="H23" s="49"/>
      <c r="I23" s="49"/>
      <c r="J23" s="650"/>
      <c r="K23" s="49"/>
      <c r="L23" s="49"/>
      <c r="M23" s="650"/>
      <c r="O23" s="389"/>
      <c r="P23" s="662" t="s">
        <v>786</v>
      </c>
      <c r="Q23" s="663"/>
      <c r="R23" s="663"/>
      <c r="V23" s="647" t="s">
        <v>771</v>
      </c>
      <c r="W23" s="652" t="s">
        <v>772</v>
      </c>
      <c r="X23" s="653"/>
      <c r="Y23" s="653"/>
      <c r="Z23" s="672">
        <v>1.3888888888888889E-3</v>
      </c>
    </row>
    <row r="24" spans="5:26" x14ac:dyDescent="0.25">
      <c r="G24" s="650"/>
      <c r="H24" s="49"/>
      <c r="I24" s="49"/>
      <c r="J24" s="650"/>
      <c r="K24" s="49"/>
      <c r="L24" s="49"/>
      <c r="M24" s="650"/>
      <c r="O24" s="389"/>
      <c r="P24" s="662"/>
      <c r="Q24" s="663"/>
      <c r="R24" s="663"/>
      <c r="W24" s="650" t="s">
        <v>773</v>
      </c>
      <c r="Z24" s="672">
        <v>1.3888888888888889E-3</v>
      </c>
    </row>
    <row r="25" spans="5:26" x14ac:dyDescent="0.25">
      <c r="G25" s="650"/>
      <c r="H25" s="49"/>
      <c r="I25" s="49"/>
      <c r="J25" s="650"/>
      <c r="K25" s="49"/>
      <c r="L25" s="49"/>
      <c r="M25" s="650"/>
      <c r="O25" s="389"/>
      <c r="P25" s="664"/>
      <c r="Q25" s="664"/>
      <c r="R25" s="664"/>
      <c r="W25" s="650" t="s">
        <v>774</v>
      </c>
      <c r="Z25" s="672">
        <v>6.9444444444444447E-4</v>
      </c>
    </row>
    <row r="26" spans="5:26" x14ac:dyDescent="0.25">
      <c r="E26" s="656">
        <v>2</v>
      </c>
      <c r="F26" s="657"/>
      <c r="G26" s="647" t="s">
        <v>780</v>
      </c>
      <c r="H26" s="657"/>
      <c r="I26" s="648"/>
      <c r="J26" s="647" t="s">
        <v>808</v>
      </c>
      <c r="K26" s="648"/>
      <c r="L26" s="648"/>
      <c r="M26" s="647" t="s">
        <v>808</v>
      </c>
      <c r="N26" s="648"/>
      <c r="O26" s="649"/>
      <c r="P26" s="657"/>
      <c r="Q26" s="657"/>
      <c r="R26" s="658"/>
      <c r="T26" s="672">
        <f>Z31</f>
        <v>6.9444444444444447E-4</v>
      </c>
      <c r="W26" s="63"/>
    </row>
    <row r="27" spans="5:26" x14ac:dyDescent="0.25">
      <c r="G27" s="650" t="s">
        <v>777</v>
      </c>
      <c r="I27" s="49"/>
      <c r="J27" s="650" t="s">
        <v>324</v>
      </c>
      <c r="K27" s="49"/>
      <c r="L27" s="49"/>
      <c r="M27" s="650" t="s">
        <v>324</v>
      </c>
      <c r="N27" s="49"/>
      <c r="O27" s="674"/>
      <c r="V27" s="647" t="s">
        <v>769</v>
      </c>
      <c r="W27" s="652" t="s">
        <v>324</v>
      </c>
      <c r="X27" s="653"/>
      <c r="Y27" s="653"/>
      <c r="Z27" s="672">
        <v>6.9444444444444447E-4</v>
      </c>
    </row>
    <row r="28" spans="5:26" x14ac:dyDescent="0.25">
      <c r="G28" s="63"/>
      <c r="I28" s="49"/>
      <c r="J28" s="650"/>
      <c r="K28" s="49"/>
      <c r="L28" s="49"/>
      <c r="M28" s="650"/>
      <c r="N28" s="49"/>
      <c r="O28" s="674"/>
      <c r="W28" s="63"/>
    </row>
    <row r="29" spans="5:26" x14ac:dyDescent="0.25">
      <c r="G29" s="63"/>
      <c r="J29" s="650"/>
      <c r="K29" s="49"/>
      <c r="L29" s="49"/>
      <c r="M29" s="650"/>
      <c r="N29" s="49"/>
      <c r="O29" s="674"/>
      <c r="V29" s="647" t="s">
        <v>187</v>
      </c>
      <c r="W29" s="652" t="s">
        <v>776</v>
      </c>
      <c r="X29" s="653"/>
      <c r="Y29" s="653"/>
      <c r="Z29" t="s">
        <v>267</v>
      </c>
    </row>
    <row r="30" spans="5:26" x14ac:dyDescent="0.25">
      <c r="G30" s="63"/>
      <c r="J30" s="650"/>
      <c r="K30" s="49"/>
      <c r="L30" s="49"/>
      <c r="M30" s="650"/>
      <c r="N30" s="49"/>
      <c r="O30" s="674"/>
      <c r="W30" s="63"/>
    </row>
    <row r="31" spans="5:26" x14ac:dyDescent="0.25">
      <c r="E31" s="656">
        <v>3</v>
      </c>
      <c r="F31" s="657"/>
      <c r="G31" s="647" t="s">
        <v>770</v>
      </c>
      <c r="H31" s="657"/>
      <c r="I31" s="657"/>
      <c r="J31" s="647" t="s">
        <v>182</v>
      </c>
      <c r="K31" s="657"/>
      <c r="L31" s="648"/>
      <c r="M31" s="647" t="s">
        <v>182</v>
      </c>
      <c r="N31" s="657"/>
      <c r="O31" s="649"/>
      <c r="P31" s="657"/>
      <c r="Q31" s="657"/>
      <c r="R31" s="658"/>
      <c r="T31" s="672">
        <f>Z33</f>
        <v>3.472222222222222E-3</v>
      </c>
      <c r="V31" s="647" t="s">
        <v>780</v>
      </c>
      <c r="W31" s="652" t="s">
        <v>777</v>
      </c>
      <c r="X31" s="653"/>
      <c r="Y31" s="653"/>
      <c r="Z31" s="672">
        <v>6.9444444444444447E-4</v>
      </c>
    </row>
    <row r="32" spans="5:26" x14ac:dyDescent="0.25">
      <c r="G32" s="63" t="s">
        <v>779</v>
      </c>
      <c r="J32" s="660" t="s">
        <v>778</v>
      </c>
      <c r="K32" s="664"/>
      <c r="L32" s="661"/>
      <c r="M32" s="660" t="s">
        <v>778</v>
      </c>
      <c r="N32" s="663"/>
      <c r="O32" s="677"/>
      <c r="W32" s="63"/>
    </row>
    <row r="33" spans="5:26" x14ac:dyDescent="0.25">
      <c r="G33" s="63"/>
      <c r="J33" s="660"/>
      <c r="K33" s="661"/>
      <c r="L33" s="661"/>
      <c r="M33" s="660"/>
      <c r="N33" s="662"/>
      <c r="O33" s="675"/>
      <c r="V33" s="647" t="s">
        <v>182</v>
      </c>
      <c r="W33" s="668" t="s">
        <v>778</v>
      </c>
      <c r="X33" s="653"/>
      <c r="Y33" s="653"/>
      <c r="Z33" s="672">
        <v>3.472222222222222E-3</v>
      </c>
    </row>
    <row r="34" spans="5:26" x14ac:dyDescent="0.25">
      <c r="G34" s="63"/>
      <c r="J34" s="665"/>
      <c r="K34" s="664"/>
      <c r="L34" s="664"/>
      <c r="M34" s="665"/>
      <c r="N34" s="663"/>
      <c r="O34" s="676"/>
      <c r="W34" s="63"/>
    </row>
    <row r="35" spans="5:26" x14ac:dyDescent="0.25">
      <c r="E35" s="659">
        <v>4</v>
      </c>
      <c r="F35" s="657"/>
      <c r="G35" s="659" t="s">
        <v>781</v>
      </c>
      <c r="H35" s="657"/>
      <c r="I35" s="657"/>
      <c r="J35" s="659" t="s">
        <v>805</v>
      </c>
      <c r="K35" s="657"/>
      <c r="L35" s="657"/>
      <c r="M35" s="659" t="s">
        <v>805</v>
      </c>
      <c r="N35" s="657"/>
      <c r="O35" s="658"/>
      <c r="P35" s="657"/>
      <c r="Q35" s="657"/>
      <c r="R35" s="658"/>
      <c r="T35" s="672">
        <f>Z37</f>
        <v>3.472222222222222E-3</v>
      </c>
      <c r="V35" s="647" t="s">
        <v>770</v>
      </c>
      <c r="W35" s="669" t="s">
        <v>779</v>
      </c>
      <c r="X35" s="653"/>
      <c r="Y35" s="653"/>
      <c r="Z35" s="672">
        <v>2.0833333333333333E-3</v>
      </c>
    </row>
    <row r="36" spans="5:26" x14ac:dyDescent="0.25">
      <c r="G36" s="666" t="s">
        <v>782</v>
      </c>
      <c r="H36" s="667"/>
      <c r="I36" s="667"/>
      <c r="J36" s="63" t="s">
        <v>806</v>
      </c>
      <c r="M36" s="63" t="s">
        <v>806</v>
      </c>
      <c r="O36" s="389"/>
      <c r="W36" s="63"/>
    </row>
    <row r="37" spans="5:26" x14ac:dyDescent="0.25">
      <c r="G37" s="666"/>
      <c r="H37" s="667"/>
      <c r="I37" s="667"/>
      <c r="J37" s="63"/>
      <c r="M37" s="63"/>
      <c r="O37" s="389"/>
      <c r="V37" s="659" t="s">
        <v>781</v>
      </c>
      <c r="W37" s="670" t="s">
        <v>782</v>
      </c>
      <c r="X37" s="653"/>
      <c r="Y37" s="653"/>
      <c r="Z37" s="672">
        <v>3.472222222222222E-3</v>
      </c>
    </row>
    <row r="38" spans="5:26" x14ac:dyDescent="0.25">
      <c r="G38" s="666"/>
      <c r="H38" s="667"/>
      <c r="I38" s="667"/>
      <c r="J38" s="63"/>
      <c r="M38" s="63"/>
      <c r="O38" s="389"/>
      <c r="W38" s="63"/>
    </row>
    <row r="39" spans="5:26" x14ac:dyDescent="0.25">
      <c r="E39" s="659">
        <v>5</v>
      </c>
      <c r="F39" s="657"/>
      <c r="G39" s="659" t="s">
        <v>783</v>
      </c>
      <c r="H39" s="657"/>
      <c r="I39" s="657"/>
      <c r="J39" s="659" t="s">
        <v>783</v>
      </c>
      <c r="K39" s="657"/>
      <c r="L39" s="658"/>
      <c r="M39" s="659" t="s">
        <v>783</v>
      </c>
      <c r="N39" s="657"/>
      <c r="O39" s="658"/>
      <c r="P39" s="657"/>
      <c r="Q39" s="657"/>
      <c r="R39" s="658"/>
      <c r="T39" s="672">
        <f>Z39</f>
        <v>2.0833333333333333E-3</v>
      </c>
      <c r="V39" s="659" t="s">
        <v>783</v>
      </c>
      <c r="W39" s="671" t="s">
        <v>784</v>
      </c>
      <c r="X39" s="653"/>
      <c r="Y39" s="653"/>
      <c r="Z39" s="672">
        <v>2.0833333333333333E-3</v>
      </c>
    </row>
    <row r="40" spans="5:26" x14ac:dyDescent="0.25">
      <c r="G40" s="665" t="s">
        <v>784</v>
      </c>
      <c r="H40" s="664"/>
      <c r="I40" s="664"/>
      <c r="J40" s="63" t="s">
        <v>785</v>
      </c>
      <c r="M40" s="63" t="s">
        <v>785</v>
      </c>
      <c r="O40" s="389"/>
      <c r="W40" s="63"/>
    </row>
    <row r="41" spans="5:26" x14ac:dyDescent="0.25">
      <c r="G41" s="665"/>
      <c r="H41" s="664"/>
      <c r="I41" s="664"/>
      <c r="J41" s="63"/>
      <c r="M41" s="63"/>
      <c r="O41" s="389"/>
      <c r="V41" s="659" t="s">
        <v>783</v>
      </c>
      <c r="W41" s="669" t="s">
        <v>785</v>
      </c>
      <c r="X41" s="653"/>
      <c r="Y41" s="653"/>
      <c r="Z41" s="672">
        <v>1.3888888888888889E-3</v>
      </c>
    </row>
    <row r="42" spans="5:26" x14ac:dyDescent="0.25">
      <c r="G42" s="665"/>
      <c r="H42" s="664"/>
      <c r="I42" s="664"/>
      <c r="J42" s="63"/>
      <c r="M42" s="63"/>
      <c r="O42" s="389"/>
      <c r="W42" s="63"/>
    </row>
    <row r="43" spans="5:26" x14ac:dyDescent="0.25">
      <c r="G43" s="665"/>
      <c r="H43" s="664"/>
      <c r="I43" s="664"/>
      <c r="J43" s="63"/>
      <c r="M43" s="63"/>
      <c r="O43" s="389"/>
      <c r="V43" s="659" t="s">
        <v>786</v>
      </c>
      <c r="W43" s="669" t="s">
        <v>787</v>
      </c>
      <c r="X43" s="653"/>
      <c r="Y43" s="653"/>
      <c r="Z43" s="672">
        <v>6.9444444444444447E-4</v>
      </c>
    </row>
    <row r="44" spans="5:26" x14ac:dyDescent="0.25">
      <c r="E44" s="659">
        <v>6</v>
      </c>
      <c r="F44" s="657"/>
      <c r="G44" s="659" t="s">
        <v>786</v>
      </c>
      <c r="H44" s="657"/>
      <c r="I44" s="657"/>
      <c r="J44" s="659" t="s">
        <v>786</v>
      </c>
      <c r="K44" s="657"/>
      <c r="L44" s="658"/>
      <c r="M44" s="659" t="s">
        <v>786</v>
      </c>
      <c r="N44" s="657"/>
      <c r="O44" s="658"/>
      <c r="P44" s="657"/>
      <c r="Q44" s="657"/>
      <c r="R44" s="658"/>
      <c r="T44" s="672">
        <f>Z43</f>
        <v>6.9444444444444447E-4</v>
      </c>
    </row>
    <row r="45" spans="5:26" x14ac:dyDescent="0.25">
      <c r="G45" s="63" t="s">
        <v>787</v>
      </c>
      <c r="J45" s="63" t="s">
        <v>787</v>
      </c>
      <c r="M45" s="63" t="s">
        <v>787</v>
      </c>
      <c r="O45" s="389"/>
      <c r="Y45" t="s">
        <v>59</v>
      </c>
      <c r="Z45" s="673">
        <f>SUM(Z23:Z43)</f>
        <v>1.8055555555555554E-2</v>
      </c>
    </row>
    <row r="46" spans="5:26" x14ac:dyDescent="0.25">
      <c r="G46" s="63"/>
      <c r="J46" s="63"/>
      <c r="M46" s="63"/>
      <c r="O46" s="389"/>
    </row>
    <row r="47" spans="5:26" x14ac:dyDescent="0.25">
      <c r="G47" s="63"/>
      <c r="J47" s="63"/>
      <c r="M47" s="63"/>
      <c r="O47" s="389"/>
    </row>
    <row r="48" spans="5:26" x14ac:dyDescent="0.25">
      <c r="E48" s="659">
        <v>7</v>
      </c>
      <c r="F48" s="657"/>
      <c r="G48" s="659" t="s">
        <v>789</v>
      </c>
      <c r="H48" s="657"/>
      <c r="I48" s="657"/>
      <c r="J48" s="659" t="s">
        <v>789</v>
      </c>
      <c r="K48" s="657"/>
      <c r="L48" s="658"/>
      <c r="M48" s="659"/>
      <c r="N48" s="657"/>
      <c r="O48" s="658"/>
      <c r="P48" s="657"/>
      <c r="Q48" s="657"/>
      <c r="R48" s="658"/>
      <c r="T48" t="s">
        <v>267</v>
      </c>
    </row>
    <row r="49" spans="7:20" x14ac:dyDescent="0.25">
      <c r="G49" s="63" t="s">
        <v>788</v>
      </c>
      <c r="J49" s="665" t="s">
        <v>793</v>
      </c>
      <c r="K49" s="664"/>
      <c r="L49" s="664"/>
      <c r="M49" s="63"/>
    </row>
    <row r="50" spans="7:20" x14ac:dyDescent="0.25">
      <c r="G50" s="63"/>
      <c r="J50" s="665"/>
      <c r="K50" s="664"/>
      <c r="L50" s="664"/>
      <c r="M50" s="63"/>
    </row>
    <row r="51" spans="7:20" x14ac:dyDescent="0.25">
      <c r="G51" s="63"/>
      <c r="J51" s="665"/>
      <c r="K51" s="664"/>
      <c r="L51" s="664"/>
      <c r="M51" s="63"/>
    </row>
    <row r="52" spans="7:20" x14ac:dyDescent="0.25">
      <c r="R52" t="s">
        <v>59</v>
      </c>
      <c r="T52" s="673">
        <f>SUM(T15:T50)</f>
        <v>1.8055555555555557E-2</v>
      </c>
    </row>
  </sheetData>
  <mergeCells count="1">
    <mergeCell ref="F9:R9"/>
  </mergeCells>
  <phoneticPr fontId="20" type="noConversion"/>
  <pageMargins left="0.511811024" right="0.511811024" top="0.78740157499999996" bottom="0.78740157499999996" header="0.31496062000000002" footer="0.31496062000000002"/>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00F824-12A8-481D-B860-DDC4136C4A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Programação Individual</vt:lpstr>
      <vt:lpstr>NOME + Nº</vt:lpstr>
      <vt:lpstr>CÓPIA (exportar imagem)</vt:lpstr>
      <vt:lpstr>MODELAGEM</vt:lpstr>
      <vt:lpstr>ENFESTO</vt:lpstr>
      <vt:lpstr>ETIQUETA</vt:lpstr>
      <vt:lpstr>AVIAMENTOS</vt:lpstr>
      <vt:lpstr>Arranjo PROCESSOS</vt:lpstr>
      <vt:lpstr>Arranjo CELULAR</vt:lpstr>
      <vt:lpstr>ESBOÇO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Orçamentos</dc:title>
  <dc:subject/>
  <dc:creator>Victor Ferreira</dc:creator>
  <cp:keywords>VMORDEKAI</cp:keywords>
  <dc:description/>
  <cp:lastModifiedBy>Victor Ferreira</cp:lastModifiedBy>
  <cp:revision/>
  <cp:lastPrinted>2023-08-24T13:13:45Z</cp:lastPrinted>
  <dcterms:created xsi:type="dcterms:W3CDTF">2022-04-18T11:30:16Z</dcterms:created>
  <dcterms:modified xsi:type="dcterms:W3CDTF">2025-03-24T23:45:58Z</dcterms:modified>
  <cp:category>Adm</cp:category>
  <cp:contentStatus/>
</cp:coreProperties>
</file>